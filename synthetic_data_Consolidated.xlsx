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.xml" ContentType="application/vnd.openxmlformats-officedocument.drawing+xml"/>
  <Override PartName="/xl/tables/table2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imguunerdenekhuyag/Downloads/"/>
    </mc:Choice>
  </mc:AlternateContent>
  <xr:revisionPtr revIDLastSave="0" documentId="13_ncr:1_{F2D7EAE5-EE21-4B41-81F4-60C3F070030C}" xr6:coauthVersionLast="47" xr6:coauthVersionMax="47" xr10:uidLastSave="{00000000-0000-0000-0000-000000000000}"/>
  <bookViews>
    <workbookView xWindow="0" yWindow="660" windowWidth="29400" windowHeight="18460" firstSheet="16" activeTab="19" xr2:uid="{00000000-000D-0000-FFFF-FFFF00000000}"/>
  </bookViews>
  <sheets>
    <sheet name="Projects" sheetId="1" r:id="rId1"/>
    <sheet name="AdminOpsTable" sheetId="2" r:id="rId2"/>
    <sheet name="Requests" sheetId="3" r:id="rId3"/>
    <sheet name="AdminOps" sheetId="4" r:id="rId4"/>
    <sheet name="Billing" sheetId="5" r:id="rId5"/>
    <sheet name="Purchases" sheetId="6" r:id="rId6"/>
    <sheet name="Forecasts" sheetId="7" r:id="rId7"/>
    <sheet name="Timesheets" sheetId="8" r:id="rId8"/>
    <sheet name="Bookings" sheetId="9" r:id="rId9"/>
    <sheet name="DeBookings" sheetId="10" r:id="rId10"/>
    <sheet name="Cash_Flow" sheetId="11" r:id="rId11"/>
    <sheet name="Financial_Statement_Aligned" sheetId="12" r:id="rId12"/>
    <sheet name="Project_Performance" sheetId="13" r:id="rId13"/>
    <sheet name="Admin_SLA" sheetId="14" r:id="rId14"/>
    <sheet name="Data_Dictionary" sheetId="15" r:id="rId15"/>
    <sheet name="Assumptions_Ethics" sheetId="16" r:id="rId16"/>
    <sheet name="Data_Quality_Profile" sheetId="17" r:id="rId17"/>
    <sheet name="README" sheetId="18" r:id="rId18"/>
    <sheet name="Schema_Consistency_Notes" sheetId="19" r:id="rId19"/>
    <sheet name="Project_Cash_Flow" sheetId="20" r:id="rId20"/>
    <sheet name="Project_P&amp;L" sheetId="21" r:id="rId21"/>
    <sheet name="Project_Balance_Sheet" sheetId="22" r:id="rId22"/>
    <sheet name="Consolidated_Statements" sheetId="23" r:id="rId23"/>
    <sheet name="Statement_Methodology" sheetId="24" r:id="rId24"/>
  </sheets>
  <definedNames>
    <definedName name="ExternalData_1" localSheetId="1" hidden="1">AdminOpsTable!$A$1:$J$501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9" i="7" l="1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I281" i="5"/>
  <c r="J281" i="5" s="1"/>
  <c r="I280" i="5"/>
  <c r="J280" i="5" s="1"/>
  <c r="I279" i="5"/>
  <c r="J279" i="5" s="1"/>
  <c r="I278" i="5"/>
  <c r="J278" i="5" s="1"/>
  <c r="I277" i="5"/>
  <c r="J277" i="5" s="1"/>
  <c r="I276" i="5"/>
  <c r="J276" i="5" s="1"/>
  <c r="I275" i="5"/>
  <c r="J275" i="5" s="1"/>
  <c r="I274" i="5"/>
  <c r="J274" i="5" s="1"/>
  <c r="I273" i="5"/>
  <c r="J273" i="5" s="1"/>
  <c r="I272" i="5"/>
  <c r="J272" i="5" s="1"/>
  <c r="I271" i="5"/>
  <c r="J271" i="5" s="1"/>
  <c r="I270" i="5"/>
  <c r="J270" i="5" s="1"/>
  <c r="I269" i="5"/>
  <c r="J269" i="5" s="1"/>
  <c r="I268" i="5"/>
  <c r="J268" i="5" s="1"/>
  <c r="I267" i="5"/>
  <c r="J267" i="5" s="1"/>
  <c r="I266" i="5"/>
  <c r="J266" i="5" s="1"/>
  <c r="I265" i="5"/>
  <c r="J265" i="5" s="1"/>
  <c r="I264" i="5"/>
  <c r="J264" i="5" s="1"/>
  <c r="I263" i="5"/>
  <c r="J263" i="5" s="1"/>
  <c r="I262" i="5"/>
  <c r="J262" i="5" s="1"/>
  <c r="I261" i="5"/>
  <c r="J261" i="5" s="1"/>
  <c r="I260" i="5"/>
  <c r="J260" i="5" s="1"/>
  <c r="I259" i="5"/>
  <c r="J259" i="5" s="1"/>
  <c r="I258" i="5"/>
  <c r="J258" i="5" s="1"/>
  <c r="I257" i="5"/>
  <c r="J257" i="5" s="1"/>
  <c r="I256" i="5"/>
  <c r="J256" i="5" s="1"/>
  <c r="I255" i="5"/>
  <c r="J255" i="5" s="1"/>
  <c r="I254" i="5"/>
  <c r="J254" i="5" s="1"/>
  <c r="I253" i="5"/>
  <c r="J253" i="5" s="1"/>
  <c r="I252" i="5"/>
  <c r="J252" i="5" s="1"/>
  <c r="I251" i="5"/>
  <c r="J251" i="5" s="1"/>
  <c r="I250" i="5"/>
  <c r="J250" i="5" s="1"/>
  <c r="I249" i="5"/>
  <c r="J249" i="5" s="1"/>
  <c r="I248" i="5"/>
  <c r="J248" i="5" s="1"/>
  <c r="I247" i="5"/>
  <c r="J247" i="5" s="1"/>
  <c r="I246" i="5"/>
  <c r="J246" i="5" s="1"/>
  <c r="I245" i="5"/>
  <c r="J245" i="5" s="1"/>
  <c r="I244" i="5"/>
  <c r="J244" i="5" s="1"/>
  <c r="I243" i="5"/>
  <c r="J243" i="5" s="1"/>
  <c r="I242" i="5"/>
  <c r="J242" i="5" s="1"/>
  <c r="I241" i="5"/>
  <c r="J241" i="5" s="1"/>
  <c r="I240" i="5"/>
  <c r="J240" i="5" s="1"/>
  <c r="I239" i="5"/>
  <c r="J239" i="5" s="1"/>
  <c r="I238" i="5"/>
  <c r="J238" i="5" s="1"/>
  <c r="I237" i="5"/>
  <c r="J237" i="5" s="1"/>
  <c r="I236" i="5"/>
  <c r="J236" i="5" s="1"/>
  <c r="I235" i="5"/>
  <c r="J235" i="5" s="1"/>
  <c r="I234" i="5"/>
  <c r="J234" i="5" s="1"/>
  <c r="I233" i="5"/>
  <c r="J233" i="5" s="1"/>
  <c r="I232" i="5"/>
  <c r="J232" i="5" s="1"/>
  <c r="I231" i="5"/>
  <c r="J231" i="5" s="1"/>
  <c r="I230" i="5"/>
  <c r="J230" i="5" s="1"/>
  <c r="I229" i="5"/>
  <c r="J229" i="5" s="1"/>
  <c r="I228" i="5"/>
  <c r="J228" i="5" s="1"/>
  <c r="I227" i="5"/>
  <c r="J227" i="5" s="1"/>
  <c r="I226" i="5"/>
  <c r="J226" i="5" s="1"/>
  <c r="I225" i="5"/>
  <c r="J225" i="5" s="1"/>
  <c r="I224" i="5"/>
  <c r="J224" i="5" s="1"/>
  <c r="I223" i="5"/>
  <c r="J223" i="5" s="1"/>
  <c r="I222" i="5"/>
  <c r="J222" i="5" s="1"/>
  <c r="I221" i="5"/>
  <c r="J221" i="5" s="1"/>
  <c r="I220" i="5"/>
  <c r="J220" i="5" s="1"/>
  <c r="I219" i="5"/>
  <c r="J219" i="5" s="1"/>
  <c r="I218" i="5"/>
  <c r="J218" i="5" s="1"/>
  <c r="I217" i="5"/>
  <c r="J217" i="5" s="1"/>
  <c r="I216" i="5"/>
  <c r="J216" i="5" s="1"/>
  <c r="I215" i="5"/>
  <c r="J215" i="5" s="1"/>
  <c r="I214" i="5"/>
  <c r="J214" i="5" s="1"/>
  <c r="I213" i="5"/>
  <c r="J213" i="5" s="1"/>
  <c r="I212" i="5"/>
  <c r="J212" i="5" s="1"/>
  <c r="I211" i="5"/>
  <c r="J211" i="5" s="1"/>
  <c r="I210" i="5"/>
  <c r="J210" i="5" s="1"/>
  <c r="I209" i="5"/>
  <c r="J209" i="5" s="1"/>
  <c r="I208" i="5"/>
  <c r="J208" i="5" s="1"/>
  <c r="I207" i="5"/>
  <c r="J207" i="5" s="1"/>
  <c r="I206" i="5"/>
  <c r="J206" i="5" s="1"/>
  <c r="I205" i="5"/>
  <c r="J205" i="5" s="1"/>
  <c r="I204" i="5"/>
  <c r="J204" i="5" s="1"/>
  <c r="I203" i="5"/>
  <c r="J203" i="5" s="1"/>
  <c r="I202" i="5"/>
  <c r="J202" i="5" s="1"/>
  <c r="I201" i="5"/>
  <c r="J201" i="5" s="1"/>
  <c r="I200" i="5"/>
  <c r="J200" i="5" s="1"/>
  <c r="I199" i="5"/>
  <c r="J199" i="5" s="1"/>
  <c r="I198" i="5"/>
  <c r="J198" i="5" s="1"/>
  <c r="I197" i="5"/>
  <c r="J197" i="5" s="1"/>
  <c r="I196" i="5"/>
  <c r="J196" i="5" s="1"/>
  <c r="I195" i="5"/>
  <c r="J195" i="5" s="1"/>
  <c r="I194" i="5"/>
  <c r="J194" i="5" s="1"/>
  <c r="I193" i="5"/>
  <c r="J193" i="5" s="1"/>
  <c r="I192" i="5"/>
  <c r="J192" i="5" s="1"/>
  <c r="I191" i="5"/>
  <c r="J191" i="5" s="1"/>
  <c r="I190" i="5"/>
  <c r="J190" i="5" s="1"/>
  <c r="I189" i="5"/>
  <c r="J189" i="5" s="1"/>
  <c r="I188" i="5"/>
  <c r="J188" i="5" s="1"/>
  <c r="I187" i="5"/>
  <c r="J187" i="5" s="1"/>
  <c r="I186" i="5"/>
  <c r="J186" i="5" s="1"/>
  <c r="I185" i="5"/>
  <c r="J185" i="5" s="1"/>
  <c r="I184" i="5"/>
  <c r="J184" i="5" s="1"/>
  <c r="I183" i="5"/>
  <c r="J183" i="5" s="1"/>
  <c r="I182" i="5"/>
  <c r="J182" i="5" s="1"/>
  <c r="I181" i="5"/>
  <c r="J181" i="5" s="1"/>
  <c r="I180" i="5"/>
  <c r="J180" i="5" s="1"/>
  <c r="I179" i="5"/>
  <c r="J179" i="5" s="1"/>
  <c r="I178" i="5"/>
  <c r="J178" i="5" s="1"/>
  <c r="I177" i="5"/>
  <c r="J177" i="5" s="1"/>
  <c r="I176" i="5"/>
  <c r="J176" i="5" s="1"/>
  <c r="I175" i="5"/>
  <c r="J175" i="5" s="1"/>
  <c r="I174" i="5"/>
  <c r="J174" i="5" s="1"/>
  <c r="I173" i="5"/>
  <c r="J173" i="5" s="1"/>
  <c r="I172" i="5"/>
  <c r="J172" i="5" s="1"/>
  <c r="I171" i="5"/>
  <c r="J171" i="5" s="1"/>
  <c r="I170" i="5"/>
  <c r="J170" i="5" s="1"/>
  <c r="I169" i="5"/>
  <c r="J169" i="5" s="1"/>
  <c r="I168" i="5"/>
  <c r="J168" i="5" s="1"/>
  <c r="I167" i="5"/>
  <c r="J167" i="5" s="1"/>
  <c r="I166" i="5"/>
  <c r="J166" i="5" s="1"/>
  <c r="I165" i="5"/>
  <c r="J165" i="5" s="1"/>
  <c r="I164" i="5"/>
  <c r="J164" i="5" s="1"/>
  <c r="I163" i="5"/>
  <c r="J163" i="5" s="1"/>
  <c r="I162" i="5"/>
  <c r="J162" i="5" s="1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I154" i="5"/>
  <c r="J154" i="5" s="1"/>
  <c r="I153" i="5"/>
  <c r="J153" i="5" s="1"/>
  <c r="I152" i="5"/>
  <c r="J152" i="5" s="1"/>
  <c r="I151" i="5"/>
  <c r="J151" i="5" s="1"/>
  <c r="I150" i="5"/>
  <c r="J150" i="5" s="1"/>
  <c r="I149" i="5"/>
  <c r="J149" i="5" s="1"/>
  <c r="I148" i="5"/>
  <c r="J148" i="5" s="1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I138" i="5"/>
  <c r="J138" i="5" s="1"/>
  <c r="I137" i="5"/>
  <c r="J137" i="5" s="1"/>
  <c r="I136" i="5"/>
  <c r="J136" i="5" s="1"/>
  <c r="I135" i="5"/>
  <c r="J135" i="5" s="1"/>
  <c r="I134" i="5"/>
  <c r="J134" i="5" s="1"/>
  <c r="I133" i="5"/>
  <c r="J133" i="5" s="1"/>
  <c r="I132" i="5"/>
  <c r="J132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I88" i="5"/>
  <c r="J88" i="5" s="1"/>
  <c r="I87" i="5"/>
  <c r="J87" i="5" s="1"/>
  <c r="I86" i="5"/>
  <c r="J86" i="5" s="1"/>
  <c r="I85" i="5"/>
  <c r="J85" i="5" s="1"/>
  <c r="I84" i="5"/>
  <c r="J84" i="5" s="1"/>
  <c r="I83" i="5"/>
  <c r="J83" i="5" s="1"/>
  <c r="I82" i="5"/>
  <c r="J82" i="5" s="1"/>
  <c r="I81" i="5"/>
  <c r="J81" i="5" s="1"/>
  <c r="I80" i="5"/>
  <c r="J80" i="5" s="1"/>
  <c r="I79" i="5"/>
  <c r="J79" i="5" s="1"/>
  <c r="I78" i="5"/>
  <c r="J78" i="5" s="1"/>
  <c r="I77" i="5"/>
  <c r="J77" i="5" s="1"/>
  <c r="I76" i="5"/>
  <c r="J76" i="5" s="1"/>
  <c r="I75" i="5"/>
  <c r="J75" i="5" s="1"/>
  <c r="I74" i="5"/>
  <c r="J74" i="5" s="1"/>
  <c r="I73" i="5"/>
  <c r="J73" i="5" s="1"/>
  <c r="I72" i="5"/>
  <c r="J72" i="5" s="1"/>
  <c r="I71" i="5"/>
  <c r="J71" i="5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I26" i="5"/>
  <c r="J26" i="5" s="1"/>
  <c r="I25" i="5"/>
  <c r="J25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6" i="5"/>
  <c r="J16" i="5" s="1"/>
  <c r="I15" i="5"/>
  <c r="J15" i="5" s="1"/>
  <c r="I14" i="5"/>
  <c r="J14" i="5" s="1"/>
  <c r="I13" i="5"/>
  <c r="J13" i="5" s="1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J4" i="5" s="1"/>
  <c r="I3" i="5"/>
  <c r="J3" i="5" s="1"/>
  <c r="I2" i="5"/>
  <c r="J2" i="5" s="1"/>
  <c r="M701" i="3"/>
  <c r="L701" i="3"/>
  <c r="M700" i="3"/>
  <c r="L700" i="3"/>
  <c r="M699" i="3"/>
  <c r="L699" i="3"/>
  <c r="M698" i="3"/>
  <c r="L698" i="3"/>
  <c r="M697" i="3"/>
  <c r="L697" i="3"/>
  <c r="M696" i="3"/>
  <c r="L696" i="3"/>
  <c r="M695" i="3"/>
  <c r="L695" i="3"/>
  <c r="M694" i="3"/>
  <c r="L694" i="3"/>
  <c r="M693" i="3"/>
  <c r="L693" i="3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L682" i="3"/>
  <c r="M681" i="3"/>
  <c r="L681" i="3"/>
  <c r="M680" i="3"/>
  <c r="L680" i="3"/>
  <c r="M679" i="3"/>
  <c r="L679" i="3"/>
  <c r="M678" i="3"/>
  <c r="L678" i="3"/>
  <c r="M677" i="3"/>
  <c r="L677" i="3"/>
  <c r="M676" i="3"/>
  <c r="L676" i="3"/>
  <c r="M675" i="3"/>
  <c r="L675" i="3"/>
  <c r="M674" i="3"/>
  <c r="L674" i="3"/>
  <c r="M673" i="3"/>
  <c r="L673" i="3"/>
  <c r="M672" i="3"/>
  <c r="L672" i="3"/>
  <c r="M671" i="3"/>
  <c r="L671" i="3"/>
  <c r="M670" i="3"/>
  <c r="L670" i="3"/>
  <c r="M669" i="3"/>
  <c r="L669" i="3"/>
  <c r="M668" i="3"/>
  <c r="L668" i="3"/>
  <c r="M667" i="3"/>
  <c r="L667" i="3"/>
  <c r="M666" i="3"/>
  <c r="L666" i="3"/>
  <c r="M665" i="3"/>
  <c r="L665" i="3"/>
  <c r="M664" i="3"/>
  <c r="L664" i="3"/>
  <c r="M663" i="3"/>
  <c r="L663" i="3"/>
  <c r="M662" i="3"/>
  <c r="L662" i="3"/>
  <c r="M661" i="3"/>
  <c r="L661" i="3"/>
  <c r="M660" i="3"/>
  <c r="L660" i="3"/>
  <c r="M659" i="3"/>
  <c r="L659" i="3"/>
  <c r="M658" i="3"/>
  <c r="L658" i="3"/>
  <c r="M657" i="3"/>
  <c r="L657" i="3"/>
  <c r="M656" i="3"/>
  <c r="L656" i="3"/>
  <c r="M655" i="3"/>
  <c r="L655" i="3"/>
  <c r="M654" i="3"/>
  <c r="L654" i="3"/>
  <c r="M653" i="3"/>
  <c r="L653" i="3"/>
  <c r="M652" i="3"/>
  <c r="L652" i="3"/>
  <c r="M651" i="3"/>
  <c r="L651" i="3"/>
  <c r="M650" i="3"/>
  <c r="L650" i="3"/>
  <c r="M649" i="3"/>
  <c r="L649" i="3"/>
  <c r="M648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L640" i="3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L626" i="3"/>
  <c r="M625" i="3"/>
  <c r="L625" i="3"/>
  <c r="M624" i="3"/>
  <c r="L624" i="3"/>
  <c r="M623" i="3"/>
  <c r="L623" i="3"/>
  <c r="M622" i="3"/>
  <c r="L622" i="3"/>
  <c r="M621" i="3"/>
  <c r="L621" i="3"/>
  <c r="M620" i="3"/>
  <c r="L620" i="3"/>
  <c r="M619" i="3"/>
  <c r="L619" i="3"/>
  <c r="M618" i="3"/>
  <c r="L618" i="3"/>
  <c r="M617" i="3"/>
  <c r="L617" i="3"/>
  <c r="M616" i="3"/>
  <c r="L616" i="3"/>
  <c r="M615" i="3"/>
  <c r="L615" i="3"/>
  <c r="M614" i="3"/>
  <c r="L614" i="3"/>
  <c r="M613" i="3"/>
  <c r="L613" i="3"/>
  <c r="M612" i="3"/>
  <c r="L612" i="3"/>
  <c r="M611" i="3"/>
  <c r="L611" i="3"/>
  <c r="M610" i="3"/>
  <c r="L610" i="3"/>
  <c r="M609" i="3"/>
  <c r="L609" i="3"/>
  <c r="M608" i="3"/>
  <c r="L608" i="3"/>
  <c r="M607" i="3"/>
  <c r="L607" i="3"/>
  <c r="M606" i="3"/>
  <c r="L606" i="3"/>
  <c r="M605" i="3"/>
  <c r="L605" i="3"/>
  <c r="M604" i="3"/>
  <c r="L604" i="3"/>
  <c r="M603" i="3"/>
  <c r="L603" i="3"/>
  <c r="M602" i="3"/>
  <c r="L602" i="3"/>
  <c r="M601" i="3"/>
  <c r="L601" i="3"/>
  <c r="M600" i="3"/>
  <c r="L600" i="3"/>
  <c r="M599" i="3"/>
  <c r="L599" i="3"/>
  <c r="M598" i="3"/>
  <c r="L598" i="3"/>
  <c r="M597" i="3"/>
  <c r="L597" i="3"/>
  <c r="M596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L590" i="3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L583" i="3"/>
  <c r="M582" i="3"/>
  <c r="L582" i="3"/>
  <c r="M581" i="3"/>
  <c r="L581" i="3"/>
  <c r="M580" i="3"/>
  <c r="L580" i="3"/>
  <c r="M579" i="3"/>
  <c r="L579" i="3"/>
  <c r="M578" i="3"/>
  <c r="L578" i="3"/>
  <c r="M577" i="3"/>
  <c r="L577" i="3"/>
  <c r="M576" i="3"/>
  <c r="L576" i="3"/>
  <c r="M575" i="3"/>
  <c r="L575" i="3"/>
  <c r="M574" i="3"/>
  <c r="L574" i="3"/>
  <c r="M573" i="3"/>
  <c r="L573" i="3"/>
  <c r="M572" i="3"/>
  <c r="L572" i="3"/>
  <c r="M571" i="3"/>
  <c r="L571" i="3"/>
  <c r="M570" i="3"/>
  <c r="L570" i="3"/>
  <c r="M569" i="3"/>
  <c r="L569" i="3"/>
  <c r="M568" i="3"/>
  <c r="L568" i="3"/>
  <c r="M567" i="3"/>
  <c r="L567" i="3"/>
  <c r="M566" i="3"/>
  <c r="L566" i="3"/>
  <c r="M565" i="3"/>
  <c r="L565" i="3"/>
  <c r="M564" i="3"/>
  <c r="L564" i="3"/>
  <c r="M563" i="3"/>
  <c r="L563" i="3"/>
  <c r="M562" i="3"/>
  <c r="L562" i="3"/>
  <c r="M561" i="3"/>
  <c r="L561" i="3"/>
  <c r="M560" i="3"/>
  <c r="L560" i="3"/>
  <c r="M559" i="3"/>
  <c r="L559" i="3"/>
  <c r="M558" i="3"/>
  <c r="L558" i="3"/>
  <c r="M557" i="3"/>
  <c r="L557" i="3"/>
  <c r="M556" i="3"/>
  <c r="L556" i="3"/>
  <c r="M555" i="3"/>
  <c r="L555" i="3"/>
  <c r="M554" i="3"/>
  <c r="L554" i="3"/>
  <c r="M553" i="3"/>
  <c r="L553" i="3"/>
  <c r="M552" i="3"/>
  <c r="L552" i="3"/>
  <c r="M551" i="3"/>
  <c r="L551" i="3"/>
  <c r="M550" i="3"/>
  <c r="L550" i="3"/>
  <c r="M549" i="3"/>
  <c r="L549" i="3"/>
  <c r="M548" i="3"/>
  <c r="L548" i="3"/>
  <c r="M547" i="3"/>
  <c r="L547" i="3"/>
  <c r="M546" i="3"/>
  <c r="L546" i="3"/>
  <c r="M545" i="3"/>
  <c r="L545" i="3"/>
  <c r="M544" i="3"/>
  <c r="L544" i="3"/>
  <c r="M543" i="3"/>
  <c r="L543" i="3"/>
  <c r="M542" i="3"/>
  <c r="L542" i="3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</calcChain>
</file>

<file path=xl/sharedStrings.xml><?xml version="1.0" encoding="utf-8"?>
<sst xmlns="http://schemas.openxmlformats.org/spreadsheetml/2006/main" count="36729" uniqueCount="2887">
  <si>
    <t>EmployeeID</t>
  </si>
  <si>
    <t>ProjectID</t>
  </si>
  <si>
    <t>WeekStart</t>
  </si>
  <si>
    <t>Hours</t>
  </si>
  <si>
    <t>UploadSource</t>
  </si>
  <si>
    <t>AnomalyFlag</t>
  </si>
  <si>
    <t>EMP0015</t>
  </si>
  <si>
    <t>PRJ0001</t>
  </si>
  <si>
    <t>System Upload</t>
  </si>
  <si>
    <t>No</t>
  </si>
  <si>
    <t>EMP0135</t>
  </si>
  <si>
    <t>PRJ0043</t>
  </si>
  <si>
    <t>Yes</t>
  </si>
  <si>
    <t>EMP0084</t>
  </si>
  <si>
    <t>PRJ0117</t>
  </si>
  <si>
    <t>EMP0034</t>
  </si>
  <si>
    <t>PRJ0018</t>
  </si>
  <si>
    <t>EMP0094</t>
  </si>
  <si>
    <t>PRJ0020</t>
  </si>
  <si>
    <t>Email Spreadsheet</t>
  </si>
  <si>
    <t>EMP0012</t>
  </si>
  <si>
    <t>PRJ0051</t>
  </si>
  <si>
    <t>EMP0133</t>
  </si>
  <si>
    <t>PRJ0034</t>
  </si>
  <si>
    <t>EMP0054</t>
  </si>
  <si>
    <t>PRJ0065</t>
  </si>
  <si>
    <t>EMP0061</t>
  </si>
  <si>
    <t>PRJ0089</t>
  </si>
  <si>
    <t>EMP0011</t>
  </si>
  <si>
    <t>PRJ0082</t>
  </si>
  <si>
    <t>Manual Upload</t>
  </si>
  <si>
    <t>EMP0100</t>
  </si>
  <si>
    <t>PRJ0026</t>
  </si>
  <si>
    <t>EMP0083</t>
  </si>
  <si>
    <t>PRJ0083</t>
  </si>
  <si>
    <t>EMP0147</t>
  </si>
  <si>
    <t>PRJ0015</t>
  </si>
  <si>
    <t>EMP0043</t>
  </si>
  <si>
    <t>PRJ0116</t>
  </si>
  <si>
    <t>EMP0078</t>
  </si>
  <si>
    <t>PRJ0100</t>
  </si>
  <si>
    <t>EMP0050</t>
  </si>
  <si>
    <t>EMP0107</t>
  </si>
  <si>
    <t>PRJ0008</t>
  </si>
  <si>
    <t>EMP0156</t>
  </si>
  <si>
    <t>PRJ0061</t>
  </si>
  <si>
    <t>EMP0039</t>
  </si>
  <si>
    <t>EMP0180</t>
  </si>
  <si>
    <t>EMP0030</t>
  </si>
  <si>
    <t>PRJ0059</t>
  </si>
  <si>
    <t>EMP0027</t>
  </si>
  <si>
    <t>PRJ0078</t>
  </si>
  <si>
    <t>EMP0115</t>
  </si>
  <si>
    <t>PRJ0017</t>
  </si>
  <si>
    <t>EMP0113</t>
  </si>
  <si>
    <t>EMP0055</t>
  </si>
  <si>
    <t>PRJ0120</t>
  </si>
  <si>
    <t>PRJ0005</t>
  </si>
  <si>
    <t>EMP0171</t>
  </si>
  <si>
    <t>PRJ0069</t>
  </si>
  <si>
    <t>EMP0073</t>
  </si>
  <si>
    <t>PRJ0104</t>
  </si>
  <si>
    <t>EMP0175</t>
  </si>
  <si>
    <t>PRJ0023</t>
  </si>
  <si>
    <t>EMP0003</t>
  </si>
  <si>
    <t>EMP0074</t>
  </si>
  <si>
    <t>PRJ0074</t>
  </si>
  <si>
    <t>PRJ0049</t>
  </si>
  <si>
    <t>EMP0017</t>
  </si>
  <si>
    <t>PRJ0109</t>
  </si>
  <si>
    <t>EMP0128</t>
  </si>
  <si>
    <t>PRJ0073</t>
  </si>
  <si>
    <t>EMP0031</t>
  </si>
  <si>
    <t>PRJ0106</t>
  </si>
  <si>
    <t>PRJ0019</t>
  </si>
  <si>
    <t>EMP0007</t>
  </si>
  <si>
    <t>PRJ0070</t>
  </si>
  <si>
    <t>EMP0124</t>
  </si>
  <si>
    <t>EMP0123</t>
  </si>
  <si>
    <t>EMP0159</t>
  </si>
  <si>
    <t>PRJ0030</t>
  </si>
  <si>
    <t>EMP0110</t>
  </si>
  <si>
    <t>PRJ0111</t>
  </si>
  <si>
    <t>EMP0041</t>
  </si>
  <si>
    <t>PRJ0068</t>
  </si>
  <si>
    <t>EMP0104</t>
  </si>
  <si>
    <t>EMP0079</t>
  </si>
  <si>
    <t>PRJ0064</t>
  </si>
  <si>
    <t>EMP0090</t>
  </si>
  <si>
    <t>PRJ0080</t>
  </si>
  <si>
    <t>EMP0028</t>
  </si>
  <si>
    <t>PRJ0048</t>
  </si>
  <si>
    <t>EMP0143</t>
  </si>
  <si>
    <t>EMP0071</t>
  </si>
  <si>
    <t>PRJ0004</t>
  </si>
  <si>
    <t>EMP0140</t>
  </si>
  <si>
    <t>PRJ0098</t>
  </si>
  <si>
    <t>PRJ0002</t>
  </si>
  <si>
    <t>EMP0088</t>
  </si>
  <si>
    <t>PRJ0014</t>
  </si>
  <si>
    <t>EMP0105</t>
  </si>
  <si>
    <t>PRJ0091</t>
  </si>
  <si>
    <t>EMP0086</t>
  </si>
  <si>
    <t>PRJ0058</t>
  </si>
  <si>
    <t>EMP0136</t>
  </si>
  <si>
    <t>PRJ0011</t>
  </si>
  <si>
    <t>PRJ0036</t>
  </si>
  <si>
    <t>EMP0002</t>
  </si>
  <si>
    <t>PRJ0077</t>
  </si>
  <si>
    <t>EMP0112</t>
  </si>
  <si>
    <t>PRJ0052</t>
  </si>
  <si>
    <t>EMP0150</t>
  </si>
  <si>
    <t>PRJ0114</t>
  </si>
  <si>
    <t>EMP0122</t>
  </si>
  <si>
    <t>PRJ0009</t>
  </si>
  <si>
    <t>EMP0109</t>
  </si>
  <si>
    <t>PRJ0003</t>
  </si>
  <si>
    <t>EMP0018</t>
  </si>
  <si>
    <t>PRJ0013</t>
  </si>
  <si>
    <t>EMP0120</t>
  </si>
  <si>
    <t>PRJ0102</t>
  </si>
  <si>
    <t>PRJ0016</t>
  </si>
  <si>
    <t>EMP0145</t>
  </si>
  <si>
    <t>PRJ0031</t>
  </si>
  <si>
    <t>PRJ0097</t>
  </si>
  <si>
    <t>EMP0082</t>
  </si>
  <si>
    <t>EMP0010</t>
  </si>
  <si>
    <t>PRJ0101</t>
  </si>
  <si>
    <t>EMP0166</t>
  </si>
  <si>
    <t>PRJ0119</t>
  </si>
  <si>
    <t>EMP0098</t>
  </si>
  <si>
    <t>PRJ0035</t>
  </si>
  <si>
    <t>EMP0152</t>
  </si>
  <si>
    <t>PRJ0024</t>
  </si>
  <si>
    <t>EMP0157</t>
  </si>
  <si>
    <t>EMP0111</t>
  </si>
  <si>
    <t>EMP0132</t>
  </si>
  <si>
    <t>EMP0170</t>
  </si>
  <si>
    <t>PRJ0108</t>
  </si>
  <si>
    <t>EMP0022</t>
  </si>
  <si>
    <t>PRJ0081</t>
  </si>
  <si>
    <t>EMP0151</t>
  </si>
  <si>
    <t>PRJ0057</t>
  </si>
  <si>
    <t>EMP0019</t>
  </si>
  <si>
    <t>PRJ0038</t>
  </si>
  <si>
    <t>EMP0016</t>
  </si>
  <si>
    <t>EMP0049</t>
  </si>
  <si>
    <t>PRJ0086</t>
  </si>
  <si>
    <t>EMP0130</t>
  </si>
  <si>
    <t>EMP0172</t>
  </si>
  <si>
    <t>EMP0023</t>
  </si>
  <si>
    <t>PRJ0046</t>
  </si>
  <si>
    <t>EMP0127</t>
  </si>
  <si>
    <t>EMP0173</t>
  </si>
  <si>
    <t>EMP0097</t>
  </si>
  <si>
    <t>PRJ0115</t>
  </si>
  <si>
    <t>EMP0169</t>
  </si>
  <si>
    <t>EMP0155</t>
  </si>
  <si>
    <t>EMP0069</t>
  </si>
  <si>
    <t>PRJ0050</t>
  </si>
  <si>
    <t>EMP0040</t>
  </si>
  <si>
    <t>EMP0092</t>
  </si>
  <si>
    <t>PRJ0072</t>
  </si>
  <si>
    <t>PRJ0075</t>
  </si>
  <si>
    <t>PRJ0113</t>
  </si>
  <si>
    <t>EMP0006</t>
  </si>
  <si>
    <t>EMP0029</t>
  </si>
  <si>
    <t>EMP0042</t>
  </si>
  <si>
    <t>PRJ0076</t>
  </si>
  <si>
    <t>EMP0066</t>
  </si>
  <si>
    <t>PRJ0093</t>
  </si>
  <si>
    <t>PRJ0042</t>
  </si>
  <si>
    <t>EMP0008</t>
  </si>
  <si>
    <t>PRJ0084</t>
  </si>
  <si>
    <t>EMP0153</t>
  </si>
  <si>
    <t>EMP0139</t>
  </si>
  <si>
    <t>EMP0038</t>
  </si>
  <si>
    <t>EMP0101</t>
  </si>
  <si>
    <t>EMP0138</t>
  </si>
  <si>
    <t>EMP0080</t>
  </si>
  <si>
    <t>PRJ0071</t>
  </si>
  <si>
    <t>EMP0081</t>
  </si>
  <si>
    <t>EMP0154</t>
  </si>
  <si>
    <t>PRJ0103</t>
  </si>
  <si>
    <t>EMP0093</t>
  </si>
  <si>
    <t>PRJ0087</t>
  </si>
  <si>
    <t>PRJ0032</t>
  </si>
  <si>
    <t>EMP0059</t>
  </si>
  <si>
    <t>PRJ0010</t>
  </si>
  <si>
    <t>EMP0102</t>
  </si>
  <si>
    <t>PRJ0107</t>
  </si>
  <si>
    <t>EMP0026</t>
  </si>
  <si>
    <t>PRJ0027</t>
  </si>
  <si>
    <t>PRJ0066</t>
  </si>
  <si>
    <t>PRJ0063</t>
  </si>
  <si>
    <t>EMP0046</t>
  </si>
  <si>
    <t>PRJ0039</t>
  </si>
  <si>
    <t>PRJ0007</t>
  </si>
  <si>
    <t>EMP0013</t>
  </si>
  <si>
    <t>PRJ0041</t>
  </si>
  <si>
    <t>EMP0057</t>
  </si>
  <si>
    <t>EMP0063</t>
  </si>
  <si>
    <t>PRJ0025</t>
  </si>
  <si>
    <t>EMP0163</t>
  </si>
  <si>
    <t>PRJ0110</t>
  </si>
  <si>
    <t>EMP0014</t>
  </si>
  <si>
    <t>EMP0116</t>
  </si>
  <si>
    <t>EMP0035</t>
  </si>
  <si>
    <t>PRJ0055</t>
  </si>
  <si>
    <t>EMP0021</t>
  </si>
  <si>
    <t>EMP0129</t>
  </si>
  <si>
    <t>PRJ0105</t>
  </si>
  <si>
    <t>PRJ0062</t>
  </si>
  <si>
    <t>EMP0004</t>
  </si>
  <si>
    <t>EMP0068</t>
  </si>
  <si>
    <t>PRJ0118</t>
  </si>
  <si>
    <t>EMP0099</t>
  </si>
  <si>
    <t>PRJ0044</t>
  </si>
  <si>
    <t>EMP0033</t>
  </si>
  <si>
    <t>PRJ0022</t>
  </si>
  <si>
    <t>EMP0009</t>
  </si>
  <si>
    <t>EMP0167</t>
  </si>
  <si>
    <t>EMP0020</t>
  </si>
  <si>
    <t>PRJ0060</t>
  </si>
  <si>
    <t>EMP0126</t>
  </si>
  <si>
    <t>PRJ0037</t>
  </si>
  <si>
    <t>PRJ0088</t>
  </si>
  <si>
    <t>PRJ0112</t>
  </si>
  <si>
    <t>PRJ0095</t>
  </si>
  <si>
    <t>EMP0045</t>
  </si>
  <si>
    <t>EMP0117</t>
  </si>
  <si>
    <t>EMP0149</t>
  </si>
  <si>
    <t>PRJ0090</t>
  </si>
  <si>
    <t>EMP0065</t>
  </si>
  <si>
    <t>EMP0146</t>
  </si>
  <si>
    <t>PRJ0029</t>
  </si>
  <si>
    <t>EMP0148</t>
  </si>
  <si>
    <t>EMP0141</t>
  </si>
  <si>
    <t>EMP0174</t>
  </si>
  <si>
    <t>EMP0005</t>
  </si>
  <si>
    <t>EMP0072</t>
  </si>
  <si>
    <t>EMP0095</t>
  </si>
  <si>
    <t>EMP0058</t>
  </si>
  <si>
    <t>EMP0103</t>
  </si>
  <si>
    <t>EMP0134</t>
  </si>
  <si>
    <t>PRJ0079</t>
  </si>
  <si>
    <t>EMP0137</t>
  </si>
  <si>
    <t>PRJ0054</t>
  </si>
  <si>
    <t>PRJ0067</t>
  </si>
  <si>
    <t>PRJ0085</t>
  </si>
  <si>
    <t>EMP0048</t>
  </si>
  <si>
    <t>EMP0125</t>
  </si>
  <si>
    <t>EMP0142</t>
  </si>
  <si>
    <t>PRJ0045</t>
  </si>
  <si>
    <t>EMP0001</t>
  </si>
  <si>
    <t>EMP0162</t>
  </si>
  <si>
    <t>EMP0121</t>
  </si>
  <si>
    <t>EMP0024</t>
  </si>
  <si>
    <t>EMP0096</t>
  </si>
  <si>
    <t>EMP0144</t>
  </si>
  <si>
    <t>PRJ0096</t>
  </si>
  <si>
    <t>EMP0106</t>
  </si>
  <si>
    <t>PRJ0033</t>
  </si>
  <si>
    <t>EMP0087</t>
  </si>
  <si>
    <t>EMP0070</t>
  </si>
  <si>
    <t>EMP0091</t>
  </si>
  <si>
    <t>EMP0085</t>
  </si>
  <si>
    <t>EMP0047</t>
  </si>
  <si>
    <t>EMP0089</t>
  </si>
  <si>
    <t>PRJ0099</t>
  </si>
  <si>
    <t>EMP0077</t>
  </si>
  <si>
    <t>EMP0158</t>
  </si>
  <si>
    <t>EMP0178</t>
  </si>
  <si>
    <t>PRJ0006</t>
  </si>
  <si>
    <t>EMP0025</t>
  </si>
  <si>
    <t>EMP0165</t>
  </si>
  <si>
    <t>EMP0044</t>
  </si>
  <si>
    <t>EMP0114</t>
  </si>
  <si>
    <t>EMP0032</t>
  </si>
  <si>
    <t>EMP0056</t>
  </si>
  <si>
    <t>EMP0179</t>
  </si>
  <si>
    <t>PRJ0053</t>
  </si>
  <si>
    <t>EMP0118</t>
  </si>
  <si>
    <t>PRJ0012</t>
  </si>
  <si>
    <t>EMP0108</t>
  </si>
  <si>
    <t>PRJ0021</t>
  </si>
  <si>
    <t>PRJ0056</t>
  </si>
  <si>
    <t>EMP0160</t>
  </si>
  <si>
    <t>EMP0052</t>
  </si>
  <si>
    <t>EMP0177</t>
  </si>
  <si>
    <t>EMP0062</t>
  </si>
  <si>
    <t>EMP0064</t>
  </si>
  <si>
    <t>EMP0176</t>
  </si>
  <si>
    <t>EMP0119</t>
  </si>
  <si>
    <t>PRJ0092</t>
  </si>
  <si>
    <t>PRJ0040</t>
  </si>
  <si>
    <t>EMP0075</t>
  </si>
  <si>
    <t>EMP0053</t>
  </si>
  <si>
    <t>PRJ0094</t>
  </si>
  <si>
    <t>EMP0060</t>
  </si>
  <si>
    <t>EMP0067</t>
  </si>
  <si>
    <t>PRJ0028</t>
  </si>
  <si>
    <t>EMP0076</t>
  </si>
  <si>
    <t>EMP0131</t>
  </si>
  <si>
    <t>EMP0036</t>
  </si>
  <si>
    <t>EMP0161</t>
  </si>
  <si>
    <t>EMP0037</t>
  </si>
  <si>
    <t>EMP0051</t>
  </si>
  <si>
    <t>EMP0168</t>
  </si>
  <si>
    <t>BusinessUnit</t>
  </si>
  <si>
    <t>ProjectManager</t>
  </si>
  <si>
    <t>StartDate</t>
  </si>
  <si>
    <t>EndDate</t>
  </si>
  <si>
    <t>Status</t>
  </si>
  <si>
    <t>ContractType</t>
  </si>
  <si>
    <t>ContractValue</t>
  </si>
  <si>
    <t>Priority</t>
  </si>
  <si>
    <t>SourceSystem</t>
  </si>
  <si>
    <t>Services</t>
  </si>
  <si>
    <t>PM_12</t>
  </si>
  <si>
    <t>Completed</t>
  </si>
  <si>
    <t>Time &amp; Materials</t>
  </si>
  <si>
    <t>High</t>
  </si>
  <si>
    <t>Salesforce</t>
  </si>
  <si>
    <t>Pacific Projects</t>
  </si>
  <si>
    <t>PM_09</t>
  </si>
  <si>
    <t>Initiation</t>
  </si>
  <si>
    <t>Low</t>
  </si>
  <si>
    <t>SAP</t>
  </si>
  <si>
    <t>Digital Buildings</t>
  </si>
  <si>
    <t>PM_13</t>
  </si>
  <si>
    <t>In Progress</t>
  </si>
  <si>
    <t>Fixed Price</t>
  </si>
  <si>
    <t>PM_02</t>
  </si>
  <si>
    <t>Maintenance</t>
  </si>
  <si>
    <t>Oracle</t>
  </si>
  <si>
    <t>Medium</t>
  </si>
  <si>
    <t>Energy Management</t>
  </si>
  <si>
    <t>PM_10</t>
  </si>
  <si>
    <t>PM_14</t>
  </si>
  <si>
    <t>At Risk</t>
  </si>
  <si>
    <t>PM_06</t>
  </si>
  <si>
    <t>PM_03</t>
  </si>
  <si>
    <t>PM_04</t>
  </si>
  <si>
    <t>Milestone Billing</t>
  </si>
  <si>
    <t>Secure Power</t>
  </si>
  <si>
    <t>PM_07</t>
  </si>
  <si>
    <t>PM_11</t>
  </si>
  <si>
    <t>On Hold</t>
  </si>
  <si>
    <t>PM_15</t>
  </si>
  <si>
    <t>PM_01</t>
  </si>
  <si>
    <t>PRJ0047</t>
  </si>
  <si>
    <t>PM_05</t>
  </si>
  <si>
    <t>PM_08</t>
  </si>
  <si>
    <t>TaskID</t>
  </si>
  <si>
    <t>RequestID</t>
  </si>
  <si>
    <t>TaskType</t>
  </si>
  <si>
    <t>Owner</t>
  </si>
  <si>
    <t>StartTime</t>
  </si>
  <si>
    <t>FinishTime</t>
  </si>
  <si>
    <t>ProcessingTime_Hours</t>
  </si>
  <si>
    <t>ReworkFlag</t>
  </si>
  <si>
    <t>System</t>
  </si>
  <si>
    <t>TASK00001</t>
  </si>
  <si>
    <t>REQ00133</t>
  </si>
  <si>
    <t>Purchasing</t>
  </si>
  <si>
    <t>Admin_04</t>
  </si>
  <si>
    <t>TASK00002</t>
  </si>
  <si>
    <t>REQ00218</t>
  </si>
  <si>
    <t>Maintenance Order</t>
  </si>
  <si>
    <t>Admin_12</t>
  </si>
  <si>
    <t>TASK00003</t>
  </si>
  <si>
    <t>REQ00573</t>
  </si>
  <si>
    <t>Pre-booking Check</t>
  </si>
  <si>
    <t>Admin_10</t>
  </si>
  <si>
    <t>TASK00004</t>
  </si>
  <si>
    <t>REQ00419</t>
  </si>
  <si>
    <t>Revenue Forecast</t>
  </si>
  <si>
    <t>Admin_11</t>
  </si>
  <si>
    <t>TASK00005</t>
  </si>
  <si>
    <t>REQ00536</t>
  </si>
  <si>
    <t>Reporting</t>
  </si>
  <si>
    <t>TASK00006</t>
  </si>
  <si>
    <t>REQ00311</t>
  </si>
  <si>
    <t>De-booking</t>
  </si>
  <si>
    <t>TASK00007</t>
  </si>
  <si>
    <t>REQ00604</t>
  </si>
  <si>
    <t>Admin_01</t>
  </si>
  <si>
    <t>TASK00008</t>
  </si>
  <si>
    <t>REQ00291</t>
  </si>
  <si>
    <t>TASK00009</t>
  </si>
  <si>
    <t>REQ00126</t>
  </si>
  <si>
    <t>Timesheet Upload</t>
  </si>
  <si>
    <t>Admin_05</t>
  </si>
  <si>
    <t>TASK00010</t>
  </si>
  <si>
    <t>REQ00493</t>
  </si>
  <si>
    <t>Admin_06</t>
  </si>
  <si>
    <t>TASK00011</t>
  </si>
  <si>
    <t>REQ00387</t>
  </si>
  <si>
    <t>Project Booking</t>
  </si>
  <si>
    <t>Admin_07</t>
  </si>
  <si>
    <t>TASK00012</t>
  </si>
  <si>
    <t>REQ00142</t>
  </si>
  <si>
    <t>Admin_03</t>
  </si>
  <si>
    <t>TASK00013</t>
  </si>
  <si>
    <t>REQ00460</t>
  </si>
  <si>
    <t>TASK00014</t>
  </si>
  <si>
    <t>REQ00640</t>
  </si>
  <si>
    <t>TASK00015</t>
  </si>
  <si>
    <t>REQ00405</t>
  </si>
  <si>
    <t>TASK00016</t>
  </si>
  <si>
    <t>REQ00454</t>
  </si>
  <si>
    <t>TASK00017</t>
  </si>
  <si>
    <t>REQ00026</t>
  </si>
  <si>
    <t>Admin_09</t>
  </si>
  <si>
    <t>TASK00018</t>
  </si>
  <si>
    <t>REQ00575</t>
  </si>
  <si>
    <t>Project Closing</t>
  </si>
  <si>
    <t>TASK00019</t>
  </si>
  <si>
    <t>REQ00634</t>
  </si>
  <si>
    <t>TASK00020</t>
  </si>
  <si>
    <t>REQ00535</t>
  </si>
  <si>
    <t>TASK00021</t>
  </si>
  <si>
    <t>REQ00124</t>
  </si>
  <si>
    <t>TASK00022</t>
  </si>
  <si>
    <t>REQ00282</t>
  </si>
  <si>
    <t>TASK00023</t>
  </si>
  <si>
    <t>REQ00594</t>
  </si>
  <si>
    <t>TASK00024</t>
  </si>
  <si>
    <t>REQ00412</t>
  </si>
  <si>
    <t>TASK00025</t>
  </si>
  <si>
    <t>REQ00349</t>
  </si>
  <si>
    <t>TASK00026</t>
  </si>
  <si>
    <t>REQ00325</t>
  </si>
  <si>
    <t>TASK00027</t>
  </si>
  <si>
    <t>REQ00555</t>
  </si>
  <si>
    <t>TASK00028</t>
  </si>
  <si>
    <t>REQ00092</t>
  </si>
  <si>
    <t>TASK00029</t>
  </si>
  <si>
    <t>REQ00061</t>
  </si>
  <si>
    <t>Admin_08</t>
  </si>
  <si>
    <t>TASK00030</t>
  </si>
  <si>
    <t>REQ00060</t>
  </si>
  <si>
    <t>Billing Correction</t>
  </si>
  <si>
    <t>TASK00031</t>
  </si>
  <si>
    <t>REQ00332</t>
  </si>
  <si>
    <t>TASK00032</t>
  </si>
  <si>
    <t>REQ00054</t>
  </si>
  <si>
    <t>TASK00033</t>
  </si>
  <si>
    <t>REQ00505</t>
  </si>
  <si>
    <t>TASK00034</t>
  </si>
  <si>
    <t>REQ00276</t>
  </si>
  <si>
    <t>TASK00035</t>
  </si>
  <si>
    <t>REQ00496</t>
  </si>
  <si>
    <t>TASK00036</t>
  </si>
  <si>
    <t>REQ00020</t>
  </si>
  <si>
    <t>Admin_02</t>
  </si>
  <si>
    <t>TASK00037</t>
  </si>
  <si>
    <t>REQ00253</t>
  </si>
  <si>
    <t>TASK00038</t>
  </si>
  <si>
    <t>REQ00582</t>
  </si>
  <si>
    <t>TASK00039</t>
  </si>
  <si>
    <t>REQ00209</t>
  </si>
  <si>
    <t>TASK00040</t>
  </si>
  <si>
    <t>REQ00173</t>
  </si>
  <si>
    <t>TASK00041</t>
  </si>
  <si>
    <t>REQ00569</t>
  </si>
  <si>
    <t>Project Admin Assistance</t>
  </si>
  <si>
    <t>TASK00042</t>
  </si>
  <si>
    <t>REQ00636</t>
  </si>
  <si>
    <t>TASK00043</t>
  </si>
  <si>
    <t>REQ00494</t>
  </si>
  <si>
    <t>TASK00044</t>
  </si>
  <si>
    <t>REQ00360</t>
  </si>
  <si>
    <t>TASK00045</t>
  </si>
  <si>
    <t>REQ00289</t>
  </si>
  <si>
    <t>Goods Receipting</t>
  </si>
  <si>
    <t>TASK00046</t>
  </si>
  <si>
    <t>REQ00308</t>
  </si>
  <si>
    <t>TASK00047</t>
  </si>
  <si>
    <t>REQ00570</t>
  </si>
  <si>
    <t>TASK00048</t>
  </si>
  <si>
    <t>REQ00517</t>
  </si>
  <si>
    <t>TASK00049</t>
  </si>
  <si>
    <t>REQ00351</t>
  </si>
  <si>
    <t>TASK00050</t>
  </si>
  <si>
    <t>REQ00280</t>
  </si>
  <si>
    <t>TASK00051</t>
  </si>
  <si>
    <t>REQ00471</t>
  </si>
  <si>
    <t>TASK00052</t>
  </si>
  <si>
    <t>REQ00137</t>
  </si>
  <si>
    <t>TASK00053</t>
  </si>
  <si>
    <t>REQ00010</t>
  </si>
  <si>
    <t>TASK00054</t>
  </si>
  <si>
    <t>REQ00501</t>
  </si>
  <si>
    <t>TASK00055</t>
  </si>
  <si>
    <t>REQ00665</t>
  </si>
  <si>
    <t>TASK00056</t>
  </si>
  <si>
    <t>REQ00688</t>
  </si>
  <si>
    <t>TASK00057</t>
  </si>
  <si>
    <t>REQ00386</t>
  </si>
  <si>
    <t>TASK00058</t>
  </si>
  <si>
    <t>REQ00009</t>
  </si>
  <si>
    <t>TASK00059</t>
  </si>
  <si>
    <t>TASK00060</t>
  </si>
  <si>
    <t>REQ00367</t>
  </si>
  <si>
    <t>TASK00061</t>
  </si>
  <si>
    <t>REQ00227</t>
  </si>
  <si>
    <t>TASK00062</t>
  </si>
  <si>
    <t>REQ00288</t>
  </si>
  <si>
    <t>TASK00063</t>
  </si>
  <si>
    <t>REQ00008</t>
  </si>
  <si>
    <t>TASK00064</t>
  </si>
  <si>
    <t>REQ00285</t>
  </si>
  <si>
    <t>TASK00065</t>
  </si>
  <si>
    <t>REQ00676</t>
  </si>
  <si>
    <t>TASK00066</t>
  </si>
  <si>
    <t>REQ00180</t>
  </si>
  <si>
    <t>TASK00067</t>
  </si>
  <si>
    <t>REQ00266</t>
  </si>
  <si>
    <t>TASK00068</t>
  </si>
  <si>
    <t>REQ00281</t>
  </si>
  <si>
    <t>TASK00069</t>
  </si>
  <si>
    <t>REQ00695</t>
  </si>
  <si>
    <t>TASK00070</t>
  </si>
  <si>
    <t>REQ00465</t>
  </si>
  <si>
    <t>TASK00071</t>
  </si>
  <si>
    <t>REQ00666</t>
  </si>
  <si>
    <t>TASK00072</t>
  </si>
  <si>
    <t>REQ00417</t>
  </si>
  <si>
    <t>TASK00073</t>
  </si>
  <si>
    <t>REQ00371</t>
  </si>
  <si>
    <t>TASK00074</t>
  </si>
  <si>
    <t>REQ00049</t>
  </si>
  <si>
    <t>TASK00075</t>
  </si>
  <si>
    <t>REQ00006</t>
  </si>
  <si>
    <t>TASK00076</t>
  </si>
  <si>
    <t>TASK00077</t>
  </si>
  <si>
    <t>REQ00077</t>
  </si>
  <si>
    <t>TASK00078</t>
  </si>
  <si>
    <t>REQ00065</t>
  </si>
  <si>
    <t>TASK00079</t>
  </si>
  <si>
    <t>REQ00025</t>
  </si>
  <si>
    <t>TASK00080</t>
  </si>
  <si>
    <t>REQ00257</t>
  </si>
  <si>
    <t>TASK00081</t>
  </si>
  <si>
    <t>REQ00056</t>
  </si>
  <si>
    <t>TASK00082</t>
  </si>
  <si>
    <t>REQ00075</t>
  </si>
  <si>
    <t>TASK00083</t>
  </si>
  <si>
    <t>REQ00641</t>
  </si>
  <si>
    <t>TASK00084</t>
  </si>
  <si>
    <t>REQ00035</t>
  </si>
  <si>
    <t>TASK00085</t>
  </si>
  <si>
    <t>REQ00131</t>
  </si>
  <si>
    <t>TASK00086</t>
  </si>
  <si>
    <t>REQ00626</t>
  </si>
  <si>
    <t>TASK00087</t>
  </si>
  <si>
    <t>TASK00088</t>
  </si>
  <si>
    <t>REQ00633</t>
  </si>
  <si>
    <t>TASK00089</t>
  </si>
  <si>
    <t>TASK00090</t>
  </si>
  <si>
    <t>REQ00439</t>
  </si>
  <si>
    <t>TASK00091</t>
  </si>
  <si>
    <t>REQ00692</t>
  </si>
  <si>
    <t>TASK00092</t>
  </si>
  <si>
    <t>REQ00198</t>
  </si>
  <si>
    <t>TASK00093</t>
  </si>
  <si>
    <t>REQ00608</t>
  </si>
  <si>
    <t>TASK00094</t>
  </si>
  <si>
    <t>REQ00653</t>
  </si>
  <si>
    <t>TASK00095</t>
  </si>
  <si>
    <t>TASK00096</t>
  </si>
  <si>
    <t>REQ00062</t>
  </si>
  <si>
    <t>TASK00097</t>
  </si>
  <si>
    <t>REQ00668</t>
  </si>
  <si>
    <t>TASK00098</t>
  </si>
  <si>
    <t>REQ00150</t>
  </si>
  <si>
    <t>TASK00099</t>
  </si>
  <si>
    <t>REQ00378</t>
  </si>
  <si>
    <t>TASK00100</t>
  </si>
  <si>
    <t>REQ00149</t>
  </si>
  <si>
    <t>TASK00101</t>
  </si>
  <si>
    <t>TASK00102</t>
  </si>
  <si>
    <t>REQ00207</t>
  </si>
  <si>
    <t>TASK00103</t>
  </si>
  <si>
    <t>REQ00479</t>
  </si>
  <si>
    <t>TASK00104</t>
  </si>
  <si>
    <t>REQ00344</t>
  </si>
  <si>
    <t>TASK00105</t>
  </si>
  <si>
    <t>REQ00466</t>
  </si>
  <si>
    <t>TASK00106</t>
  </si>
  <si>
    <t>REQ00004</t>
  </si>
  <si>
    <t>TASK00107</t>
  </si>
  <si>
    <t>REQ00219</t>
  </si>
  <si>
    <t>TASK00108</t>
  </si>
  <si>
    <t>REQ00340</t>
  </si>
  <si>
    <t>TASK00109</t>
  </si>
  <si>
    <t>REQ00007</t>
  </si>
  <si>
    <t>TASK00110</t>
  </si>
  <si>
    <t>REQ00118</t>
  </si>
  <si>
    <t>TASK00111</t>
  </si>
  <si>
    <t>REQ00369</t>
  </si>
  <si>
    <t>TASK00112</t>
  </si>
  <si>
    <t>REQ00179</t>
  </si>
  <si>
    <t>TASK00113</t>
  </si>
  <si>
    <t>REQ00568</t>
  </si>
  <si>
    <t>TASK00114</t>
  </si>
  <si>
    <t>REQ00269</t>
  </si>
  <si>
    <t>TASK00115</t>
  </si>
  <si>
    <t>REQ00389</t>
  </si>
  <si>
    <t>TASK00116</t>
  </si>
  <si>
    <t>REQ00216</t>
  </si>
  <si>
    <t>TASK00117</t>
  </si>
  <si>
    <t>REQ00677</t>
  </si>
  <si>
    <t>TASK00118</t>
  </si>
  <si>
    <t>REQ00639</t>
  </si>
  <si>
    <t>TASK00119</t>
  </si>
  <si>
    <t>REQ00148</t>
  </si>
  <si>
    <t>TASK00120</t>
  </si>
  <si>
    <t>REQ00546</t>
  </si>
  <si>
    <t>TASK00121</t>
  </si>
  <si>
    <t>REQ00652</t>
  </si>
  <si>
    <t>TASK00122</t>
  </si>
  <si>
    <t>REQ00194</t>
  </si>
  <si>
    <t>TASK00123</t>
  </si>
  <si>
    <t>REQ00254</t>
  </si>
  <si>
    <t>TASK00124</t>
  </si>
  <si>
    <t>REQ00521</t>
  </si>
  <si>
    <t>TASK00125</t>
  </si>
  <si>
    <t>REQ00084</t>
  </si>
  <si>
    <t>TASK00126</t>
  </si>
  <si>
    <t>REQ00172</t>
  </si>
  <si>
    <t>TASK00127</t>
  </si>
  <si>
    <t>REQ00522</t>
  </si>
  <si>
    <t>TASK00128</t>
  </si>
  <si>
    <t>REQ00383</t>
  </si>
  <si>
    <t>TASK00129</t>
  </si>
  <si>
    <t>REQ00486</t>
  </si>
  <si>
    <t>TASK00130</t>
  </si>
  <si>
    <t>REQ00598</t>
  </si>
  <si>
    <t>TASK00131</t>
  </si>
  <si>
    <t>REQ00463</t>
  </si>
  <si>
    <t>TASK00132</t>
  </si>
  <si>
    <t>TASK00133</t>
  </si>
  <si>
    <t>REQ00564</t>
  </si>
  <si>
    <t>TASK00134</t>
  </si>
  <si>
    <t>REQ00532</t>
  </si>
  <si>
    <t>TASK00135</t>
  </si>
  <si>
    <t>REQ00637</t>
  </si>
  <si>
    <t>TASK00136</t>
  </si>
  <si>
    <t>REQ00377</t>
  </si>
  <si>
    <t>TASK00137</t>
  </si>
  <si>
    <t>REQ00184</t>
  </si>
  <si>
    <t>TASK00138</t>
  </si>
  <si>
    <t>REQ00085</t>
  </si>
  <si>
    <t>TASK00139</t>
  </si>
  <si>
    <t>REQ00081</t>
  </si>
  <si>
    <t>TASK00140</t>
  </si>
  <si>
    <t>REQ00074</t>
  </si>
  <si>
    <t>TASK00141</t>
  </si>
  <si>
    <t>TASK00142</t>
  </si>
  <si>
    <t>REQ00700</t>
  </si>
  <si>
    <t>TASK00143</t>
  </si>
  <si>
    <t>TASK00144</t>
  </si>
  <si>
    <t>REQ00268</t>
  </si>
  <si>
    <t>TASK00145</t>
  </si>
  <si>
    <t>REQ00414</t>
  </si>
  <si>
    <t>TASK00146</t>
  </si>
  <si>
    <t>REQ00013</t>
  </si>
  <si>
    <t>TASK00147</t>
  </si>
  <si>
    <t>REQ00153</t>
  </si>
  <si>
    <t>TASK00148</t>
  </si>
  <si>
    <t>REQ00215</t>
  </si>
  <si>
    <t>TASK00149</t>
  </si>
  <si>
    <t>REQ00480</t>
  </si>
  <si>
    <t>TASK00150</t>
  </si>
  <si>
    <t>REQ00321</t>
  </si>
  <si>
    <t>TASK00151</t>
  </si>
  <si>
    <t>REQ00428</t>
  </si>
  <si>
    <t>TASK00152</t>
  </si>
  <si>
    <t>REQ00384</t>
  </si>
  <si>
    <t>TASK00153</t>
  </si>
  <si>
    <t>TASK00154</t>
  </si>
  <si>
    <t>REQ00231</t>
  </si>
  <si>
    <t>TASK00155</t>
  </si>
  <si>
    <t>REQ00551</t>
  </si>
  <si>
    <t>TASK00156</t>
  </si>
  <si>
    <t>REQ00033</t>
  </si>
  <si>
    <t>TASK00157</t>
  </si>
  <si>
    <t>REQ00339</t>
  </si>
  <si>
    <t>TASK00158</t>
  </si>
  <si>
    <t>REQ00588</t>
  </si>
  <si>
    <t>TASK00159</t>
  </si>
  <si>
    <t>REQ00401</t>
  </si>
  <si>
    <t>TASK00160</t>
  </si>
  <si>
    <t>REQ00337</t>
  </si>
  <si>
    <t>TASK00161</t>
  </si>
  <si>
    <t>REQ00096</t>
  </si>
  <si>
    <t>TASK00162</t>
  </si>
  <si>
    <t>REQ00618</t>
  </si>
  <si>
    <t>TASK00163</t>
  </si>
  <si>
    <t>REQ00396</t>
  </si>
  <si>
    <t>TASK00164</t>
  </si>
  <si>
    <t>REQ00072</t>
  </si>
  <si>
    <t>TASK00165</t>
  </si>
  <si>
    <t>REQ00335</t>
  </si>
  <si>
    <t>TASK00166</t>
  </si>
  <si>
    <t>REQ00114</t>
  </si>
  <si>
    <t>TASK00167</t>
  </si>
  <si>
    <t>REQ00399</t>
  </si>
  <si>
    <t>TASK00168</t>
  </si>
  <si>
    <t>REQ00211</t>
  </si>
  <si>
    <t>TASK00169</t>
  </si>
  <si>
    <t>REQ00163</t>
  </si>
  <si>
    <t>TASK00170</t>
  </si>
  <si>
    <t>REQ00515</t>
  </si>
  <si>
    <t>TASK00171</t>
  </si>
  <si>
    <t>REQ00147</t>
  </si>
  <si>
    <t>TASK00172</t>
  </si>
  <si>
    <t>TASK00173</t>
  </si>
  <si>
    <t>REQ00472</t>
  </si>
  <si>
    <t>TASK00174</t>
  </si>
  <si>
    <t>REQ00662</t>
  </si>
  <si>
    <t>TASK00175</t>
  </si>
  <si>
    <t>REQ00305</t>
  </si>
  <si>
    <t>TASK00176</t>
  </si>
  <si>
    <t>REQ00426</t>
  </si>
  <si>
    <t>TASK00177</t>
  </si>
  <si>
    <t>REQ00469</t>
  </si>
  <si>
    <t>TASK00178</t>
  </si>
  <si>
    <t>REQ00098</t>
  </si>
  <si>
    <t>TASK00179</t>
  </si>
  <si>
    <t>REQ00162</t>
  </si>
  <si>
    <t>TASK00180</t>
  </si>
  <si>
    <t>REQ00069</t>
  </si>
  <si>
    <t>TASK00181</t>
  </si>
  <si>
    <t>REQ00506</t>
  </si>
  <si>
    <t>TASK00182</t>
  </si>
  <si>
    <t>TASK00183</t>
  </si>
  <si>
    <t>REQ00334</t>
  </si>
  <si>
    <t>TASK00184</t>
  </si>
  <si>
    <t>REQ00046</t>
  </si>
  <si>
    <t>TASK00185</t>
  </si>
  <si>
    <t>REQ00473</t>
  </si>
  <si>
    <t>TASK00186</t>
  </si>
  <si>
    <t>REQ00407</t>
  </si>
  <si>
    <t>TASK00187</t>
  </si>
  <si>
    <t>REQ00140</t>
  </si>
  <si>
    <t>TASK00188</t>
  </si>
  <si>
    <t>REQ00070</t>
  </si>
  <si>
    <t>TASK00189</t>
  </si>
  <si>
    <t>REQ00449</t>
  </si>
  <si>
    <t>TASK00190</t>
  </si>
  <si>
    <t>REQ00175</t>
  </si>
  <si>
    <t>TASK00191</t>
  </si>
  <si>
    <t>REQ00128</t>
  </si>
  <si>
    <t>TASK00192</t>
  </si>
  <si>
    <t>REQ00012</t>
  </si>
  <si>
    <t>TASK00193</t>
  </si>
  <si>
    <t>REQ00222</t>
  </si>
  <si>
    <t>TASK00194</t>
  </si>
  <si>
    <t>REQ00453</t>
  </si>
  <si>
    <t>TASK00195</t>
  </si>
  <si>
    <t>REQ00657</t>
  </si>
  <si>
    <t>TASK00196</t>
  </si>
  <si>
    <t>REQ00316</t>
  </si>
  <si>
    <t>TASK00197</t>
  </si>
  <si>
    <t>TASK00198</t>
  </si>
  <si>
    <t>REQ00245</t>
  </si>
  <si>
    <t>TASK00199</t>
  </si>
  <si>
    <t>REQ00015</t>
  </si>
  <si>
    <t>TASK00200</t>
  </si>
  <si>
    <t>REQ00226</t>
  </si>
  <si>
    <t>TASK00201</t>
  </si>
  <si>
    <t>REQ00681</t>
  </si>
  <si>
    <t>TASK00202</t>
  </si>
  <si>
    <t>REQ00111</t>
  </si>
  <si>
    <t>TASK00203</t>
  </si>
  <si>
    <t>TASK00204</t>
  </si>
  <si>
    <t>TASK00205</t>
  </si>
  <si>
    <t>REQ00016</t>
  </si>
  <si>
    <t>TASK00206</t>
  </si>
  <si>
    <t>REQ00470</t>
  </si>
  <si>
    <t>TASK00207</t>
  </si>
  <si>
    <t>TASK00208</t>
  </si>
  <si>
    <t>REQ00309</t>
  </si>
  <si>
    <t>TASK00209</t>
  </si>
  <si>
    <t>REQ00550</t>
  </si>
  <si>
    <t>TASK00210</t>
  </si>
  <si>
    <t>REQ00258</t>
  </si>
  <si>
    <t>TASK00211</t>
  </si>
  <si>
    <t>REQ00398</t>
  </si>
  <si>
    <t>TASK00212</t>
  </si>
  <si>
    <t>REQ00341</t>
  </si>
  <si>
    <t>TASK00213</t>
  </si>
  <si>
    <t>REQ00683</t>
  </si>
  <si>
    <t>TASK00214</t>
  </si>
  <si>
    <t>REQ00600</t>
  </si>
  <si>
    <t>TASK00215</t>
  </si>
  <si>
    <t>REQ00516</t>
  </si>
  <si>
    <t>TASK00216</t>
  </si>
  <si>
    <t>REQ00632</t>
  </si>
  <si>
    <t>TASK00217</t>
  </si>
  <si>
    <t>TASK00218</t>
  </si>
  <si>
    <t>TASK00219</t>
  </si>
  <si>
    <t>REQ00658</t>
  </si>
  <si>
    <t>TASK00220</t>
  </si>
  <si>
    <t>REQ00455</t>
  </si>
  <si>
    <t>TASK00221</t>
  </si>
  <si>
    <t>REQ00660</t>
  </si>
  <si>
    <t>TASK00222</t>
  </si>
  <si>
    <t>REQ00425</t>
  </si>
  <si>
    <t>TASK00223</t>
  </si>
  <si>
    <t>TASK00224</t>
  </si>
  <si>
    <t>TASK00225</t>
  </si>
  <si>
    <t>REQ00228</t>
  </si>
  <si>
    <t>TASK00226</t>
  </si>
  <si>
    <t>TASK00227</t>
  </si>
  <si>
    <t>TASK00228</t>
  </si>
  <si>
    <t>REQ00129</t>
  </si>
  <si>
    <t>TASK00229</t>
  </si>
  <si>
    <t>REQ00210</t>
  </si>
  <si>
    <t>TASK00230</t>
  </si>
  <si>
    <t>REQ00319</t>
  </si>
  <si>
    <t>TASK00231</t>
  </si>
  <si>
    <t>REQ00621</t>
  </si>
  <si>
    <t>TASK00232</t>
  </si>
  <si>
    <t>REQ00651</t>
  </si>
  <si>
    <t>TASK00233</t>
  </si>
  <si>
    <t>TASK00234</t>
  </si>
  <si>
    <t>REQ00518</t>
  </si>
  <si>
    <t>TASK00235</t>
  </si>
  <si>
    <t>TASK00236</t>
  </si>
  <si>
    <t>TASK00237</t>
  </si>
  <si>
    <t>REQ00264</t>
  </si>
  <si>
    <t>TASK00238</t>
  </si>
  <si>
    <t>REQ00576</t>
  </si>
  <si>
    <t>TASK00239</t>
  </si>
  <si>
    <t>REQ00481</t>
  </si>
  <si>
    <t>TASK00240</t>
  </si>
  <si>
    <t>REQ00513</t>
  </si>
  <si>
    <t>TASK00241</t>
  </si>
  <si>
    <t>TASK00242</t>
  </si>
  <si>
    <t>REQ00502</t>
  </si>
  <si>
    <t>TASK00243</t>
  </si>
  <si>
    <t>REQ00040</t>
  </si>
  <si>
    <t>TASK00244</t>
  </si>
  <si>
    <t>REQ00167</t>
  </si>
  <si>
    <t>TASK00245</t>
  </si>
  <si>
    <t>REQ00357</t>
  </si>
  <si>
    <t>TASK00246</t>
  </si>
  <si>
    <t>TASK00247</t>
  </si>
  <si>
    <t>REQ00249</t>
  </si>
  <si>
    <t>TASK00248</t>
  </si>
  <si>
    <t>REQ00693</t>
  </si>
  <si>
    <t>TASK00249</t>
  </si>
  <si>
    <t>REQ00620</t>
  </si>
  <si>
    <t>TASK00250</t>
  </si>
  <si>
    <t>REQ00617</t>
  </si>
  <si>
    <t>TASK00251</t>
  </si>
  <si>
    <t>REQ00120</t>
  </si>
  <si>
    <t>TASK00252</t>
  </si>
  <si>
    <t>REQ00408</t>
  </si>
  <si>
    <t>TASK00253</t>
  </si>
  <si>
    <t>TASK00254</t>
  </si>
  <si>
    <t>REQ00310</t>
  </si>
  <si>
    <t>TASK00255</t>
  </si>
  <si>
    <t>REQ00601</t>
  </si>
  <si>
    <t>TASK00256</t>
  </si>
  <si>
    <t>TASK00257</t>
  </si>
  <si>
    <t>TASK00258</t>
  </si>
  <si>
    <t>TASK00259</t>
  </si>
  <si>
    <t>REQ00100</t>
  </si>
  <si>
    <t>TASK00260</t>
  </si>
  <si>
    <t>REQ00671</t>
  </si>
  <si>
    <t>TASK00261</t>
  </si>
  <si>
    <t>REQ00191</t>
  </si>
  <si>
    <t>TASK00262</t>
  </si>
  <si>
    <t>REQ00113</t>
  </si>
  <si>
    <t>TASK00263</t>
  </si>
  <si>
    <t>TASK00264</t>
  </si>
  <si>
    <t>TASK00265</t>
  </si>
  <si>
    <t>TASK00266</t>
  </si>
  <si>
    <t>REQ00284</t>
  </si>
  <si>
    <t>TASK00267</t>
  </si>
  <si>
    <t>REQ00497</t>
  </si>
  <si>
    <t>TASK00268</t>
  </si>
  <si>
    <t>TASK00269</t>
  </si>
  <si>
    <t>REQ00217</t>
  </si>
  <si>
    <t>TASK00270</t>
  </si>
  <si>
    <t>REQ00273</t>
  </si>
  <si>
    <t>TASK00271</t>
  </si>
  <si>
    <t>REQ00440</t>
  </si>
  <si>
    <t>TASK00272</t>
  </si>
  <si>
    <t>REQ00323</t>
  </si>
  <si>
    <t>TASK00273</t>
  </si>
  <si>
    <t>REQ00388</t>
  </si>
  <si>
    <t>TASK00274</t>
  </si>
  <si>
    <t>REQ00103</t>
  </si>
  <si>
    <t>TASK00275</t>
  </si>
  <si>
    <t>REQ00143</t>
  </si>
  <si>
    <t>TASK00276</t>
  </si>
  <si>
    <t>REQ00255</t>
  </si>
  <si>
    <t>TASK00277</t>
  </si>
  <si>
    <t>REQ00487</t>
  </si>
  <si>
    <t>TASK00278</t>
  </si>
  <si>
    <t>REQ00654</t>
  </si>
  <si>
    <t>TASK00279</t>
  </si>
  <si>
    <t>TASK00280</t>
  </si>
  <si>
    <t>TASK00281</t>
  </si>
  <si>
    <t>REQ00628</t>
  </si>
  <si>
    <t>TASK00282</t>
  </si>
  <si>
    <t>REQ00488</t>
  </si>
  <si>
    <t>TASK00283</t>
  </si>
  <si>
    <t>REQ00395</t>
  </si>
  <si>
    <t>TASK00284</t>
  </si>
  <si>
    <t>REQ00533</t>
  </si>
  <si>
    <t>TASK00285</t>
  </si>
  <si>
    <t>TASK00286</t>
  </si>
  <si>
    <t>REQ00690</t>
  </si>
  <si>
    <t>TASK00287</t>
  </si>
  <si>
    <t>REQ00457</t>
  </si>
  <si>
    <t>TASK00288</t>
  </si>
  <si>
    <t>REQ00250</t>
  </si>
  <si>
    <t>TASK00289</t>
  </si>
  <si>
    <t>TASK00290</t>
  </si>
  <si>
    <t>TASK00291</t>
  </si>
  <si>
    <t>TASK00292</t>
  </si>
  <si>
    <t>REQ00682</t>
  </si>
  <si>
    <t>TASK00293</t>
  </si>
  <si>
    <t>REQ00093</t>
  </si>
  <si>
    <t>TASK00294</t>
  </si>
  <si>
    <t>REQ00590</t>
  </si>
  <si>
    <t>TASK00295</t>
  </si>
  <si>
    <t>TASK00296</t>
  </si>
  <si>
    <t>REQ00670</t>
  </si>
  <si>
    <t>TASK00297</t>
  </si>
  <si>
    <t>REQ00239</t>
  </si>
  <si>
    <t>TASK00298</t>
  </si>
  <si>
    <t>TASK00299</t>
  </si>
  <si>
    <t>REQ00119</t>
  </si>
  <si>
    <t>TASK00300</t>
  </si>
  <si>
    <t>REQ00390</t>
  </si>
  <si>
    <t>TASK00301</t>
  </si>
  <si>
    <t>REQ00549</t>
  </si>
  <si>
    <t>TASK00302</t>
  </si>
  <si>
    <t>REQ00374</t>
  </si>
  <si>
    <t>TASK00303</t>
  </si>
  <si>
    <t>REQ00680</t>
  </si>
  <si>
    <t>TASK00304</t>
  </si>
  <si>
    <t>REQ00552</t>
  </si>
  <si>
    <t>TASK00305</t>
  </si>
  <si>
    <t>REQ00304</t>
  </si>
  <si>
    <t>TASK00306</t>
  </si>
  <si>
    <t>REQ00616</t>
  </si>
  <si>
    <t>TASK00307</t>
  </si>
  <si>
    <t>REQ00036</t>
  </si>
  <si>
    <t>TASK00308</t>
  </si>
  <si>
    <t>REQ00127</t>
  </si>
  <si>
    <t>TASK00309</t>
  </si>
  <si>
    <t>REQ00647</t>
  </si>
  <si>
    <t>TASK00310</t>
  </si>
  <si>
    <t>TASK00311</t>
  </si>
  <si>
    <t>TASK00312</t>
  </si>
  <si>
    <t>TASK00313</t>
  </si>
  <si>
    <t>REQ00402</t>
  </si>
  <si>
    <t>TASK00314</t>
  </si>
  <si>
    <t>REQ00164</t>
  </si>
  <si>
    <t>TASK00315</t>
  </si>
  <si>
    <t>TASK00316</t>
  </si>
  <si>
    <t>TASK00317</t>
  </si>
  <si>
    <t>REQ00200</t>
  </si>
  <si>
    <t>TASK00318</t>
  </si>
  <si>
    <t>TASK00319</t>
  </si>
  <si>
    <t>REQ00312</t>
  </si>
  <si>
    <t>TASK00320</t>
  </si>
  <si>
    <t>REQ00495</t>
  </si>
  <si>
    <t>TASK00321</t>
  </si>
  <si>
    <t>REQ00201</t>
  </si>
  <si>
    <t>TASK00322</t>
  </si>
  <si>
    <t>TASK00323</t>
  </si>
  <si>
    <t>TASK00324</t>
  </si>
  <si>
    <t>REQ00058</t>
  </si>
  <si>
    <t>TASK00325</t>
  </si>
  <si>
    <t>TASK00326</t>
  </si>
  <si>
    <t>REQ00445</t>
  </si>
  <si>
    <t>TASK00327</t>
  </si>
  <si>
    <t>TASK00328</t>
  </si>
  <si>
    <t>REQ00611</t>
  </si>
  <si>
    <t>TASK00329</t>
  </si>
  <si>
    <t>REQ00687</t>
  </si>
  <si>
    <t>TASK00330</t>
  </si>
  <si>
    <t>TASK00331</t>
  </si>
  <si>
    <t>TASK00332</t>
  </si>
  <si>
    <t>REQ00685</t>
  </si>
  <si>
    <t>TASK00333</t>
  </si>
  <si>
    <t>REQ00587</t>
  </si>
  <si>
    <t>TASK00334</t>
  </si>
  <si>
    <t>TASK00335</t>
  </si>
  <si>
    <t>TASK00336</t>
  </si>
  <si>
    <t>TASK00337</t>
  </si>
  <si>
    <t>TASK00338</t>
  </si>
  <si>
    <t>REQ00066</t>
  </si>
  <si>
    <t>TASK00339</t>
  </si>
  <si>
    <t>TASK00340</t>
  </si>
  <si>
    <t>REQ00121</t>
  </si>
  <si>
    <t>TASK00341</t>
  </si>
  <si>
    <t>TASK00342</t>
  </si>
  <si>
    <t>REQ00589</t>
  </si>
  <si>
    <t>TASK00343</t>
  </si>
  <si>
    <t>TASK00344</t>
  </si>
  <si>
    <t>REQ00558</t>
  </si>
  <si>
    <t>TASK00345</t>
  </si>
  <si>
    <t>TASK00346</t>
  </si>
  <si>
    <t>REQ00301</t>
  </si>
  <si>
    <t>TASK00347</t>
  </si>
  <si>
    <t>TASK00348</t>
  </si>
  <si>
    <t>TASK00349</t>
  </si>
  <si>
    <t>TASK00350</t>
  </si>
  <si>
    <t>REQ00221</t>
  </si>
  <si>
    <t>TASK00351</t>
  </si>
  <si>
    <t>REQ00368</t>
  </si>
  <si>
    <t>TASK00352</t>
  </si>
  <si>
    <t>TASK00353</t>
  </si>
  <si>
    <t>REQ00410</t>
  </si>
  <si>
    <t>TASK00354</t>
  </si>
  <si>
    <t>TASK00355</t>
  </si>
  <si>
    <t>REQ00649</t>
  </si>
  <si>
    <t>TASK00356</t>
  </si>
  <si>
    <t>REQ00674</t>
  </si>
  <si>
    <t>TASK00357</t>
  </si>
  <si>
    <t>REQ00158</t>
  </si>
  <si>
    <t>TASK00358</t>
  </si>
  <si>
    <t>REQ00619</t>
  </si>
  <si>
    <t>TASK00359</t>
  </si>
  <si>
    <t>REQ00562</t>
  </si>
  <si>
    <t>TASK00360</t>
  </si>
  <si>
    <t>REQ00342</t>
  </si>
  <si>
    <t>TASK00361</t>
  </si>
  <si>
    <t>TASK00362</t>
  </si>
  <si>
    <t>TASK00363</t>
  </si>
  <si>
    <t>REQ00540</t>
  </si>
  <si>
    <t>TASK00364</t>
  </si>
  <si>
    <t>TASK00365</t>
  </si>
  <si>
    <t>TASK00366</t>
  </si>
  <si>
    <t>TASK00367</t>
  </si>
  <si>
    <t>TASK00368</t>
  </si>
  <si>
    <t>REQ00413</t>
  </si>
  <si>
    <t>TASK00369</t>
  </si>
  <si>
    <t>REQ00526</t>
  </si>
  <si>
    <t>TASK00370</t>
  </si>
  <si>
    <t>TASK00371</t>
  </si>
  <si>
    <t>REQ00380</t>
  </si>
  <si>
    <t>TASK00372</t>
  </si>
  <si>
    <t>TASK00373</t>
  </si>
  <si>
    <t>TASK00374</t>
  </si>
  <si>
    <t>REQ00235</t>
  </si>
  <si>
    <t>TASK00375</t>
  </si>
  <si>
    <t>TASK00376</t>
  </si>
  <si>
    <t>REQ00079</t>
  </si>
  <si>
    <t>TASK00377</t>
  </si>
  <si>
    <t>REQ00059</t>
  </si>
  <si>
    <t>TASK00378</t>
  </si>
  <si>
    <t>REQ00011</t>
  </si>
  <si>
    <t>TASK00379</t>
  </si>
  <si>
    <t>TASK00380</t>
  </si>
  <si>
    <t>TASK00381</t>
  </si>
  <si>
    <t>TASK00382</t>
  </si>
  <si>
    <t>REQ00251</t>
  </si>
  <si>
    <t>TASK00383</t>
  </si>
  <si>
    <t>REQ00541</t>
  </si>
  <si>
    <t>TASK00384</t>
  </si>
  <si>
    <t>TASK00385</t>
  </si>
  <si>
    <t>TASK00386</t>
  </si>
  <si>
    <t>REQ00362</t>
  </si>
  <si>
    <t>TASK00387</t>
  </si>
  <si>
    <t>TASK00388</t>
  </si>
  <si>
    <t>REQ00553</t>
  </si>
  <si>
    <t>TASK00389</t>
  </si>
  <si>
    <t>TASK00390</t>
  </si>
  <si>
    <t>REQ00583</t>
  </si>
  <si>
    <t>TASK00391</t>
  </si>
  <si>
    <t>REQ00659</t>
  </si>
  <si>
    <t>TASK00392</t>
  </si>
  <si>
    <t>TASK00393</t>
  </si>
  <si>
    <t>TASK00394</t>
  </si>
  <si>
    <t>TASK00395</t>
  </si>
  <si>
    <t>REQ00203</t>
  </si>
  <si>
    <t>TASK00396</t>
  </si>
  <si>
    <t>TASK00397</t>
  </si>
  <si>
    <t>TASK00398</t>
  </si>
  <si>
    <t>TASK00399</t>
  </si>
  <si>
    <t>REQ00450</t>
  </si>
  <si>
    <t>TASK00400</t>
  </si>
  <si>
    <t>TASK00401</t>
  </si>
  <si>
    <t>TASK00402</t>
  </si>
  <si>
    <t>TASK00403</t>
  </si>
  <si>
    <t>REQ00491</t>
  </si>
  <si>
    <t>TASK00404</t>
  </si>
  <si>
    <t>TASK00405</t>
  </si>
  <si>
    <t>REQ00333</t>
  </si>
  <si>
    <t>TASK00406</t>
  </si>
  <si>
    <t>TASK00407</t>
  </si>
  <si>
    <t>REQ00130</t>
  </si>
  <si>
    <t>TASK00408</t>
  </si>
  <si>
    <t>REQ00243</t>
  </si>
  <si>
    <t>TASK00409</t>
  </si>
  <si>
    <t>REQ00612</t>
  </si>
  <si>
    <t>TASK00410</t>
  </si>
  <si>
    <t>REQ00498</t>
  </si>
  <si>
    <t>TASK00411</t>
  </si>
  <si>
    <t>REQ00524</t>
  </si>
  <si>
    <t>TASK00412</t>
  </si>
  <si>
    <t>REQ00270</t>
  </si>
  <si>
    <t>TASK00413</t>
  </si>
  <si>
    <t>REQ00204</t>
  </si>
  <si>
    <t>TASK00414</t>
  </si>
  <si>
    <t>TASK00415</t>
  </si>
  <si>
    <t>REQ00645</t>
  </si>
  <si>
    <t>TASK00416</t>
  </si>
  <si>
    <t>TASK00417</t>
  </si>
  <si>
    <t>REQ00019</t>
  </si>
  <si>
    <t>TASK00418</t>
  </si>
  <si>
    <t>REQ00418</t>
  </si>
  <si>
    <t>TASK00419</t>
  </si>
  <si>
    <t>TASK00420</t>
  </si>
  <si>
    <t>TASK00421</t>
  </si>
  <si>
    <t>TASK00422</t>
  </si>
  <si>
    <t>REQ00187</t>
  </si>
  <si>
    <t>TASK00423</t>
  </si>
  <si>
    <t>TASK00424</t>
  </si>
  <si>
    <t>REQ00442</t>
  </si>
  <si>
    <t>TASK00425</t>
  </si>
  <si>
    <t>TASK00426</t>
  </si>
  <si>
    <t>REQ00134</t>
  </si>
  <si>
    <t>TASK00427</t>
  </si>
  <si>
    <t>TASK00428</t>
  </si>
  <si>
    <t>TASK00429</t>
  </si>
  <si>
    <t>TASK00430</t>
  </si>
  <si>
    <t>TASK00431</t>
  </si>
  <si>
    <t>REQ00102</t>
  </si>
  <si>
    <t>TASK00432</t>
  </si>
  <si>
    <t>TASK00433</t>
  </si>
  <si>
    <t>REQ00045</t>
  </si>
  <si>
    <t>TASK00434</t>
  </si>
  <si>
    <t>REQ00574</t>
  </si>
  <si>
    <t>TASK00435</t>
  </si>
  <si>
    <t>TASK00436</t>
  </si>
  <si>
    <t>TASK00437</t>
  </si>
  <si>
    <t>TASK00438</t>
  </si>
  <si>
    <t>REQ00195</t>
  </si>
  <si>
    <t>TASK00439</t>
  </si>
  <si>
    <t>TASK00440</t>
  </si>
  <si>
    <t>REQ00394</t>
  </si>
  <si>
    <t>TASK00441</t>
  </si>
  <si>
    <t>REQ00212</t>
  </si>
  <si>
    <t>TASK00442</t>
  </si>
  <si>
    <t>TASK00443</t>
  </si>
  <si>
    <t>REQ00538</t>
  </si>
  <si>
    <t>TASK00444</t>
  </si>
  <si>
    <t>REQ00275</t>
  </si>
  <si>
    <t>TASK00445</t>
  </si>
  <si>
    <t>REQ00244</t>
  </si>
  <si>
    <t>TASK00446</t>
  </si>
  <si>
    <t>TASK00447</t>
  </si>
  <si>
    <t>TASK00448</t>
  </si>
  <si>
    <t>TASK00449</t>
  </si>
  <si>
    <t>TASK00450</t>
  </si>
  <si>
    <t>REQ00271</t>
  </si>
  <si>
    <t>TASK00451</t>
  </si>
  <si>
    <t>TASK00452</t>
  </si>
  <si>
    <t>REQ00365</t>
  </si>
  <si>
    <t>TASK00453</t>
  </si>
  <si>
    <t>REQ00017</t>
  </si>
  <si>
    <t>TASK00454</t>
  </si>
  <si>
    <t>TASK00455</t>
  </si>
  <si>
    <t>TASK00456</t>
  </si>
  <si>
    <t>TASK00457</t>
  </si>
  <si>
    <t>REQ00596</t>
  </si>
  <si>
    <t>TASK00458</t>
  </si>
  <si>
    <t>TASK00459</t>
  </si>
  <si>
    <t>TASK00460</t>
  </si>
  <si>
    <t>REQ00181</t>
  </si>
  <si>
    <t>TASK00461</t>
  </si>
  <si>
    <t>REQ00664</t>
  </si>
  <si>
    <t>TASK00462</t>
  </si>
  <si>
    <t>REQ00404</t>
  </si>
  <si>
    <t>TASK00463</t>
  </si>
  <si>
    <t>REQ00437</t>
  </si>
  <si>
    <t>TASK00464</t>
  </si>
  <si>
    <t>TASK00465</t>
  </si>
  <si>
    <t>TASK00466</t>
  </si>
  <si>
    <t>REQ00014</t>
  </si>
  <si>
    <t>TASK00467</t>
  </si>
  <si>
    <t>TASK00468</t>
  </si>
  <si>
    <t>REQ00615</t>
  </si>
  <si>
    <t>TASK00469</t>
  </si>
  <si>
    <t>REQ00109</t>
  </si>
  <si>
    <t>TASK00470</t>
  </si>
  <si>
    <t>REQ00088</t>
  </si>
  <si>
    <t>TASK00471</t>
  </si>
  <si>
    <t>TASK00472</t>
  </si>
  <si>
    <t>TASK00473</t>
  </si>
  <si>
    <t>TASK00474</t>
  </si>
  <si>
    <t>REQ00106</t>
  </si>
  <si>
    <t>TASK00475</t>
  </si>
  <si>
    <t>REQ00230</t>
  </si>
  <si>
    <t>TASK00476</t>
  </si>
  <si>
    <t>REQ00672</t>
  </si>
  <si>
    <t>TASK00477</t>
  </si>
  <si>
    <t>REQ00116</t>
  </si>
  <si>
    <t>TASK00478</t>
  </si>
  <si>
    <t>TASK00479</t>
  </si>
  <si>
    <t>REQ00087</t>
  </si>
  <si>
    <t>TASK00480</t>
  </si>
  <si>
    <t>REQ00544</t>
  </si>
  <si>
    <t>TASK00481</t>
  </si>
  <si>
    <t>REQ00684</t>
  </si>
  <si>
    <t>TASK00482</t>
  </si>
  <si>
    <t>REQ00107</t>
  </si>
  <si>
    <t>TASK00483</t>
  </si>
  <si>
    <t>REQ00272</t>
  </si>
  <si>
    <t>TASK00484</t>
  </si>
  <si>
    <t>REQ00003</t>
  </si>
  <si>
    <t>TASK00485</t>
  </si>
  <si>
    <t>REQ00151</t>
  </si>
  <si>
    <t>TASK00486</t>
  </si>
  <si>
    <t>REQ00490</t>
  </si>
  <si>
    <t>TASK00487</t>
  </si>
  <si>
    <t>REQ00286</t>
  </si>
  <si>
    <t>TASK00488</t>
  </si>
  <si>
    <t>TASK00489</t>
  </si>
  <si>
    <t>REQ00424</t>
  </si>
  <si>
    <t>TASK00490</t>
  </si>
  <si>
    <t>TASK00491</t>
  </si>
  <si>
    <t>TASK00492</t>
  </si>
  <si>
    <t>TASK00493</t>
  </si>
  <si>
    <t>REQ00225</t>
  </si>
  <si>
    <t>TASK00494</t>
  </si>
  <si>
    <t>REQ00018</t>
  </si>
  <si>
    <t>TASK00495</t>
  </si>
  <si>
    <t>TASK00496</t>
  </si>
  <si>
    <t>TASK00497</t>
  </si>
  <si>
    <t>REQ00432</t>
  </si>
  <si>
    <t>TASK00498</t>
  </si>
  <si>
    <t>TASK00499</t>
  </si>
  <si>
    <t>REQ00027</t>
  </si>
  <si>
    <t>TASK00500</t>
  </si>
  <si>
    <t>RequestType</t>
  </si>
  <si>
    <t>Channel</t>
  </si>
  <si>
    <t>CreatedDate</t>
  </si>
  <si>
    <t>SLA_Hours</t>
  </si>
  <si>
    <t>TouchTime_Hours</t>
  </si>
  <si>
    <t>WaitTime_Hours</t>
  </si>
  <si>
    <t>SLA_Breach</t>
  </si>
  <si>
    <t>BacklogDays</t>
  </si>
  <si>
    <t>REQ00001</t>
  </si>
  <si>
    <t>Teams</t>
  </si>
  <si>
    <t>Closed</t>
  </si>
  <si>
    <t>REQ00002</t>
  </si>
  <si>
    <t>Email</t>
  </si>
  <si>
    <t>Jira Form</t>
  </si>
  <si>
    <t>Escalated</t>
  </si>
  <si>
    <t>REQ00005</t>
  </si>
  <si>
    <t>Open</t>
  </si>
  <si>
    <t>Salesforce Case</t>
  </si>
  <si>
    <t>REQ00021</t>
  </si>
  <si>
    <t>REQ00022</t>
  </si>
  <si>
    <t>REQ00023</t>
  </si>
  <si>
    <t>REQ00024</t>
  </si>
  <si>
    <t>REQ00028</t>
  </si>
  <si>
    <t>REQ00029</t>
  </si>
  <si>
    <t>REQ00030</t>
  </si>
  <si>
    <t>REQ00031</t>
  </si>
  <si>
    <t>REQ00032</t>
  </si>
  <si>
    <t>REQ00034</t>
  </si>
  <si>
    <t>REQ00037</t>
  </si>
  <si>
    <t>REQ00038</t>
  </si>
  <si>
    <t>REQ00039</t>
  </si>
  <si>
    <t>REQ00041</t>
  </si>
  <si>
    <t>REQ00042</t>
  </si>
  <si>
    <t>REQ00043</t>
  </si>
  <si>
    <t>REQ00044</t>
  </si>
  <si>
    <t>REQ00047</t>
  </si>
  <si>
    <t>REQ00048</t>
  </si>
  <si>
    <t>REQ00050</t>
  </si>
  <si>
    <t>REQ00051</t>
  </si>
  <si>
    <t>REQ00052</t>
  </si>
  <si>
    <t>REQ00053</t>
  </si>
  <si>
    <t>REQ00055</t>
  </si>
  <si>
    <t>REQ00057</t>
  </si>
  <si>
    <t>REQ00063</t>
  </si>
  <si>
    <t>REQ00064</t>
  </si>
  <si>
    <t>REQ00067</t>
  </si>
  <si>
    <t>REQ00068</t>
  </si>
  <si>
    <t>REQ00071</t>
  </si>
  <si>
    <t>REQ00073</t>
  </si>
  <si>
    <t>REQ00076</t>
  </si>
  <si>
    <t>REQ00078</t>
  </si>
  <si>
    <t>REQ00080</t>
  </si>
  <si>
    <t>REQ00082</t>
  </si>
  <si>
    <t>REQ00083</t>
  </si>
  <si>
    <t>REQ00086</t>
  </si>
  <si>
    <t>REQ00089</t>
  </si>
  <si>
    <t>REQ00090</t>
  </si>
  <si>
    <t>REQ00091</t>
  </si>
  <si>
    <t>REQ00094</t>
  </si>
  <si>
    <t>REQ00095</t>
  </si>
  <si>
    <t>REQ00097</t>
  </si>
  <si>
    <t>REQ00099</t>
  </si>
  <si>
    <t>REQ00101</t>
  </si>
  <si>
    <t>REQ00104</t>
  </si>
  <si>
    <t>REQ00105</t>
  </si>
  <si>
    <t>REQ00108</t>
  </si>
  <si>
    <t>REQ00110</t>
  </si>
  <si>
    <t>REQ00112</t>
  </si>
  <si>
    <t>REQ00115</t>
  </si>
  <si>
    <t>REQ00117</t>
  </si>
  <si>
    <t>REQ00122</t>
  </si>
  <si>
    <t>REQ00123</t>
  </si>
  <si>
    <t>REQ00125</t>
  </si>
  <si>
    <t>REQ00132</t>
  </si>
  <si>
    <t>REQ00135</t>
  </si>
  <si>
    <t>REQ00136</t>
  </si>
  <si>
    <t>REQ00138</t>
  </si>
  <si>
    <t>REQ00139</t>
  </si>
  <si>
    <t>REQ00141</t>
  </si>
  <si>
    <t>REQ00144</t>
  </si>
  <si>
    <t>REQ00145</t>
  </si>
  <si>
    <t>REQ00146</t>
  </si>
  <si>
    <t>REQ00152</t>
  </si>
  <si>
    <t>REQ00154</t>
  </si>
  <si>
    <t>REQ00155</t>
  </si>
  <si>
    <t>REQ00156</t>
  </si>
  <si>
    <t>REQ00157</t>
  </si>
  <si>
    <t>REQ00159</t>
  </si>
  <si>
    <t>REQ00160</t>
  </si>
  <si>
    <t>REQ00161</t>
  </si>
  <si>
    <t>REQ00165</t>
  </si>
  <si>
    <t>REQ00166</t>
  </si>
  <si>
    <t>REQ00168</t>
  </si>
  <si>
    <t>REQ00169</t>
  </si>
  <si>
    <t>REQ00170</t>
  </si>
  <si>
    <t>REQ00171</t>
  </si>
  <si>
    <t>REQ00174</t>
  </si>
  <si>
    <t>REQ00176</t>
  </si>
  <si>
    <t>REQ00177</t>
  </si>
  <si>
    <t>REQ00178</t>
  </si>
  <si>
    <t>REQ00182</t>
  </si>
  <si>
    <t>REQ00183</t>
  </si>
  <si>
    <t>REQ00185</t>
  </si>
  <si>
    <t>REQ00186</t>
  </si>
  <si>
    <t>REQ00188</t>
  </si>
  <si>
    <t>REQ00189</t>
  </si>
  <si>
    <t>REQ00190</t>
  </si>
  <si>
    <t>REQ00192</t>
  </si>
  <si>
    <t>REQ00193</t>
  </si>
  <si>
    <t>REQ00196</t>
  </si>
  <si>
    <t>REQ00197</t>
  </si>
  <si>
    <t>REQ00199</t>
  </si>
  <si>
    <t>REQ00202</t>
  </si>
  <si>
    <t>REQ00205</t>
  </si>
  <si>
    <t>REQ00206</t>
  </si>
  <si>
    <t>REQ00208</t>
  </si>
  <si>
    <t>REQ00213</t>
  </si>
  <si>
    <t>REQ00214</t>
  </si>
  <si>
    <t>REQ00220</t>
  </si>
  <si>
    <t>REQ00223</t>
  </si>
  <si>
    <t>REQ00224</t>
  </si>
  <si>
    <t>REQ00229</t>
  </si>
  <si>
    <t>REQ00232</t>
  </si>
  <si>
    <t>REQ00233</t>
  </si>
  <si>
    <t>REQ00234</t>
  </si>
  <si>
    <t>REQ00236</t>
  </si>
  <si>
    <t>REQ00237</t>
  </si>
  <si>
    <t>REQ00238</t>
  </si>
  <si>
    <t>REQ00240</t>
  </si>
  <si>
    <t>REQ00241</t>
  </si>
  <si>
    <t>REQ00242</t>
  </si>
  <si>
    <t>REQ00246</t>
  </si>
  <si>
    <t>REQ00247</t>
  </si>
  <si>
    <t>REQ00248</t>
  </si>
  <si>
    <t>REQ00252</t>
  </si>
  <si>
    <t>REQ00256</t>
  </si>
  <si>
    <t>REQ00259</t>
  </si>
  <si>
    <t>REQ00260</t>
  </si>
  <si>
    <t>REQ00261</t>
  </si>
  <si>
    <t>REQ00262</t>
  </si>
  <si>
    <t>REQ00263</t>
  </si>
  <si>
    <t>REQ00265</t>
  </si>
  <si>
    <t>REQ00267</t>
  </si>
  <si>
    <t>REQ00274</t>
  </si>
  <si>
    <t>REQ00277</t>
  </si>
  <si>
    <t>REQ00278</t>
  </si>
  <si>
    <t>REQ00279</t>
  </si>
  <si>
    <t>REQ00283</t>
  </si>
  <si>
    <t>REQ00287</t>
  </si>
  <si>
    <t>REQ00290</t>
  </si>
  <si>
    <t>REQ00292</t>
  </si>
  <si>
    <t>REQ00293</t>
  </si>
  <si>
    <t>REQ00294</t>
  </si>
  <si>
    <t>REQ00295</t>
  </si>
  <si>
    <t>REQ00296</t>
  </si>
  <si>
    <t>REQ00297</t>
  </si>
  <si>
    <t>REQ00298</t>
  </si>
  <si>
    <t>REQ00299</t>
  </si>
  <si>
    <t>REQ00300</t>
  </si>
  <si>
    <t>REQ00302</t>
  </si>
  <si>
    <t>REQ00303</t>
  </si>
  <si>
    <t>REQ00306</t>
  </si>
  <si>
    <t>REQ00307</t>
  </si>
  <si>
    <t>REQ00313</t>
  </si>
  <si>
    <t>REQ00314</t>
  </si>
  <si>
    <t>REQ00315</t>
  </si>
  <si>
    <t>REQ00317</t>
  </si>
  <si>
    <t>REQ00318</t>
  </si>
  <si>
    <t>REQ00320</t>
  </si>
  <si>
    <t>REQ00322</t>
  </si>
  <si>
    <t>REQ00324</t>
  </si>
  <si>
    <t>REQ00326</t>
  </si>
  <si>
    <t>REQ00327</t>
  </si>
  <si>
    <t>REQ00328</t>
  </si>
  <si>
    <t>REQ00329</t>
  </si>
  <si>
    <t>REQ00330</t>
  </si>
  <si>
    <t>REQ00331</t>
  </si>
  <si>
    <t>REQ00336</t>
  </si>
  <si>
    <t>REQ00338</t>
  </si>
  <si>
    <t>REQ00343</t>
  </si>
  <si>
    <t>REQ00345</t>
  </si>
  <si>
    <t>REQ00346</t>
  </si>
  <si>
    <t>REQ00347</t>
  </si>
  <si>
    <t>REQ00348</t>
  </si>
  <si>
    <t>REQ00350</t>
  </si>
  <si>
    <t>REQ00352</t>
  </si>
  <si>
    <t>REQ00353</t>
  </si>
  <si>
    <t>REQ00354</t>
  </si>
  <si>
    <t>REQ00355</t>
  </si>
  <si>
    <t>REQ00356</t>
  </si>
  <si>
    <t>REQ00358</t>
  </si>
  <si>
    <t>REQ00359</t>
  </si>
  <si>
    <t>REQ00361</t>
  </si>
  <si>
    <t>REQ00363</t>
  </si>
  <si>
    <t>REQ00364</t>
  </si>
  <si>
    <t>REQ00366</t>
  </si>
  <si>
    <t>REQ00370</t>
  </si>
  <si>
    <t>REQ00372</t>
  </si>
  <si>
    <t>REQ00373</t>
  </si>
  <si>
    <t>REQ00375</t>
  </si>
  <si>
    <t>REQ00376</t>
  </si>
  <si>
    <t>REQ00379</t>
  </si>
  <si>
    <t>REQ00381</t>
  </si>
  <si>
    <t>REQ00382</t>
  </si>
  <si>
    <t>REQ00385</t>
  </si>
  <si>
    <t>REQ00391</t>
  </si>
  <si>
    <t>REQ00392</t>
  </si>
  <si>
    <t>REQ00393</t>
  </si>
  <si>
    <t>REQ00397</t>
  </si>
  <si>
    <t>REQ00400</t>
  </si>
  <si>
    <t>REQ00403</t>
  </si>
  <si>
    <t>REQ00406</t>
  </si>
  <si>
    <t>REQ00409</t>
  </si>
  <si>
    <t>REQ00411</t>
  </si>
  <si>
    <t>REQ00415</t>
  </si>
  <si>
    <t>REQ00416</t>
  </si>
  <si>
    <t>REQ00420</t>
  </si>
  <si>
    <t>REQ00421</t>
  </si>
  <si>
    <t>REQ00422</t>
  </si>
  <si>
    <t>REQ00423</t>
  </si>
  <si>
    <t>REQ00427</t>
  </si>
  <si>
    <t>REQ00429</t>
  </si>
  <si>
    <t>REQ00430</t>
  </si>
  <si>
    <t>REQ00431</t>
  </si>
  <si>
    <t>REQ00433</t>
  </si>
  <si>
    <t>REQ00434</t>
  </si>
  <si>
    <t>REQ00435</t>
  </si>
  <si>
    <t>REQ00436</t>
  </si>
  <si>
    <t>REQ00438</t>
  </si>
  <si>
    <t>REQ00441</t>
  </si>
  <si>
    <t>REQ00443</t>
  </si>
  <si>
    <t>REQ00444</t>
  </si>
  <si>
    <t>REQ00446</t>
  </si>
  <si>
    <t>REQ00447</t>
  </si>
  <si>
    <t>REQ00448</t>
  </si>
  <si>
    <t>REQ00451</t>
  </si>
  <si>
    <t>REQ00452</t>
  </si>
  <si>
    <t>REQ00456</t>
  </si>
  <si>
    <t>REQ00458</t>
  </si>
  <si>
    <t>REQ00459</t>
  </si>
  <si>
    <t>REQ00461</t>
  </si>
  <si>
    <t>REQ00462</t>
  </si>
  <si>
    <t>REQ00464</t>
  </si>
  <si>
    <t>REQ00467</t>
  </si>
  <si>
    <t>REQ00468</t>
  </si>
  <si>
    <t>REQ00474</t>
  </si>
  <si>
    <t>REQ00475</t>
  </si>
  <si>
    <t>REQ00476</t>
  </si>
  <si>
    <t>REQ00477</t>
  </si>
  <si>
    <t>REQ00478</t>
  </si>
  <si>
    <t>REQ00482</t>
  </si>
  <si>
    <t>REQ00483</t>
  </si>
  <si>
    <t>REQ00484</t>
  </si>
  <si>
    <t>REQ00485</t>
  </si>
  <si>
    <t>REQ00489</t>
  </si>
  <si>
    <t>REQ00492</t>
  </si>
  <si>
    <t>REQ00499</t>
  </si>
  <si>
    <t>REQ00500</t>
  </si>
  <si>
    <t>REQ00503</t>
  </si>
  <si>
    <t>REQ00504</t>
  </si>
  <si>
    <t>REQ00507</t>
  </si>
  <si>
    <t>REQ00508</t>
  </si>
  <si>
    <t>REQ00509</t>
  </si>
  <si>
    <t>REQ00510</t>
  </si>
  <si>
    <t>REQ00511</t>
  </si>
  <si>
    <t>REQ00512</t>
  </si>
  <si>
    <t>REQ00514</t>
  </si>
  <si>
    <t>REQ00519</t>
  </si>
  <si>
    <t>REQ00520</t>
  </si>
  <si>
    <t>REQ00523</t>
  </si>
  <si>
    <t>REQ00525</t>
  </si>
  <si>
    <t>REQ00527</t>
  </si>
  <si>
    <t>REQ00528</t>
  </si>
  <si>
    <t>REQ00529</t>
  </si>
  <si>
    <t>REQ00530</t>
  </si>
  <si>
    <t>REQ00531</t>
  </si>
  <si>
    <t>REQ00534</t>
  </si>
  <si>
    <t>REQ00537</t>
  </si>
  <si>
    <t>REQ00539</t>
  </si>
  <si>
    <t>REQ00542</t>
  </si>
  <si>
    <t>REQ00543</t>
  </si>
  <si>
    <t>REQ00545</t>
  </si>
  <si>
    <t>REQ00547</t>
  </si>
  <si>
    <t>REQ00548</t>
  </si>
  <si>
    <t>REQ00554</t>
  </si>
  <si>
    <t>REQ00556</t>
  </si>
  <si>
    <t>REQ00557</t>
  </si>
  <si>
    <t>REQ00559</t>
  </si>
  <si>
    <t>REQ00560</t>
  </si>
  <si>
    <t>REQ00561</t>
  </si>
  <si>
    <t>REQ00563</t>
  </si>
  <si>
    <t>REQ00565</t>
  </si>
  <si>
    <t>REQ00566</t>
  </si>
  <si>
    <t>REQ00567</t>
  </si>
  <si>
    <t>REQ00571</t>
  </si>
  <si>
    <t>REQ00572</t>
  </si>
  <si>
    <t>REQ00577</t>
  </si>
  <si>
    <t>REQ00578</t>
  </si>
  <si>
    <t>REQ00579</t>
  </si>
  <si>
    <t>REQ00580</t>
  </si>
  <si>
    <t>REQ00581</t>
  </si>
  <si>
    <t>REQ00584</t>
  </si>
  <si>
    <t>REQ00585</t>
  </si>
  <si>
    <t>REQ00586</t>
  </si>
  <si>
    <t>REQ00591</t>
  </si>
  <si>
    <t>REQ00592</t>
  </si>
  <si>
    <t>REQ00593</t>
  </si>
  <si>
    <t>REQ00595</t>
  </si>
  <si>
    <t>REQ00597</t>
  </si>
  <si>
    <t>REQ00599</t>
  </si>
  <si>
    <t>REQ00602</t>
  </si>
  <si>
    <t>REQ00603</t>
  </si>
  <si>
    <t>REQ00605</t>
  </si>
  <si>
    <t>REQ00606</t>
  </si>
  <si>
    <t>REQ00607</t>
  </si>
  <si>
    <t>REQ00609</t>
  </si>
  <si>
    <t>REQ00610</t>
  </si>
  <si>
    <t>REQ00613</t>
  </si>
  <si>
    <t>REQ00614</t>
  </si>
  <si>
    <t>REQ00622</t>
  </si>
  <si>
    <t>REQ00623</t>
  </si>
  <si>
    <t>REQ00624</t>
  </si>
  <si>
    <t>REQ00625</t>
  </si>
  <si>
    <t>REQ00627</t>
  </si>
  <si>
    <t>REQ00629</t>
  </si>
  <si>
    <t>REQ00630</t>
  </si>
  <si>
    <t>REQ00631</t>
  </si>
  <si>
    <t>REQ00635</t>
  </si>
  <si>
    <t>REQ00638</t>
  </si>
  <si>
    <t>REQ00642</t>
  </si>
  <si>
    <t>REQ00643</t>
  </si>
  <si>
    <t>REQ00644</t>
  </si>
  <si>
    <t>REQ00646</t>
  </si>
  <si>
    <t>REQ00648</t>
  </si>
  <si>
    <t>REQ00650</t>
  </si>
  <si>
    <t>REQ00655</t>
  </si>
  <si>
    <t>REQ00656</t>
  </si>
  <si>
    <t>REQ00661</t>
  </si>
  <si>
    <t>REQ00663</t>
  </si>
  <si>
    <t>REQ00667</t>
  </si>
  <si>
    <t>REQ00669</t>
  </si>
  <si>
    <t>REQ00673</t>
  </si>
  <si>
    <t>REQ00675</t>
  </si>
  <si>
    <t>REQ00678</t>
  </si>
  <si>
    <t>REQ00679</t>
  </si>
  <si>
    <t>REQ00686</t>
  </si>
  <si>
    <t>REQ00689</t>
  </si>
  <si>
    <t>REQ00691</t>
  </si>
  <si>
    <t>REQ00694</t>
  </si>
  <si>
    <t>REQ00696</t>
  </si>
  <si>
    <t>REQ00697</t>
  </si>
  <si>
    <t>REQ00698</t>
  </si>
  <si>
    <t>REQ00699</t>
  </si>
  <si>
    <t>InvoiceID</t>
  </si>
  <si>
    <t>InvoiceDate</t>
  </si>
  <si>
    <t>Amount</t>
  </si>
  <si>
    <t>CorrectionFlag</t>
  </si>
  <si>
    <t>ApprovalStage</t>
  </si>
  <si>
    <t>FinancialRisk</t>
  </si>
  <si>
    <t>InvoiceAge_Days</t>
  </si>
  <si>
    <t>DelayFlag</t>
  </si>
  <si>
    <t>INV00001</t>
  </si>
  <si>
    <t>Approved</t>
  </si>
  <si>
    <t>PM Review</t>
  </si>
  <si>
    <t>INV00002</t>
  </si>
  <si>
    <t>Submitted</t>
  </si>
  <si>
    <t>Complete</t>
  </si>
  <si>
    <t>INV00003</t>
  </si>
  <si>
    <t>INV00004</t>
  </si>
  <si>
    <t>Paid</t>
  </si>
  <si>
    <t>Admin Validation</t>
  </si>
  <si>
    <t>INV00005</t>
  </si>
  <si>
    <t>AP Processing</t>
  </si>
  <si>
    <t>INV00006</t>
  </si>
  <si>
    <t>INV00007</t>
  </si>
  <si>
    <t>Overdue</t>
  </si>
  <si>
    <t>INV00008</t>
  </si>
  <si>
    <t>INV00009</t>
  </si>
  <si>
    <t>INV00010</t>
  </si>
  <si>
    <t>INV00011</t>
  </si>
  <si>
    <t>Correction Required</t>
  </si>
  <si>
    <t>INV00012</t>
  </si>
  <si>
    <t>Draft</t>
  </si>
  <si>
    <t>Finance Approval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</si>
  <si>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</si>
  <si>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</si>
  <si>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</si>
  <si>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</si>
  <si>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</si>
  <si>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</si>
  <si>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</si>
  <si>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</si>
  <si>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</si>
  <si>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</si>
  <si>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</si>
  <si>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</si>
  <si>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</si>
  <si>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</si>
  <si>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</si>
  <si>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</si>
  <si>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</si>
  <si>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</si>
  <si>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</si>
  <si>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</si>
  <si>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</si>
  <si>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</si>
  <si>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</si>
  <si>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</si>
  <si>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</si>
  <si>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</si>
  <si>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</si>
  <si>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</si>
  <si>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</si>
  <si>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</si>
  <si>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</si>
  <si>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</si>
  <si>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</si>
  <si>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</si>
  <si>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</si>
  <si>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</si>
  <si>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</si>
  <si>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</si>
  <si>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</si>
  <si>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</si>
  <si>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</si>
  <si>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</si>
  <si>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</si>
  <si>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</si>
  <si>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</si>
  <si>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</si>
  <si>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</si>
  <si>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</si>
  <si>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</si>
  <si>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</si>
  <si>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</si>
  <si>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</si>
  <si>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</si>
  <si>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</si>
  <si>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</si>
  <si>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</si>
  <si>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</si>
  <si>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</si>
  <si>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</si>
  <si>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</si>
  <si>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</si>
  <si>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</si>
  <si>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</si>
  <si>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</si>
  <si>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</si>
  <si>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</si>
  <si>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</si>
  <si>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</si>
  <si>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</si>
  <si>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</si>
  <si>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</si>
  <si>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</si>
  <si>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</si>
  <si>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</si>
  <si>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</si>
  <si>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</si>
  <si>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</si>
  <si>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</si>
  <si>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</si>
  <si>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</si>
  <si>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</si>
  <si>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</si>
  <si>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</si>
  <si>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</si>
  <si>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</si>
  <si>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</si>
  <si>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</si>
  <si>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</si>
  <si>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</si>
  <si>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</si>
  <si>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</si>
  <si>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</si>
  <si>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</si>
  <si>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</si>
  <si>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</si>
  <si>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</si>
  <si>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</si>
  <si>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</si>
  <si>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</si>
  <si>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</si>
  <si>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</si>
  <si>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</si>
  <si>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</si>
  <si>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</si>
  <si>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</si>
  <si>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</si>
  <si>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</si>
  <si>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</si>
  <si>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</si>
  <si>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</si>
  <si>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</si>
  <si>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</si>
  <si>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</si>
  <si>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</si>
  <si>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</si>
  <si>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</si>
  <si>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</si>
  <si>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</si>
  <si>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</si>
  <si>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</si>
  <si>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</si>
  <si>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</si>
  <si>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</si>
  <si>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</si>
  <si>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</si>
  <si>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</si>
  <si>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</si>
  <si>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</si>
  <si>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</si>
  <si>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</si>
  <si>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</si>
  <si>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</si>
  <si>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</si>
  <si>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</si>
  <si>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</si>
  <si>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</si>
  <si>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</si>
  <si>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</si>
  <si>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</si>
  <si>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</si>
  <si>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</si>
  <si>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</si>
  <si>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</si>
  <si>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</si>
  <si>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</si>
  <si>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</si>
  <si>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</si>
  <si>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</si>
  <si>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</si>
  <si>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</si>
  <si>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</si>
  <si>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</si>
  <si>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</si>
  <si>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</si>
  <si>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</si>
  <si>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</si>
  <si>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</si>
  <si>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</si>
  <si>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</si>
  <si>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</si>
  <si>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</si>
  <si>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</si>
  <si>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</si>
  <si>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</si>
  <si>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</si>
  <si>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</si>
  <si>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</si>
  <si>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</si>
  <si>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</si>
  <si>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</si>
  <si>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</si>
  <si>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</si>
  <si>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</si>
  <si>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</si>
  <si>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</si>
  <si>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</si>
  <si>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</si>
  <si>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</si>
  <si>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</si>
  <si>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</si>
  <si>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</si>
  <si>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</si>
  <si>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</si>
  <si>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</si>
  <si>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</si>
  <si>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</si>
  <si>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</si>
  <si>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</si>
  <si>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</si>
  <si>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</si>
  <si>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</si>
  <si>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</si>
  <si>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</si>
  <si>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</si>
  <si>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</si>
  <si>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</si>
  <si>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</si>
  <si>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</si>
  <si>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</si>
  <si>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</si>
  <si>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</si>
  <si>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</si>
  <si>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</si>
  <si>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</si>
  <si>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</si>
  <si>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</si>
  <si>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</si>
  <si>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</si>
  <si>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</si>
  <si>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</si>
  <si>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</si>
  <si>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</si>
  <si>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</si>
  <si>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</si>
  <si>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</si>
  <si>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</si>
  <si>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</si>
  <si>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</si>
  <si>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</si>
  <si>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</si>
  <si>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</si>
  <si>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</si>
  <si>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</si>
  <si>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</si>
  <si>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</si>
  <si>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</si>
  <si>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</si>
  <si>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</si>
  <si>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</si>
  <si>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</si>
  <si>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</si>
  <si>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</si>
  <si>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</si>
  <si>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</si>
  <si>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</si>
  <si>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</si>
  <si>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</si>
  <si>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</si>
  <si>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</si>
  <si>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</si>
  <si>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</si>
  <si>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</si>
  <si>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</si>
  <si>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</si>
  <si>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</si>
  <si>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</si>
  <si>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</si>
  <si>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</si>
  <si>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</si>
  <si>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</si>
  <si>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</si>
  <si>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</si>
  <si>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</si>
  <si>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</si>
  <si>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</si>
  <si>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</si>
  <si>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</si>
  <si>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</si>
  <si>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</si>
  <si>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</si>
  <si>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</si>
  <si>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</si>
  <si>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</si>
  <si>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</si>
  <si>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</si>
  <si>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</si>
  <si>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</si>
  <si>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</si>
  <si>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POID</t>
  </si>
  <si>
    <t>Category</t>
  </si>
  <si>
    <t>PODate</t>
  </si>
  <si>
    <t>GRStatus</t>
  </si>
  <si>
    <t>GRDate</t>
  </si>
  <si>
    <t>MatchStatus</t>
  </si>
  <si>
    <t>PO00001</t>
  </si>
  <si>
    <t>Subcontractor</t>
  </si>
  <si>
    <t>Not Required</t>
  </si>
  <si>
    <t>Invoice mismatch</t>
  </si>
  <si>
    <t>PO00002</t>
  </si>
  <si>
    <t>GR Completed</t>
  </si>
  <si>
    <t>PO mismatch</t>
  </si>
  <si>
    <t>PO00003</t>
  </si>
  <si>
    <t>Matched</t>
  </si>
  <si>
    <t>PO00004</t>
  </si>
  <si>
    <t>Travel</t>
  </si>
  <si>
    <t>PO00005</t>
  </si>
  <si>
    <t>Pending GR</t>
  </si>
  <si>
    <t>PO00006</t>
  </si>
  <si>
    <t>PO00007</t>
  </si>
  <si>
    <t>Materials</t>
  </si>
  <si>
    <t>PO00008</t>
  </si>
  <si>
    <t>Software</t>
  </si>
  <si>
    <t>PO00009</t>
  </si>
  <si>
    <t>PO00010</t>
  </si>
  <si>
    <t>PO00011</t>
  </si>
  <si>
    <t>PO00012</t>
  </si>
  <si>
    <t>Missing vendor master</t>
  </si>
  <si>
    <t>PO00013</t>
  </si>
  <si>
    <t>PO00014</t>
  </si>
  <si>
    <t>PO00015</t>
  </si>
  <si>
    <t>GR Mismatch</t>
  </si>
  <si>
    <t>PO00016</t>
  </si>
  <si>
    <t>PO00017</t>
  </si>
  <si>
    <t>PO00018</t>
  </si>
  <si>
    <t>PO00019</t>
  </si>
  <si>
    <t>PO00020</t>
  </si>
  <si>
    <t>PO00021</t>
  </si>
  <si>
    <t>PO00022</t>
  </si>
  <si>
    <t>PO00023</t>
  </si>
  <si>
    <t>PO00024</t>
  </si>
  <si>
    <t>PO00025</t>
  </si>
  <si>
    <t>PO00026</t>
  </si>
  <si>
    <t>PO00027</t>
  </si>
  <si>
    <t>PO00028</t>
  </si>
  <si>
    <t>PO00029</t>
  </si>
  <si>
    <t>PO00030</t>
  </si>
  <si>
    <t>PO00031</t>
  </si>
  <si>
    <t>PO00032</t>
  </si>
  <si>
    <t>PO00033</t>
  </si>
  <si>
    <t>PO00034</t>
  </si>
  <si>
    <t>PO00035</t>
  </si>
  <si>
    <t>PO00036</t>
  </si>
  <si>
    <t>PO00037</t>
  </si>
  <si>
    <t>PO00038</t>
  </si>
  <si>
    <t>PO00039</t>
  </si>
  <si>
    <t>PO00040</t>
  </si>
  <si>
    <t>PO00041</t>
  </si>
  <si>
    <t>PO00042</t>
  </si>
  <si>
    <t>PO00043</t>
  </si>
  <si>
    <t>PO00044</t>
  </si>
  <si>
    <t>PO00045</t>
  </si>
  <si>
    <t>PO00046</t>
  </si>
  <si>
    <t>PO00047</t>
  </si>
  <si>
    <t>PO00048</t>
  </si>
  <si>
    <t>PO00049</t>
  </si>
  <si>
    <t>PO00050</t>
  </si>
  <si>
    <t>PO00051</t>
  </si>
  <si>
    <t>PO00052</t>
  </si>
  <si>
    <t>PO00053</t>
  </si>
  <si>
    <t>PO00054</t>
  </si>
  <si>
    <t>PO00055</t>
  </si>
  <si>
    <t>PO00056</t>
  </si>
  <si>
    <t>PO00057</t>
  </si>
  <si>
    <t>PO00058</t>
  </si>
  <si>
    <t>PO00059</t>
  </si>
  <si>
    <t>PO00060</t>
  </si>
  <si>
    <t>PO00061</t>
  </si>
  <si>
    <t>PO00062</t>
  </si>
  <si>
    <t>PO00063</t>
  </si>
  <si>
    <t>PO00064</t>
  </si>
  <si>
    <t>PO00065</t>
  </si>
  <si>
    <t>PO00066</t>
  </si>
  <si>
    <t>PO00067</t>
  </si>
  <si>
    <t>PO00068</t>
  </si>
  <si>
    <t>PO00069</t>
  </si>
  <si>
    <t>PO00070</t>
  </si>
  <si>
    <t>PO00071</t>
  </si>
  <si>
    <t>PO00072</t>
  </si>
  <si>
    <t>PO00073</t>
  </si>
  <si>
    <t>PO00074</t>
  </si>
  <si>
    <t>PO00075</t>
  </si>
  <si>
    <t>PO00076</t>
  </si>
  <si>
    <t>PO00077</t>
  </si>
  <si>
    <t>PO00078</t>
  </si>
  <si>
    <t>PO00079</t>
  </si>
  <si>
    <t>PO00080</t>
  </si>
  <si>
    <t>PO00081</t>
  </si>
  <si>
    <t>PO00082</t>
  </si>
  <si>
    <t>PO00083</t>
  </si>
  <si>
    <t>PO00084</t>
  </si>
  <si>
    <t>PO00085</t>
  </si>
  <si>
    <t>PO00086</t>
  </si>
  <si>
    <t>PO00087</t>
  </si>
  <si>
    <t>PO00088</t>
  </si>
  <si>
    <t>PO00089</t>
  </si>
  <si>
    <t>PO00090</t>
  </si>
  <si>
    <t>PO00091</t>
  </si>
  <si>
    <t>PO00092</t>
  </si>
  <si>
    <t>PO00093</t>
  </si>
  <si>
    <t>PO00094</t>
  </si>
  <si>
    <t>PO00095</t>
  </si>
  <si>
    <t>PO00096</t>
  </si>
  <si>
    <t>PO00097</t>
  </si>
  <si>
    <t>PO00098</t>
  </si>
  <si>
    <t>PO00099</t>
  </si>
  <si>
    <t>PO00100</t>
  </si>
  <si>
    <t>PO00101</t>
  </si>
  <si>
    <t>PO00102</t>
  </si>
  <si>
    <t>PO00103</t>
  </si>
  <si>
    <t>PO00104</t>
  </si>
  <si>
    <t>PO00105</t>
  </si>
  <si>
    <t>PO00106</t>
  </si>
  <si>
    <t>PO00107</t>
  </si>
  <si>
    <t>PO00108</t>
  </si>
  <si>
    <t>PO00109</t>
  </si>
  <si>
    <t>PO00110</t>
  </si>
  <si>
    <t>PO00111</t>
  </si>
  <si>
    <t>PO00112</t>
  </si>
  <si>
    <t>PO00113</t>
  </si>
  <si>
    <t>PO00114</t>
  </si>
  <si>
    <t>PO00115</t>
  </si>
  <si>
    <t>PO00116</t>
  </si>
  <si>
    <t>PO00117</t>
  </si>
  <si>
    <t>PO00118</t>
  </si>
  <si>
    <t>PO00119</t>
  </si>
  <si>
    <t>PO00120</t>
  </si>
  <si>
    <t>PO00121</t>
  </si>
  <si>
    <t>PO00122</t>
  </si>
  <si>
    <t>PO00123</t>
  </si>
  <si>
    <t>PO00124</t>
  </si>
  <si>
    <t>PO00125</t>
  </si>
  <si>
    <t>PO00126</t>
  </si>
  <si>
    <t>PO00127</t>
  </si>
  <si>
    <t>PO00128</t>
  </si>
  <si>
    <t>PO00129</t>
  </si>
  <si>
    <t>PO00130</t>
  </si>
  <si>
    <t>PO00131</t>
  </si>
  <si>
    <t>PO00132</t>
  </si>
  <si>
    <t>PO00133</t>
  </si>
  <si>
    <t>PO00134</t>
  </si>
  <si>
    <t>PO00135</t>
  </si>
  <si>
    <t>PO00136</t>
  </si>
  <si>
    <t>PO00137</t>
  </si>
  <si>
    <t>PO00138</t>
  </si>
  <si>
    <t>PO00139</t>
  </si>
  <si>
    <t>PO00140</t>
  </si>
  <si>
    <t>PO00141</t>
  </si>
  <si>
    <t>PO00142</t>
  </si>
  <si>
    <t>PO00143</t>
  </si>
  <si>
    <t>PO00144</t>
  </si>
  <si>
    <t>PO00145</t>
  </si>
  <si>
    <t>PO00146</t>
  </si>
  <si>
    <t>PO00147</t>
  </si>
  <si>
    <t>PO00148</t>
  </si>
  <si>
    <t>PO00149</t>
  </si>
  <si>
    <t>PO00150</t>
  </si>
  <si>
    <t>PO00151</t>
  </si>
  <si>
    <t>PO00152</t>
  </si>
  <si>
    <t>PO00153</t>
  </si>
  <si>
    <t>PO00154</t>
  </si>
  <si>
    <t>PO00155</t>
  </si>
  <si>
    <t>PO00156</t>
  </si>
  <si>
    <t>PO00157</t>
  </si>
  <si>
    <t>PO00158</t>
  </si>
  <si>
    <t>PO00159</t>
  </si>
  <si>
    <t>PO00160</t>
  </si>
  <si>
    <t>PO00161</t>
  </si>
  <si>
    <t>PO00162</t>
  </si>
  <si>
    <t>PO00163</t>
  </si>
  <si>
    <t>PO00164</t>
  </si>
  <si>
    <t>PO00165</t>
  </si>
  <si>
    <t>PO00166</t>
  </si>
  <si>
    <t>PO00167</t>
  </si>
  <si>
    <t>PO00168</t>
  </si>
  <si>
    <t>PO00169</t>
  </si>
  <si>
    <t>PO00170</t>
  </si>
  <si>
    <t>PO00171</t>
  </si>
  <si>
    <t>PO00172</t>
  </si>
  <si>
    <t>PO00173</t>
  </si>
  <si>
    <t>PO00174</t>
  </si>
  <si>
    <t>PO00175</t>
  </si>
  <si>
    <t>PO00176</t>
  </si>
  <si>
    <t>PO00177</t>
  </si>
  <si>
    <t>PO00178</t>
  </si>
  <si>
    <t>PO00179</t>
  </si>
  <si>
    <t>PO00180</t>
  </si>
  <si>
    <t>PO00181</t>
  </si>
  <si>
    <t>PO00182</t>
  </si>
  <si>
    <t>PO00183</t>
  </si>
  <si>
    <t>PO00184</t>
  </si>
  <si>
    <t>PO00185</t>
  </si>
  <si>
    <t>PO00186</t>
  </si>
  <si>
    <t>PO00187</t>
  </si>
  <si>
    <t>PO00188</t>
  </si>
  <si>
    <t>PO00189</t>
  </si>
  <si>
    <t>PO00190</t>
  </si>
  <si>
    <t>PO00191</t>
  </si>
  <si>
    <t>PO00192</t>
  </si>
  <si>
    <t>PO00193</t>
  </si>
  <si>
    <t>PO00194</t>
  </si>
  <si>
    <t>PO00195</t>
  </si>
  <si>
    <t>PO00196</t>
  </si>
  <si>
    <t>PO00197</t>
  </si>
  <si>
    <t>PO00198</t>
  </si>
  <si>
    <t>PO00199</t>
  </si>
  <si>
    <t>PO00200</t>
  </si>
  <si>
    <t>PO00201</t>
  </si>
  <si>
    <t>PO00202</t>
  </si>
  <si>
    <t>PO00203</t>
  </si>
  <si>
    <t>PO00204</t>
  </si>
  <si>
    <t>PO00205</t>
  </si>
  <si>
    <t>PO00206</t>
  </si>
  <si>
    <t>PO00207</t>
  </si>
  <si>
    <t>PO00208</t>
  </si>
  <si>
    <t>PO00209</t>
  </si>
  <si>
    <t>PO00210</t>
  </si>
  <si>
    <t>PO00211</t>
  </si>
  <si>
    <t>PO00212</t>
  </si>
  <si>
    <t>PO00213</t>
  </si>
  <si>
    <t>PO00214</t>
  </si>
  <si>
    <t>PO00215</t>
  </si>
  <si>
    <t>PO00216</t>
  </si>
  <si>
    <t>PO00217</t>
  </si>
  <si>
    <t>PO00218</t>
  </si>
  <si>
    <t>PO00219</t>
  </si>
  <si>
    <t>PO00220</t>
  </si>
  <si>
    <t>PO00221</t>
  </si>
  <si>
    <t>PO00222</t>
  </si>
  <si>
    <t>PO00223</t>
  </si>
  <si>
    <t>PO00224</t>
  </si>
  <si>
    <t>PO00225</t>
  </si>
  <si>
    <t>PO00226</t>
  </si>
  <si>
    <t>PO00227</t>
  </si>
  <si>
    <t>PO00228</t>
  </si>
  <si>
    <t>PO00229</t>
  </si>
  <si>
    <t>PO00230</t>
  </si>
  <si>
    <t>PO00231</t>
  </si>
  <si>
    <t>PO00232</t>
  </si>
  <si>
    <t>PO00233</t>
  </si>
  <si>
    <t>PO00234</t>
  </si>
  <si>
    <t>PO00235</t>
  </si>
  <si>
    <t>PO00236</t>
  </si>
  <si>
    <t>PO00237</t>
  </si>
  <si>
    <t>PO00238</t>
  </si>
  <si>
    <t>PO00239</t>
  </si>
  <si>
    <t>PO00240</t>
  </si>
  <si>
    <t>PO00241</t>
  </si>
  <si>
    <t>PO00242</t>
  </si>
  <si>
    <t>PO00243</t>
  </si>
  <si>
    <t>PO00244</t>
  </si>
  <si>
    <t>PO00245</t>
  </si>
  <si>
    <t>PO00246</t>
  </si>
  <si>
    <t>PO00247</t>
  </si>
  <si>
    <t>PO00248</t>
  </si>
  <si>
    <t>PO00249</t>
  </si>
  <si>
    <t>PO00250</t>
  </si>
  <si>
    <t>PO00251</t>
  </si>
  <si>
    <t>PO00252</t>
  </si>
  <si>
    <t>PO00253</t>
  </si>
  <si>
    <t>PO00254</t>
  </si>
  <si>
    <t>PO00255</t>
  </si>
  <si>
    <t>PO00256</t>
  </si>
  <si>
    <t>PO00257</t>
  </si>
  <si>
    <t>PO00258</t>
  </si>
  <si>
    <t>PO00259</t>
  </si>
  <si>
    <t>PO00260</t>
  </si>
  <si>
    <t>PO00261</t>
  </si>
  <si>
    <t>PO00262</t>
  </si>
  <si>
    <t>PO00263</t>
  </si>
  <si>
    <t>PO00264</t>
  </si>
  <si>
    <t>PO00265</t>
  </si>
  <si>
    <t>PO00266</t>
  </si>
  <si>
    <t>PO00267</t>
  </si>
  <si>
    <t>PO00268</t>
  </si>
  <si>
    <t>PO00269</t>
  </si>
  <si>
    <t>PO00270</t>
  </si>
  <si>
    <t>PO00271</t>
  </si>
  <si>
    <t>PO00272</t>
  </si>
  <si>
    <t>PO00273</t>
  </si>
  <si>
    <t>PO00274</t>
  </si>
  <si>
    <t>PO00275</t>
  </si>
  <si>
    <t>PO00276</t>
  </si>
  <si>
    <t>PO00277</t>
  </si>
  <si>
    <t>PO00278</t>
  </si>
  <si>
    <t>PO00279</t>
  </si>
  <si>
    <t>PO00280</t>
  </si>
  <si>
    <t>PO00281</t>
  </si>
  <si>
    <t>PO00282</t>
  </si>
  <si>
    <t>PO00283</t>
  </si>
  <si>
    <t>PO00284</t>
  </si>
  <si>
    <t>PO00285</t>
  </si>
  <si>
    <t>PO00286</t>
  </si>
  <si>
    <t>PO00287</t>
  </si>
  <si>
    <t>PO00288</t>
  </si>
  <si>
    <t>PO00289</t>
  </si>
  <si>
    <t>PO00290</t>
  </si>
  <si>
    <t>PO00291</t>
  </si>
  <si>
    <t>PO00292</t>
  </si>
  <si>
    <t>PO00293</t>
  </si>
  <si>
    <t>PO00294</t>
  </si>
  <si>
    <t>PO00295</t>
  </si>
  <si>
    <t>PO00296</t>
  </si>
  <si>
    <t>PO00297</t>
  </si>
  <si>
    <t>PO00298</t>
  </si>
  <si>
    <t>PO00299</t>
  </si>
  <si>
    <t>PO00300</t>
  </si>
  <si>
    <t>PO00301</t>
  </si>
  <si>
    <t>PO00302</t>
  </si>
  <si>
    <t>PO00303</t>
  </si>
  <si>
    <t>PO00304</t>
  </si>
  <si>
    <t>PO00305</t>
  </si>
  <si>
    <t>PO00306</t>
  </si>
  <si>
    <t>PO00307</t>
  </si>
  <si>
    <t>PO00308</t>
  </si>
  <si>
    <t>PO00309</t>
  </si>
  <si>
    <t>PO00310</t>
  </si>
  <si>
    <t>PO00311</t>
  </si>
  <si>
    <t>PO00312</t>
  </si>
  <si>
    <t>PO00313</t>
  </si>
  <si>
    <t>PO00314</t>
  </si>
  <si>
    <t>PO00315</t>
  </si>
  <si>
    <t>PO00316</t>
  </si>
  <si>
    <t>PO00317</t>
  </si>
  <si>
    <t>PO00318</t>
  </si>
  <si>
    <t>PO00319</t>
  </si>
  <si>
    <t>PO00320</t>
  </si>
  <si>
    <t>PO00321</t>
  </si>
  <si>
    <t>PO00322</t>
  </si>
  <si>
    <t>PO00323</t>
  </si>
  <si>
    <t>PO00324</t>
  </si>
  <si>
    <t>PO00325</t>
  </si>
  <si>
    <t>PO00326</t>
  </si>
  <si>
    <t>PO00327</t>
  </si>
  <si>
    <t>PO00328</t>
  </si>
  <si>
    <t>PO00329</t>
  </si>
  <si>
    <t>PO00330</t>
  </si>
  <si>
    <t>PO00331</t>
  </si>
  <si>
    <t>PO00332</t>
  </si>
  <si>
    <t>PO00333</t>
  </si>
  <si>
    <t>PO00334</t>
  </si>
  <si>
    <t>PO00335</t>
  </si>
  <si>
    <t>PO00336</t>
  </si>
  <si>
    <t>PO00337</t>
  </si>
  <si>
    <t>PO00338</t>
  </si>
  <si>
    <t>PO00339</t>
  </si>
  <si>
    <t>PO00340</t>
  </si>
  <si>
    <t>PO00341</t>
  </si>
  <si>
    <t>PO00342</t>
  </si>
  <si>
    <t>PO00343</t>
  </si>
  <si>
    <t>PO00344</t>
  </si>
  <si>
    <t>PO00345</t>
  </si>
  <si>
    <t>PO00346</t>
  </si>
  <si>
    <t>PO00347</t>
  </si>
  <si>
    <t>PO00348</t>
  </si>
  <si>
    <t>PO00349</t>
  </si>
  <si>
    <t>PO00350</t>
  </si>
  <si>
    <t>Period</t>
  </si>
  <si>
    <t>RevenueForecast</t>
  </si>
  <si>
    <t>ActualRevenue</t>
  </si>
  <si>
    <t>Confidence</t>
  </si>
  <si>
    <t>Method</t>
  </si>
  <si>
    <t>ForecastVariance_%</t>
  </si>
  <si>
    <t>Manual override</t>
  </si>
  <si>
    <t>Historical run-rate</t>
  </si>
  <si>
    <t>PM estimate</t>
  </si>
  <si>
    <t>Finance model</t>
  </si>
  <si>
    <t>BookingID</t>
  </si>
  <si>
    <t>BookingDate</t>
  </si>
  <si>
    <t>Currency</t>
  </si>
  <si>
    <t>PrecheckStatus</t>
  </si>
  <si>
    <t>BKG00001</t>
  </si>
  <si>
    <t>AUD</t>
  </si>
  <si>
    <t>Incomplete</t>
  </si>
  <si>
    <t>BKG00002</t>
  </si>
  <si>
    <t>BKG00003</t>
  </si>
  <si>
    <t>BKG00004</t>
  </si>
  <si>
    <t>BKG00005</t>
  </si>
  <si>
    <t>BKG00006</t>
  </si>
  <si>
    <t>BKG00007</t>
  </si>
  <si>
    <t>Exception</t>
  </si>
  <si>
    <t>BKG00008</t>
  </si>
  <si>
    <t>BKG00009</t>
  </si>
  <si>
    <t>BKG00010</t>
  </si>
  <si>
    <t>BKG00011</t>
  </si>
  <si>
    <t>BKG00012</t>
  </si>
  <si>
    <t>BKG00013</t>
  </si>
  <si>
    <t>BKG00014</t>
  </si>
  <si>
    <t>BKG00015</t>
  </si>
  <si>
    <t>BKG00016</t>
  </si>
  <si>
    <t>BKG00017</t>
  </si>
  <si>
    <t>BKG00018</t>
  </si>
  <si>
    <t>BKG00019</t>
  </si>
  <si>
    <t>BKG00020</t>
  </si>
  <si>
    <t>BKG00021</t>
  </si>
  <si>
    <t>BKG00022</t>
  </si>
  <si>
    <t>BKG00023</t>
  </si>
  <si>
    <t>BKG00024</t>
  </si>
  <si>
    <t>BKG00025</t>
  </si>
  <si>
    <t>BKG00026</t>
  </si>
  <si>
    <t>BKG00027</t>
  </si>
  <si>
    <t>BKG00028</t>
  </si>
  <si>
    <t>BKG00029</t>
  </si>
  <si>
    <t>BKG00030</t>
  </si>
  <si>
    <t>BKG00031</t>
  </si>
  <si>
    <t>BKG00032</t>
  </si>
  <si>
    <t>BKG00033</t>
  </si>
  <si>
    <t>BKG00034</t>
  </si>
  <si>
    <t>BKG00035</t>
  </si>
  <si>
    <t>BKG00036</t>
  </si>
  <si>
    <t>BKG00037</t>
  </si>
  <si>
    <t>BKG00038</t>
  </si>
  <si>
    <t>BKG00039</t>
  </si>
  <si>
    <t>BKG00040</t>
  </si>
  <si>
    <t>BKG00041</t>
  </si>
  <si>
    <t>BKG00042</t>
  </si>
  <si>
    <t>BKG00043</t>
  </si>
  <si>
    <t>BKG00044</t>
  </si>
  <si>
    <t>BKG00045</t>
  </si>
  <si>
    <t>BKG00046</t>
  </si>
  <si>
    <t>BKG00047</t>
  </si>
  <si>
    <t>BKG00048</t>
  </si>
  <si>
    <t>BKG00049</t>
  </si>
  <si>
    <t>BKG00050</t>
  </si>
  <si>
    <t>BKG00051</t>
  </si>
  <si>
    <t>BKG00052</t>
  </si>
  <si>
    <t>BKG00053</t>
  </si>
  <si>
    <t>BKG00054</t>
  </si>
  <si>
    <t>BKG00055</t>
  </si>
  <si>
    <t>BKG00056</t>
  </si>
  <si>
    <t>BKG00057</t>
  </si>
  <si>
    <t>BKG00058</t>
  </si>
  <si>
    <t>BKG00059</t>
  </si>
  <si>
    <t>BKG00060</t>
  </si>
  <si>
    <t>BKG00061</t>
  </si>
  <si>
    <t>BKG00062</t>
  </si>
  <si>
    <t>BKG00063</t>
  </si>
  <si>
    <t>BKG00064</t>
  </si>
  <si>
    <t>BKG00065</t>
  </si>
  <si>
    <t>BKG00066</t>
  </si>
  <si>
    <t>BKG00067</t>
  </si>
  <si>
    <t>BKG00068</t>
  </si>
  <si>
    <t>BKG00069</t>
  </si>
  <si>
    <t>BKG00070</t>
  </si>
  <si>
    <t>BKG00071</t>
  </si>
  <si>
    <t>BKG00072</t>
  </si>
  <si>
    <t>BKG00073</t>
  </si>
  <si>
    <t>BKG00074</t>
  </si>
  <si>
    <t>BKG00075</t>
  </si>
  <si>
    <t>BKG00076</t>
  </si>
  <si>
    <t>BKG00077</t>
  </si>
  <si>
    <t>BKG00078</t>
  </si>
  <si>
    <t>BKG00079</t>
  </si>
  <si>
    <t>BKG00080</t>
  </si>
  <si>
    <t>BKG00081</t>
  </si>
  <si>
    <t>BKG00082</t>
  </si>
  <si>
    <t>BKG00083</t>
  </si>
  <si>
    <t>BKG00084</t>
  </si>
  <si>
    <t>BKG00085</t>
  </si>
  <si>
    <t>BKG00086</t>
  </si>
  <si>
    <t>BKG00087</t>
  </si>
  <si>
    <t>BKG00088</t>
  </si>
  <si>
    <t>BKG00089</t>
  </si>
  <si>
    <t>BKG00090</t>
  </si>
  <si>
    <t>BKG00091</t>
  </si>
  <si>
    <t>BKG00092</t>
  </si>
  <si>
    <t>BKG00093</t>
  </si>
  <si>
    <t>BKG00094</t>
  </si>
  <si>
    <t>BKG00095</t>
  </si>
  <si>
    <t>BKG00096</t>
  </si>
  <si>
    <t>BKG00097</t>
  </si>
  <si>
    <t>BKG00098</t>
  </si>
  <si>
    <t>BKG00099</t>
  </si>
  <si>
    <t>BKG00100</t>
  </si>
  <si>
    <t>BKG00101</t>
  </si>
  <si>
    <t>BKG00102</t>
  </si>
  <si>
    <t>BKG00103</t>
  </si>
  <si>
    <t>BKG00104</t>
  </si>
  <si>
    <t>BKG00105</t>
  </si>
  <si>
    <t>BKG00106</t>
  </si>
  <si>
    <t>BKG00107</t>
  </si>
  <si>
    <t>BKG00108</t>
  </si>
  <si>
    <t>BKG00109</t>
  </si>
  <si>
    <t>BKG00110</t>
  </si>
  <si>
    <t>BKG00111</t>
  </si>
  <si>
    <t>BKG00112</t>
  </si>
  <si>
    <t>BKG00113</t>
  </si>
  <si>
    <t>BKG00114</t>
  </si>
  <si>
    <t>BKG00115</t>
  </si>
  <si>
    <t>BKG00116</t>
  </si>
  <si>
    <t>BKG00117</t>
  </si>
  <si>
    <t>BKG00118</t>
  </si>
  <si>
    <t>BKG00119</t>
  </si>
  <si>
    <t>BKG00120</t>
  </si>
  <si>
    <t>BKG00121</t>
  </si>
  <si>
    <t>BKG00122</t>
  </si>
  <si>
    <t>BKG00123</t>
  </si>
  <si>
    <t>BKG00124</t>
  </si>
  <si>
    <t>BKG00125</t>
  </si>
  <si>
    <t>BKG00126</t>
  </si>
  <si>
    <t>BKG00127</t>
  </si>
  <si>
    <t>BKG00128</t>
  </si>
  <si>
    <t>BKG00129</t>
  </si>
  <si>
    <t>BKG00130</t>
  </si>
  <si>
    <t>BKG00131</t>
  </si>
  <si>
    <t>BKG00132</t>
  </si>
  <si>
    <t>BKG00133</t>
  </si>
  <si>
    <t>BKG00134</t>
  </si>
  <si>
    <t>BKG00135</t>
  </si>
  <si>
    <t>BKG00136</t>
  </si>
  <si>
    <t>BKG00137</t>
  </si>
  <si>
    <t>BKG00138</t>
  </si>
  <si>
    <t>BKG00139</t>
  </si>
  <si>
    <t>BKG00140</t>
  </si>
  <si>
    <t>BKG00141</t>
  </si>
  <si>
    <t>BKG00142</t>
  </si>
  <si>
    <t>BKG00143</t>
  </si>
  <si>
    <t>BKG00144</t>
  </si>
  <si>
    <t>BKG00145</t>
  </si>
  <si>
    <t>BKG00146</t>
  </si>
  <si>
    <t>BKG00147</t>
  </si>
  <si>
    <t>BKG00148</t>
  </si>
  <si>
    <t>BKG00149</t>
  </si>
  <si>
    <t>BKG00150</t>
  </si>
  <si>
    <t>BKG00151</t>
  </si>
  <si>
    <t>BKG00152</t>
  </si>
  <si>
    <t>BKG00153</t>
  </si>
  <si>
    <t>BKG00154</t>
  </si>
  <si>
    <t>BKG00155</t>
  </si>
  <si>
    <t>BKG00156</t>
  </si>
  <si>
    <t>BKG00157</t>
  </si>
  <si>
    <t>BKG00158</t>
  </si>
  <si>
    <t>BKG00159</t>
  </si>
  <si>
    <t>BKG00160</t>
  </si>
  <si>
    <t>BKG00161</t>
  </si>
  <si>
    <t>BKG00162</t>
  </si>
  <si>
    <t>BKG00163</t>
  </si>
  <si>
    <t>BKG00164</t>
  </si>
  <si>
    <t>BKG00165</t>
  </si>
  <si>
    <t>BKG00166</t>
  </si>
  <si>
    <t>BKG00167</t>
  </si>
  <si>
    <t>BKG00168</t>
  </si>
  <si>
    <t>BKG00169</t>
  </si>
  <si>
    <t>BKG00170</t>
  </si>
  <si>
    <t>BKG00171</t>
  </si>
  <si>
    <t>BKG00172</t>
  </si>
  <si>
    <t>BKG00173</t>
  </si>
  <si>
    <t>BKG00174</t>
  </si>
  <si>
    <t>BKG00175</t>
  </si>
  <si>
    <t>BKG00176</t>
  </si>
  <si>
    <t>BKG00177</t>
  </si>
  <si>
    <t>BKG00178</t>
  </si>
  <si>
    <t>BKG00179</t>
  </si>
  <si>
    <t>BKG00180</t>
  </si>
  <si>
    <t>DeBookingID</t>
  </si>
  <si>
    <t>DeBookingDate</t>
  </si>
  <si>
    <t>ReasonCode</t>
  </si>
  <si>
    <t>RootCause</t>
  </si>
  <si>
    <t>DBK00001</t>
  </si>
  <si>
    <t>Data Error</t>
  </si>
  <si>
    <t>Missing master data</t>
  </si>
  <si>
    <t>DBK00002</t>
  </si>
  <si>
    <t>Incorrect Coding</t>
  </si>
  <si>
    <t>Incorrect BU code</t>
  </si>
  <si>
    <t>DBK00003</t>
  </si>
  <si>
    <t>Duplicate Booking</t>
  </si>
  <si>
    <t>Incomplete request</t>
  </si>
  <si>
    <t>DBK00004</t>
  </si>
  <si>
    <t>DBK00005</t>
  </si>
  <si>
    <t>DBK00006</t>
  </si>
  <si>
    <t>Late PM input</t>
  </si>
  <si>
    <t>DBK00007</t>
  </si>
  <si>
    <t>Scope Change</t>
  </si>
  <si>
    <t>System access issue</t>
  </si>
  <si>
    <t>DBK00008</t>
  </si>
  <si>
    <t>DBK00009</t>
  </si>
  <si>
    <t>DBK00010</t>
  </si>
  <si>
    <t>Manual entry error</t>
  </si>
  <si>
    <t>DBK00011</t>
  </si>
  <si>
    <t>Missing GR</t>
  </si>
  <si>
    <t>DBK00012</t>
  </si>
  <si>
    <t>DBK00013</t>
  </si>
  <si>
    <t>DBK00014</t>
  </si>
  <si>
    <t>DBK00015</t>
  </si>
  <si>
    <t>DBK00016</t>
  </si>
  <si>
    <t>DBK00017</t>
  </si>
  <si>
    <t>DBK00018</t>
  </si>
  <si>
    <t>DBK00019</t>
  </si>
  <si>
    <t>DBK00020</t>
  </si>
  <si>
    <t>DBK00021</t>
  </si>
  <si>
    <t>DBK00022</t>
  </si>
  <si>
    <t>DBK00023</t>
  </si>
  <si>
    <t>DBK00024</t>
  </si>
  <si>
    <t>Forecast confidence low</t>
  </si>
  <si>
    <t>DBK00025</t>
  </si>
  <si>
    <t>DBK00026</t>
  </si>
  <si>
    <t>DBK00027</t>
  </si>
  <si>
    <t>DBK00028</t>
  </si>
  <si>
    <t>DBK00029</t>
  </si>
  <si>
    <t>DBK00030</t>
  </si>
  <si>
    <t>DBK00031</t>
  </si>
  <si>
    <t>DBK00032</t>
  </si>
  <si>
    <t>DBK00033</t>
  </si>
  <si>
    <t>DBK00034</t>
  </si>
  <si>
    <t>DBK00035</t>
  </si>
  <si>
    <t>DBK00036</t>
  </si>
  <si>
    <t>DBK00037</t>
  </si>
  <si>
    <t>DBK00038</t>
  </si>
  <si>
    <t>DBK00039</t>
  </si>
  <si>
    <t>DBK00040</t>
  </si>
  <si>
    <t>DBK00041</t>
  </si>
  <si>
    <t>DBK00042</t>
  </si>
  <si>
    <t>DBK00043</t>
  </si>
  <si>
    <t>DBK00044</t>
  </si>
  <si>
    <t>DBK00045</t>
  </si>
  <si>
    <t>DBK00046</t>
  </si>
  <si>
    <t>DBK00047</t>
  </si>
  <si>
    <t>DBK00048</t>
  </si>
  <si>
    <t>DBK00049</t>
  </si>
  <si>
    <t>DBK00050</t>
  </si>
  <si>
    <t>DBK00051</t>
  </si>
  <si>
    <t>DBK00052</t>
  </si>
  <si>
    <t>DBK00053</t>
  </si>
  <si>
    <t>DBK00054</t>
  </si>
  <si>
    <t>DBK00055</t>
  </si>
  <si>
    <t>DBK00056</t>
  </si>
  <si>
    <t>DBK00057</t>
  </si>
  <si>
    <t>DBK00058</t>
  </si>
  <si>
    <t>DBK00059</t>
  </si>
  <si>
    <t>DBK00060</t>
  </si>
  <si>
    <t>DBK00061</t>
  </si>
  <si>
    <t>DBK00062</t>
  </si>
  <si>
    <t>DBK00063</t>
  </si>
  <si>
    <t>DBK00064</t>
  </si>
  <si>
    <t>DBK00065</t>
  </si>
  <si>
    <t>DBK00066</t>
  </si>
  <si>
    <t>DBK00067</t>
  </si>
  <si>
    <t>DBK00068</t>
  </si>
  <si>
    <t>DBK00069</t>
  </si>
  <si>
    <t>DBK00070</t>
  </si>
  <si>
    <t>DBK00071</t>
  </si>
  <si>
    <t>DBK00072</t>
  </si>
  <si>
    <t>DBK00073</t>
  </si>
  <si>
    <t>DBK00074</t>
  </si>
  <si>
    <t>DBK00075</t>
  </si>
  <si>
    <t>DBK00076</t>
  </si>
  <si>
    <t>DBK00077</t>
  </si>
  <si>
    <t>DBK00078</t>
  </si>
  <si>
    <t>DBK00079</t>
  </si>
  <si>
    <t>Date</t>
  </si>
  <si>
    <t>Cash_Inflow</t>
  </si>
  <si>
    <t>Cash_Outflow</t>
  </si>
  <si>
    <t>Net_Cash</t>
  </si>
  <si>
    <t>Cumulative_Cash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</si>
  <si>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</si>
  <si>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</si>
  <si>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</si>
  <si>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</si>
  <si>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</si>
  <si>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</si>
  <si>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</si>
  <si>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</si>
  <si>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</si>
  <si>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</si>
  <si>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</si>
  <si>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</si>
  <si>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</si>
  <si>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</si>
  <si>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</si>
  <si>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</si>
  <si>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</si>
  <si>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</si>
  <si>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</si>
  <si>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</si>
  <si>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</si>
  <si>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</si>
  <si>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</si>
  <si>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</si>
  <si>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</si>
  <si>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</si>
  <si>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</si>
  <si>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</si>
  <si>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</si>
  <si>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</si>
  <si>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</si>
  <si>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</si>
  <si>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</si>
  <si>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</si>
  <si>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</si>
  <si>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</si>
  <si>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</si>
  <si>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</si>
  <si>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</si>
  <si>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</si>
  <si>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</si>
  <si>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</si>
  <si>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</si>
  <si>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</si>
  <si>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</si>
  <si>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</si>
  <si>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</si>
  <si>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</si>
  <si>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</si>
  <si>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</si>
  <si>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</si>
  <si>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</si>
  <si>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</si>
  <si>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</si>
  <si>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</si>
  <si>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</si>
  <si>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</si>
  <si>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</si>
  <si>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</si>
  <si>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</si>
  <si>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</si>
  <si>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</si>
  <si>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</si>
  <si>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</si>
  <si>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</si>
  <si>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</si>
  <si>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</si>
  <si>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</si>
  <si>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</si>
  <si>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</si>
  <si>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</si>
  <si>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</si>
  <si>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</si>
  <si>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</si>
  <si>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</si>
  <si>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</si>
  <si>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</si>
  <si>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</si>
  <si>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</si>
  <si>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</si>
  <si>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</si>
  <si>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</si>
  <si>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</si>
  <si>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</si>
  <si>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</si>
  <si>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</si>
  <si>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</si>
  <si>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</si>
  <si>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</si>
  <si>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</si>
  <si>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FINANCIAL STATEMENT (Aligned to Dataset)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</si>
  <si>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</si>
  <si>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</si>
  <si>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</si>
  <si>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</si>
  <si>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</si>
  <si>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</si>
  <si>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</si>
  <si>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</si>
  <si>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</si>
  <si>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</si>
  <si>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</si>
  <si>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</si>
  <si>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Income Statement</t>
  </si>
  <si>
    <t>Revenue</t>
  </si>
  <si>
    <t>COGS</t>
  </si>
  <si>
    <t>Gross Profit</t>
  </si>
  <si>
    <t>Operating Expenses</t>
  </si>
  <si>
    <t>Net Profit</t>
  </si>
  <si>
    <t>Balance Sheet</t>
  </si>
  <si>
    <t>Cash</t>
  </si>
  <si>
    <t>Receivables</t>
  </si>
  <si>
    <t>Total Assets</t>
  </si>
  <si>
    <t>Liabilities</t>
  </si>
  <si>
    <t>Equity</t>
  </si>
  <si>
    <t>Cash Flow Statement</t>
  </si>
  <si>
    <t>Operating Cash Flow</t>
  </si>
  <si>
    <t>Investing Cash Flow</t>
  </si>
  <si>
    <t>Financing Cash Flow</t>
  </si>
  <si>
    <t>Net Change in Cash</t>
  </si>
  <si>
    <t>Month</t>
  </si>
  <si>
    <t>Completion %</t>
  </si>
  <si>
    <t>Cost</t>
  </si>
  <si>
    <t>RiskScore</t>
  </si>
  <si>
    <t>Requests</t>
  </si>
  <si>
    <t>SLA_Met</t>
  </si>
  <si>
    <t>SLA_%</t>
  </si>
  <si>
    <t>Rework_%</t>
  </si>
  <si>
    <t>Channel_Issue</t>
  </si>
  <si>
    <t>Table</t>
  </si>
  <si>
    <t>Field</t>
  </si>
  <si>
    <t>Definition</t>
  </si>
  <si>
    <t>DataType</t>
  </si>
  <si>
    <t>Use in Analytics</t>
  </si>
  <si>
    <t>Projects</t>
  </si>
  <si>
    <t>Unique synthetic project identifier</t>
  </si>
  <si>
    <t>Text</t>
  </si>
  <si>
    <t>Join key across tables</t>
  </si>
  <si>
    <t>Business unit or portfolio grouping</t>
  </si>
  <si>
    <t>Used for segmentation</t>
  </si>
  <si>
    <t>Expected completion time for request</t>
  </si>
  <si>
    <t>Number</t>
  </si>
  <si>
    <t>Supports SLA compliance</t>
  </si>
  <si>
    <t>Calculated breach flag based on wait time vs SLA</t>
  </si>
  <si>
    <t>Formula</t>
  </si>
  <si>
    <t>Yes/No</t>
  </si>
  <si>
    <t>Billing</t>
  </si>
  <si>
    <t>Days elapsed since invoice date</t>
  </si>
  <si>
    <t>Delay analysis</t>
  </si>
  <si>
    <t>Invoice delayed where age exceeds 30 days and not paid</t>
  </si>
  <si>
    <t>On Track/Delayed</t>
  </si>
  <si>
    <t>Forecasts</t>
  </si>
  <si>
    <t>Actual vs forecast variance</t>
  </si>
  <si>
    <t>Forecast accuracy proxy</t>
  </si>
  <si>
    <t>AdminOps</t>
  </si>
  <si>
    <t>Indicates task needed correction/reprocessing</t>
  </si>
  <si>
    <t>Rework hotspot analysis</t>
  </si>
  <si>
    <t>Timesheets</t>
  </si>
  <si>
    <t>Synthetic flag for timesheet anomalies</t>
  </si>
  <si>
    <t>Risk and data quality analysis</t>
  </si>
  <si>
    <t>Purchases</t>
  </si>
  <si>
    <t>Goods receipt status</t>
  </si>
  <si>
    <t>GR ageing and PO mismatch analysis</t>
  </si>
  <si>
    <t>Topic</t>
  </si>
  <si>
    <t>Statement</t>
  </si>
  <si>
    <t>Synthetic data purpose</t>
  </si>
  <si>
    <t>Created for BUSA8030 Task 2 and dashboard mock-ups; no real Schneider Electric data is included.</t>
  </si>
  <si>
    <t>Date range</t>
  </si>
  <si>
    <t>Records simulate activity between July 2025 and June 2026.</t>
  </si>
  <si>
    <t>Common key</t>
  </si>
  <si>
    <t>ProjectID links project, billing, requests, purchases, forecasts, timesheets, bookings, and de-bookings.</t>
  </si>
  <si>
    <t>SLA logic</t>
  </si>
  <si>
    <t>SLA breach is estimated by comparing request wait time against SLA target hours.</t>
  </si>
  <si>
    <t>Privacy</t>
  </si>
  <si>
    <t>Employee IDs, project managers, owners and project IDs are anonymised.</t>
  </si>
  <si>
    <t>Limitations</t>
  </si>
  <si>
    <t>Values are plausible but simulated; outputs should be labelled as synthetic in the report.</t>
  </si>
  <si>
    <t>Dimension</t>
  </si>
  <si>
    <t>Quality Check</t>
  </si>
  <si>
    <t>Example Fields</t>
  </si>
  <si>
    <t>Control / Treatment</t>
  </si>
  <si>
    <t>Completeness</t>
  </si>
  <si>
    <t>Check required keys and dates are populated</t>
  </si>
  <si>
    <t>ProjectID, RequestID, InvoiceID</t>
  </si>
  <si>
    <t>Missing critical fields should be investigated before dashboard use</t>
  </si>
  <si>
    <t>Syntactic quality</t>
  </si>
  <si>
    <t>Check dates, currencies, numeric ranges</t>
  </si>
  <si>
    <t>Date formats, amount &gt; 0, SLA hours valid</t>
  </si>
  <si>
    <t>Standardise formats and validate ranges</t>
  </si>
  <si>
    <t>Semantic quality</t>
  </si>
  <si>
    <t>Check business meaning and valid category values</t>
  </si>
  <si>
    <t>Status, Channel, GRStatus, RootCause</t>
  </si>
  <si>
    <t>Use controlled dropdown values and data dictionary</t>
  </si>
  <si>
    <t>Pragmatic quality</t>
  </si>
  <si>
    <t>Check fitness for persona decisions</t>
  </si>
  <si>
    <t>Timeliness, relevance, dashboard usability</t>
  </si>
  <si>
    <t>Exclude unnecessary fields and retain decision-critical attributes</t>
  </si>
  <si>
    <t>Ethics and privacy</t>
  </si>
  <si>
    <t>Protect personal and sensitive data</t>
  </si>
  <si>
    <t>Anonymised IDs, role-based access, SoD</t>
  </si>
  <si>
    <t>No PII included; use RBAC for finance data</t>
  </si>
  <si>
    <t>Visual ethics</t>
  </si>
  <si>
    <t>Avoid misleading visuals</t>
  </si>
  <si>
    <t>Accessible colours, clear scales</t>
  </si>
  <si>
    <t>Label synthetic outputs and assumptions clearly</t>
  </si>
  <si>
    <t>Item</t>
  </si>
  <si>
    <t>Description</t>
  </si>
  <si>
    <t>Workbook</t>
  </si>
  <si>
    <t>Schneider Electric Regional Administration Synthetic Dataset</t>
  </si>
  <si>
    <t>Purpose</t>
  </si>
  <si>
    <t>Supports Task 2 Data Plan &amp; Ethical Data Management and Task 3 dashboard mock-ups.</t>
  </si>
  <si>
    <t>Created tables</t>
  </si>
  <si>
    <t>Projects, Requests, AdminOps, Billing, Purchases, Forecasts, Timesheets, Bookings, DeBookings</t>
  </si>
  <si>
    <t>Suggested appendix screenshots</t>
  </si>
  <si>
    <t>Projects!A1:J12, Requests!A1:M12, Billing!A1:J12, Data_Dictionary!A1:E12, Data_Quality_Profile!A1:D7</t>
  </si>
  <si>
    <t>Important note</t>
  </si>
  <si>
    <t>All data is synthetic and should be clearly labelled as simulated/non-confidential in the report.</t>
  </si>
  <si>
    <t>Schema Consistency Notes – Task 2 Synthetic Data</t>
  </si>
  <si>
    <t>Area</t>
  </si>
  <si>
    <t>Before</t>
  </si>
  <si>
    <t>After / Standard</t>
  </si>
  <si>
    <t>Why it matters</t>
  </si>
  <si>
    <t>Used by Task</t>
  </si>
  <si>
    <t>ProjectID format</t>
  </si>
  <si>
    <t>Cash_Flow used P100–P105; Project_Performance used P001–P010</t>
  </si>
  <si>
    <t>All ProjectID values now use PRJ0000 style, e.g., PRJ0101</t>
  </si>
  <si>
    <t>Makes relationships easier in Excel/Power BI and supports one consistent project key</t>
  </si>
  <si>
    <t>Task 2 schema + Task 3 dashboards</t>
  </si>
  <si>
    <t>Fixed</t>
  </si>
  <si>
    <t>Workflow channel naming</t>
  </si>
  <si>
    <t>Requests included ServiceNow Form</t>
  </si>
  <si>
    <t>Standardised to Jira Form</t>
  </si>
  <si>
    <t>Matches the selected workflow system in the report and avoids tool inconsistency</t>
  </si>
  <si>
    <t>Task 2 + Task 4 operating model</t>
  </si>
  <si>
    <t>Numeric fields formatting</t>
  </si>
  <si>
    <t>BacklogDays and InvoiceAge sometimes displayed as dates</t>
  </si>
  <si>
    <t>Formatted as numeric day values</t>
  </si>
  <si>
    <t>Prevents confusion when explaining SLA backlog and invoice ageing</t>
  </si>
  <si>
    <t>Task 3 dashboard KPIs</t>
  </si>
  <si>
    <t>Date fields formatting</t>
  </si>
  <si>
    <t>Mixed Excel serial/date display across sheets</t>
  </si>
  <si>
    <t>Formatted date columns as yyyy-mm-dd</t>
  </si>
  <si>
    <t>Improves readability and time-series dashboard use</t>
  </si>
  <si>
    <t>Task 2 schema + Task 3 trend charts</t>
  </si>
  <si>
    <t>Integrated schema</t>
  </si>
  <si>
    <t>Multiple operational, project, and finance sheets</t>
  </si>
  <si>
    <t>Projects remains the central relationship table via ProjectID</t>
  </si>
  <si>
    <t>Enables end-to-end visibility from admin delays to project and financial impact</t>
  </si>
  <si>
    <t>All tasks</t>
  </si>
  <si>
    <t>Confirmed</t>
  </si>
  <si>
    <t>Simplified Schema Relationship</t>
  </si>
  <si>
    <t>Projects (central table)</t>
  </si>
  <si>
    <t>↓ linked by ProjectID</t>
  </si>
  <si>
    <t>Bookings</t>
  </si>
  <si>
    <t>↓</t>
  </si>
  <si>
    <t>AdminOps / SLA</t>
  </si>
  <si>
    <t>Business meaning: admin workflow delays can be traced to project risk, billing delay, and cash-flow impact.</t>
  </si>
  <si>
    <t>Additional check: BacklogDays and InvoiceAge_Days were converted from accidental date-display values back into numeric day values.</t>
  </si>
  <si>
    <t>PROJECT-LEVEL CASH FLOW STATEMENT – GENERATED FROM CONSISTENT PROJECTID SCHEMA</t>
  </si>
  <si>
    <t>MonthStart</t>
  </si>
  <si>
    <t>Cash Inflow (Paid Billing)</t>
  </si>
  <si>
    <t>Cash Outflow (Purchases + Costs + DeBookings)</t>
  </si>
  <si>
    <t>Net Cash Flow</t>
  </si>
  <si>
    <t>Cumulative Cash by Project</t>
  </si>
  <si>
    <t>PROJECT-LEVEL PROFIT &amp; LOSS STATEMENT – MONTHLY MANAGEMENT VIEW</t>
  </si>
  <si>
    <t>Gross Revenue (Actual)</t>
  </si>
  <si>
    <t>Revenue Leakage / DeBookings</t>
  </si>
  <si>
    <t>Net Revenue</t>
  </si>
  <si>
    <t>COGS / Purchase Cost</t>
  </si>
  <si>
    <t>Admin &amp; Delivery Cost</t>
  </si>
  <si>
    <t>Operating Profit</t>
  </si>
  <si>
    <t>Profit Margin</t>
  </si>
  <si>
    <t>PROJECT-LEVEL BALANCE SHEET PROXY – MONTH-END POSITION</t>
  </si>
  <si>
    <t>Cash Balance</t>
  </si>
  <si>
    <t>Accounts Receivable</t>
  </si>
  <si>
    <t>Unbilled Revenue</t>
  </si>
  <si>
    <t>Total Current Assets</t>
  </si>
  <si>
    <t>Accounts Payable</t>
  </si>
  <si>
    <t>Deferred Revenue / Booking Obligation</t>
  </si>
  <si>
    <t>Total Liabilities</t>
  </si>
  <si>
    <t>Retained Earnings / Project Equity</t>
  </si>
  <si>
    <t>Balance Check</t>
  </si>
  <si>
    <t>CONSOLIDATED FINANCIAL STATEMENTS – ALL PROJECTS</t>
  </si>
  <si>
    <t>Total Cash Inflow</t>
  </si>
  <si>
    <t>Total Cash Outflow</t>
  </si>
  <si>
    <t>Ending Cash Balance</t>
  </si>
  <si>
    <t>Gross Revenue</t>
  </si>
  <si>
    <t>Revenue Leakage</t>
  </si>
  <si>
    <t>Admin Cost</t>
  </si>
  <si>
    <t>Project Equity</t>
  </si>
  <si>
    <t>FINANCIAL STATEMENT GENERATION METHODOLOGY &amp; CONSISTENCY NOTES</t>
  </si>
  <si>
    <t>ProjectID consistency</t>
  </si>
  <si>
    <t>All generated statement rows use ProjectID from the Projects table.</t>
  </si>
  <si>
    <t>Maintains one project key across all statements and source data.</t>
  </si>
  <si>
    <t>Projects, Billing, Forecasts, Purchases, Bookings, DeBookings, Project_Performance</t>
  </si>
  <si>
    <t>ProjectID is the primary linking key.</t>
  </si>
  <si>
    <t>Project-level cash flow</t>
  </si>
  <si>
    <t>Cash inflow uses paid invoices; cash outflow uses purchase cost, project cost, and de-booking amount.</t>
  </si>
  <si>
    <t>Shows how project activity affects cash movement.</t>
  </si>
  <si>
    <t>Billing, Purchases, Project_Performance, DeBookings</t>
  </si>
  <si>
    <t>Monthly rows are generated for every ProjectID and month.</t>
  </si>
  <si>
    <t>Generated</t>
  </si>
  <si>
    <t>Project-level P&amp;L</t>
  </si>
  <si>
    <t>Gross revenue uses actual revenue from Forecasts; revenue leakage uses de-bookings; COGS uses purchases; admin/delivery cost uses Project_Performance cost.</t>
  </si>
  <si>
    <t>Creates a management P&amp;L by project and month.</t>
  </si>
  <si>
    <t>Forecasts, DeBookings, Purchases, Project_Performance</t>
  </si>
  <si>
    <t>Calculations are consistent with source sheets.</t>
  </si>
  <si>
    <t>Project-level balance sheet proxy</t>
  </si>
  <si>
    <t>Cash, AR, unbilled revenue, AP, deferred revenue, and project equity are calculated monthly.</t>
  </si>
  <si>
    <t>Provides a management balance sheet view for dashboard and diagnostic analysis.</t>
  </si>
  <si>
    <t>Project_Cash_Flow, Billing, Forecasts, Purchases, Bookings, Project_P&amp;L</t>
  </si>
  <si>
    <t>Balance Check shown as a management reconciliation indicator.</t>
  </si>
  <si>
    <t>Consolidated statements</t>
  </si>
  <si>
    <t>Consolidated statement aggregates the project-level statements by month.</t>
  </si>
  <si>
    <t>Keeps both granular project analysis and executive-level view.</t>
  </si>
  <si>
    <t>Project_Cash_Flow, Project_P&amp;L, Project_Balance_Sheet</t>
  </si>
  <si>
    <t>Monthly totals are generated from project-level statements.</t>
  </si>
  <si>
    <t>Statements are management/proxy statements generated from synthetic assignment data, not audited financial statements.</t>
  </si>
  <si>
    <t>Keeps ethical transparency and prevents overclaiming.</t>
  </si>
  <si>
    <t>All source sheets</t>
  </si>
  <si>
    <t>Assumptions are documented.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</si>
</sst>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\$#,##0"/>
    <numFmt numFmtId="166" formatCode="0.0%"/>
    <numFmt numFmtId="167" formatCode="0.0"/>
    <numFmt numFmtId="168" formatCode="\$#,##0;[Red]\(\$#,##0\);\-"/>
  </numFmts>
  <fonts count="10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4F81BD"/>
      </patternFill>
    </fill>
    <fill>
      <patternFill patternType="solid">
        <fgColor rgb="FF1F4E78"/>
      </patternFill>
    </fill>
    <fill>
      <patternFill patternType="solid">
        <fgColor rgb="FF0A7A3D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007A3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7C9B2"/>
      </left>
      <right style="thin">
        <color rgb="FFB7C9B2"/>
      </right>
      <top style="thin">
        <color rgb="FFB7C9B2"/>
      </top>
      <bottom style="thin">
        <color rgb="FFB7C9B2"/>
      </bottom>
      <diagonal/>
    </border>
  </borders>
  <cellStyleXfs count="3">
    <xf numFmtId="0" fontId="0" fillId="0" borderId="1"/>
    <xf numFmtId="0" fontId="3" fillId="0" borderId="1"/>
    <xf numFmtId="43" fontId="3" fillId="0" borderId="1"/>
  </cellStyleXfs>
  <cellXfs count="36">
    <xf numFmtId="0" fontId="0" fillId="0" borderId="0" xfId="0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  <xf numFmtId="0" fontId="2" fillId="3" borderId="2" xfId="0" applyFont="1" applyFill="1" applyBorder="1"/>
    <xf numFmtId="0" fontId="4" fillId="4" borderId="1" xfId="1" applyFont="1" applyFill="1" applyAlignment="1">
      <alignment horizontal="center"/>
    </xf>
    <xf numFmtId="43" fontId="4" fillId="4" borderId="1" xfId="2" applyFont="1" applyFill="1" applyAlignment="1">
      <alignment horizontal="center"/>
    </xf>
    <xf numFmtId="0" fontId="3" fillId="0" borderId="1" xfId="1"/>
    <xf numFmtId="43" fontId="0" fillId="0" borderId="1" xfId="2" applyFont="1"/>
    <xf numFmtId="0" fontId="1" fillId="2" borderId="2" xfId="0" applyFont="1" applyFill="1" applyBorder="1" applyAlignment="1">
      <alignment horizontal="center" vertical="center"/>
    </xf>
    <xf numFmtId="0" fontId="4" fillId="5" borderId="1" xfId="1" applyFont="1" applyFill="1" applyAlignment="1">
      <alignment horizontal="center"/>
    </xf>
    <xf numFmtId="43" fontId="4" fillId="5" borderId="1" xfId="2" applyFont="1" applyFill="1" applyAlignment="1">
      <alignment horizontal="center"/>
    </xf>
    <xf numFmtId="0" fontId="5" fillId="0" borderId="1" xfId="1" applyFont="1"/>
    <xf numFmtId="167" fontId="2" fillId="3" borderId="2" xfId="0" applyNumberFormat="1" applyFont="1" applyFill="1" applyBorder="1"/>
    <xf numFmtId="1" fontId="0" fillId="0" borderId="0" xfId="0" applyNumberFormat="1" applyBorder="1"/>
    <xf numFmtId="0" fontId="7" fillId="7" borderId="0" xfId="0" applyFont="1" applyFill="1" applyBorder="1" applyAlignment="1">
      <alignment horizont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168" fontId="0" fillId="0" borderId="3" xfId="0" applyNumberFormat="1" applyBorder="1" applyAlignment="1">
      <alignment vertical="center"/>
    </xf>
    <xf numFmtId="166" fontId="0" fillId="0" borderId="3" xfId="0" applyNumberFormat="1" applyBorder="1" applyAlignment="1">
      <alignment vertical="center"/>
    </xf>
    <xf numFmtId="0" fontId="9" fillId="11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11" borderId="1" xfId="0" applyFont="1" applyFill="1" applyAlignment="1">
      <alignment horizontal="center" vertical="center"/>
    </xf>
    <xf numFmtId="0" fontId="0" fillId="0" borderId="0" xfId="0" applyBorder="1"/>
    <xf numFmtId="0" fontId="7" fillId="9" borderId="1" xfId="0" applyFont="1" applyFill="1" applyAlignment="1">
      <alignment horizontal="center" vertical="center" wrapText="1"/>
    </xf>
    <xf numFmtId="0" fontId="7" fillId="10" borderId="1" xfId="0" applyFont="1" applyFill="1" applyAlignment="1">
      <alignment wrapText="1"/>
    </xf>
    <xf numFmtId="0" fontId="6" fillId="6" borderId="1" xfId="0" applyFont="1" applyFill="1" applyAlignment="1">
      <alignment horizontal="center"/>
    </xf>
    <xf numFmtId="0" fontId="7" fillId="8" borderId="1" xfId="0" applyFont="1" applyFill="1" applyAlignment="1">
      <alignment horizontal="center"/>
    </xf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Consolidated Cash Flow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Consolidated_Statements!$C$2</c:f>
              <c:strCache>
                <c:ptCount val="1"/>
                <c:pt idx="0">
                  <c:v>Total Cash Inflow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Consolidated_Statements!$C$3:$C$14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613916.05000000005</c:v>
                </c:pt>
                <c:pt idx="8">
                  <c:v>1060288.21</c:v>
                </c:pt>
                <c:pt idx="9">
                  <c:v>187838.97</c:v>
                </c:pt>
                <c:pt idx="10">
                  <c:v>616701.77</c:v>
                </c:pt>
                <c:pt idx="11">
                  <c:v>1131690.1599999999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1F-8C4B-BE16-E23BE883F9B3}"/>
            </c:ext>
          </c:extLst>
        </c:ser>
        <c:ser>
          <c:idx val="1"/>
          <c:order val="1"/>
          <c:tx>
            <c:strRef>
              <c:f>Consolidated_Statements!$D$2</c:f>
              <c:strCache>
                <c:ptCount val="1"/>
                <c:pt idx="0">
                  <c:v>Total Cash Outflow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Consolidated_Statements!$D$3:$D$14</c:f>
              <c:numCache>
                <c:formatCode>\$#,##0;[Red]\(\$#,##0\);\-</c:formatCode>
                <c:ptCount val="12"/>
                <c:pt idx="0">
                  <c:v>121399</c:v>
                </c:pt>
                <c:pt idx="1">
                  <c:v>139875</c:v>
                </c:pt>
                <c:pt idx="2">
                  <c:v>133887</c:v>
                </c:pt>
                <c:pt idx="3">
                  <c:v>139572</c:v>
                </c:pt>
                <c:pt idx="4">
                  <c:v>149397</c:v>
                </c:pt>
                <c:pt idx="5">
                  <c:v>170107</c:v>
                </c:pt>
                <c:pt idx="6">
                  <c:v>1416554.22</c:v>
                </c:pt>
                <c:pt idx="7">
                  <c:v>2240960.19</c:v>
                </c:pt>
                <c:pt idx="8">
                  <c:v>2180800</c:v>
                </c:pt>
                <c:pt idx="9">
                  <c:v>3581199.2100000009</c:v>
                </c:pt>
                <c:pt idx="10">
                  <c:v>2935863.7</c:v>
                </c:pt>
                <c:pt idx="11">
                  <c:v>3122425.23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1F-8C4B-BE16-E23BE883F9B3}"/>
            </c:ext>
          </c:extLst>
        </c:ser>
        <c:ser>
          <c:idx val="2"/>
          <c:order val="2"/>
          <c:tx>
            <c:strRef>
              <c:f>Consolidated_Statements!$E$2</c:f>
              <c:strCache>
                <c:ptCount val="1"/>
                <c:pt idx="0">
                  <c:v>Net Cash Flow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Consolidated_Statements!$E$3:$E$14</c:f>
              <c:numCache>
                <c:formatCode>\$#,##0;[Red]\(\$#,##0\);\-</c:formatCode>
                <c:ptCount val="12"/>
                <c:pt idx="0">
                  <c:v>-121399</c:v>
                </c:pt>
                <c:pt idx="1">
                  <c:v>-139875</c:v>
                </c:pt>
                <c:pt idx="2">
                  <c:v>-133887</c:v>
                </c:pt>
                <c:pt idx="3">
                  <c:v>-139572</c:v>
                </c:pt>
                <c:pt idx="4">
                  <c:v>-149397</c:v>
                </c:pt>
                <c:pt idx="5">
                  <c:v>-170107</c:v>
                </c:pt>
                <c:pt idx="6">
                  <c:v>-1416554.22</c:v>
                </c:pt>
                <c:pt idx="7">
                  <c:v>-1627044.14</c:v>
                </c:pt>
                <c:pt idx="8">
                  <c:v>-1120511.79</c:v>
                </c:pt>
                <c:pt idx="9">
                  <c:v>-3393360.2400000012</c:v>
                </c:pt>
                <c:pt idx="10">
                  <c:v>-2319161.9300000002</c:v>
                </c:pt>
                <c:pt idx="11">
                  <c:v>-1990735.07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E1F-8C4B-BE16-E23BE883F9B3}"/>
            </c:ext>
          </c:extLst>
        </c:ser>
        <c:ser>
          <c:idx val="3"/>
          <c:order val="3"/>
          <c:tx>
            <c:strRef>
              <c:f>Consolidated_Statements!$F$2</c:f>
              <c:strCache>
                <c:ptCount val="1"/>
                <c:pt idx="0">
                  <c:v>Ending Cash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Consolidated_Statements!$F$3:$F$14</c:f>
              <c:numCache>
                <c:formatCode>\$#,##0;[Red]\(\$#,##0\);\-</c:formatCode>
                <c:ptCount val="12"/>
                <c:pt idx="0">
                  <c:v>-121399</c:v>
                </c:pt>
                <c:pt idx="1">
                  <c:v>-261274</c:v>
                </c:pt>
                <c:pt idx="2">
                  <c:v>-395161</c:v>
                </c:pt>
                <c:pt idx="3">
                  <c:v>-534733</c:v>
                </c:pt>
                <c:pt idx="4">
                  <c:v>-684130</c:v>
                </c:pt>
                <c:pt idx="5">
                  <c:v>-854237</c:v>
                </c:pt>
                <c:pt idx="6">
                  <c:v>-2270791.2200000002</c:v>
                </c:pt>
                <c:pt idx="7">
                  <c:v>-3897835.3599999989</c:v>
                </c:pt>
                <c:pt idx="8">
                  <c:v>-5018347.1499999994</c:v>
                </c:pt>
                <c:pt idx="9">
                  <c:v>-8411707.3900000006</c:v>
                </c:pt>
                <c:pt idx="10">
                  <c:v>-10730869.32</c:v>
                </c:pt>
                <c:pt idx="11">
                  <c:v>-12721604.390000001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E1F-8C4B-BE16-E23BE883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AUD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vs Operating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Consolidated_Statements!$G$2</c:f>
              <c:strCache>
                <c:ptCount val="1"/>
                <c:pt idx="0">
                  <c:v>Gross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Consolidated_Statements!$G$3:$G$14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1921224.919999999</c:v>
                </c:pt>
                <c:pt idx="7">
                  <c:v>2099609.62</c:v>
                </c:pt>
                <c:pt idx="8">
                  <c:v>2309134.44</c:v>
                </c:pt>
                <c:pt idx="9">
                  <c:v>2134799.7400000002</c:v>
                </c:pt>
                <c:pt idx="10">
                  <c:v>2274104.19</c:v>
                </c:pt>
                <c:pt idx="11">
                  <c:v>1894731.75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B-854A-94EB-6CFB8B6F30D9}"/>
            </c:ext>
          </c:extLst>
        </c:ser>
        <c:ser>
          <c:idx val="1"/>
          <c:order val="1"/>
          <c:tx>
            <c:strRef>
              <c:f>Consolidated_Statements!$H$2</c:f>
              <c:strCache>
                <c:ptCount val="1"/>
                <c:pt idx="0">
                  <c:v>Revenue Leakage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Consolidated_Statements!$H$3:$H$14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73438.59</c:v>
                </c:pt>
                <c:pt idx="8">
                  <c:v>298735.78999999998</c:v>
                </c:pt>
                <c:pt idx="9">
                  <c:v>700206.15999999992</c:v>
                </c:pt>
                <c:pt idx="10">
                  <c:v>698625.59000000008</c:v>
                </c:pt>
                <c:pt idx="11">
                  <c:v>1035585.28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B-854A-94EB-6CFB8B6F30D9}"/>
            </c:ext>
          </c:extLst>
        </c:ser>
        <c:ser>
          <c:idx val="2"/>
          <c:order val="2"/>
          <c:tx>
            <c:strRef>
              <c:f>Consolidated_Statements!$I$2</c:f>
              <c:strCache>
                <c:ptCount val="1"/>
                <c:pt idx="0">
                  <c:v>Net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Consolidated_Statements!$I$3:$I$14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1921224.919999999</c:v>
                </c:pt>
                <c:pt idx="7">
                  <c:v>2026171.03</c:v>
                </c:pt>
                <c:pt idx="8">
                  <c:v>2010398.65</c:v>
                </c:pt>
                <c:pt idx="9">
                  <c:v>1434593.5799999989</c:v>
                </c:pt>
                <c:pt idx="10">
                  <c:v>1575478.6</c:v>
                </c:pt>
                <c:pt idx="11">
                  <c:v>859146.47000000009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B-854A-94EB-6CFB8B6F30D9}"/>
            </c:ext>
          </c:extLst>
        </c:ser>
        <c:ser>
          <c:idx val="3"/>
          <c:order val="3"/>
          <c:tx>
            <c:strRef>
              <c:f>Consolidated_Statements!$J$2</c:f>
              <c:strCache>
                <c:ptCount val="1"/>
                <c:pt idx="0">
                  <c:v>COGS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Consolidated_Statements!$J$3:$J$14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1244489.22</c:v>
                </c:pt>
                <c:pt idx="7">
                  <c:v>2011320.6</c:v>
                </c:pt>
                <c:pt idx="8">
                  <c:v>1720945.209999999</c:v>
                </c:pt>
                <c:pt idx="9">
                  <c:v>2719733.0500000012</c:v>
                </c:pt>
                <c:pt idx="10">
                  <c:v>2115297.11</c:v>
                </c:pt>
                <c:pt idx="11">
                  <c:v>1936264.95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2B-854A-94EB-6CFB8B6F30D9}"/>
            </c:ext>
          </c:extLst>
        </c:ser>
        <c:ser>
          <c:idx val="4"/>
          <c:order val="4"/>
          <c:tx>
            <c:strRef>
              <c:f>Consolidated_Statements!$K$2</c:f>
              <c:strCache>
                <c:ptCount val="1"/>
                <c:pt idx="0">
                  <c:v>Admin Cost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Consolidated_Statements!$K$3:$K$14</c:f>
              <c:numCache>
                <c:formatCode>\$#,##0;[Red]\(\$#,##0\);\-</c:formatCode>
                <c:ptCount val="12"/>
                <c:pt idx="0">
                  <c:v>121399</c:v>
                </c:pt>
                <c:pt idx="1">
                  <c:v>139875</c:v>
                </c:pt>
                <c:pt idx="2">
                  <c:v>133887</c:v>
                </c:pt>
                <c:pt idx="3">
                  <c:v>139572</c:v>
                </c:pt>
                <c:pt idx="4">
                  <c:v>149397</c:v>
                </c:pt>
                <c:pt idx="5">
                  <c:v>170107</c:v>
                </c:pt>
                <c:pt idx="6">
                  <c:v>172065</c:v>
                </c:pt>
                <c:pt idx="7">
                  <c:v>156201</c:v>
                </c:pt>
                <c:pt idx="8">
                  <c:v>161119</c:v>
                </c:pt>
                <c:pt idx="9">
                  <c:v>161260</c:v>
                </c:pt>
                <c:pt idx="10">
                  <c:v>121941</c:v>
                </c:pt>
                <c:pt idx="11">
                  <c:v>150575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2B-854A-94EB-6CFB8B6F30D9}"/>
            </c:ext>
          </c:extLst>
        </c:ser>
        <c:ser>
          <c:idx val="5"/>
          <c:order val="5"/>
          <c:tx>
            <c:strRef>
              <c:f>Consolidated_Statements!$L$2</c:f>
              <c:strCache>
                <c:ptCount val="1"/>
                <c:pt idx="0">
                  <c:v>Operating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Consolidated_Statements!$B$3:$B$14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Consolidated_Statements!$L$3:$L$14</c:f>
              <c:numCache>
                <c:formatCode>\$#,##0;[Red]\(\$#,##0\);\-</c:formatCode>
                <c:ptCount val="12"/>
                <c:pt idx="0">
                  <c:v>-121399</c:v>
                </c:pt>
                <c:pt idx="1">
                  <c:v>-139875</c:v>
                </c:pt>
                <c:pt idx="2">
                  <c:v>-133887</c:v>
                </c:pt>
                <c:pt idx="3">
                  <c:v>-139572</c:v>
                </c:pt>
                <c:pt idx="4">
                  <c:v>-149397</c:v>
                </c:pt>
                <c:pt idx="5">
                  <c:v>-170107</c:v>
                </c:pt>
                <c:pt idx="6">
                  <c:v>504670.70000000013</c:v>
                </c:pt>
                <c:pt idx="7">
                  <c:v>-141350.56999999989</c:v>
                </c:pt>
                <c:pt idx="8">
                  <c:v>128334.4400000001</c:v>
                </c:pt>
                <c:pt idx="9">
                  <c:v>-1446399.4700000009</c:v>
                </c:pt>
                <c:pt idx="10">
                  <c:v>-661759.51</c:v>
                </c:pt>
                <c:pt idx="11">
                  <c:v>-1227693.48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2B-854A-94EB-6CFB8B6F3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AUD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16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J121">
  <autoFilter ref="A1:J121" xr:uid="{00000000-0009-0000-0100-000001000000}"/>
  <tableColumns count="10">
    <tableColumn id="1" xr3:uid="{00000000-0010-0000-0000-000001000000}" name="ProjectID"/>
    <tableColumn id="2" xr3:uid="{00000000-0010-0000-0000-000002000000}" name="BusinessUnit"/>
    <tableColumn id="3" xr3:uid="{00000000-0010-0000-0000-000003000000}" name="ProjectManager"/>
    <tableColumn id="4" xr3:uid="{00000000-0010-0000-0000-000004000000}" name="StartDate"/>
    <tableColumn id="5" xr3:uid="{00000000-0010-0000-0000-000005000000}" name="EndDate"/>
    <tableColumn id="6" xr3:uid="{00000000-0010-0000-0000-000006000000}" name="Status"/>
    <tableColumn id="7" xr3:uid="{00000000-0010-0000-0000-000007000000}" name="ContractType"/>
    <tableColumn id="8" xr3:uid="{00000000-0010-0000-0000-000008000000}" name="ContractValue"/>
    <tableColumn id="9" xr3:uid="{00000000-0010-0000-0000-000009000000}" name="Priority"/>
    <tableColumn id="10" xr3:uid="{00000000-0010-0000-0000-00000A000000}" name="Source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minOpsTable_1" displayName="AdminOpsTable_1" ref="A1:J501">
  <autoFilter ref="A1:J501" xr:uid="{00000000-0009-0000-0100-000002000000}"/>
  <tableColumns count="10">
    <tableColumn id="1" xr3:uid="{00000000-0010-0000-0100-000001000000}" name="TaskID"/>
    <tableColumn id="2" xr3:uid="{00000000-0010-0000-0100-000002000000}" name="RequestID"/>
    <tableColumn id="3" xr3:uid="{00000000-0010-0000-0100-000003000000}" name="ProjectID"/>
    <tableColumn id="4" xr3:uid="{00000000-0010-0000-0100-000004000000}" name="TaskType"/>
    <tableColumn id="5" xr3:uid="{00000000-0010-0000-0100-000005000000}" name="Owner"/>
    <tableColumn id="6" xr3:uid="{00000000-0010-0000-0100-000006000000}" name="StartTime"/>
    <tableColumn id="7" xr3:uid="{00000000-0010-0000-0100-000007000000}" name="FinishTime"/>
    <tableColumn id="8" xr3:uid="{00000000-0010-0000-0100-000008000000}" name="ProcessingTime_Hours"/>
    <tableColumn id="9" xr3:uid="{00000000-0010-0000-0100-000009000000}" name="ReworkFlag"/>
    <tableColumn id="10" xr3:uid="{00000000-0010-0000-0100-00000A000000}" name="Syst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questsTable" displayName="RequestsTable" ref="A1:K701">
  <autoFilter ref="A1:K701" xr:uid="{00000000-0009-0000-0100-000003000000}"/>
  <tableColumns count="11">
    <tableColumn id="1" xr3:uid="{00000000-0010-0000-0200-000001000000}" name="RequestID"/>
    <tableColumn id="2" xr3:uid="{00000000-0010-0000-0200-000002000000}" name="ProjectID"/>
    <tableColumn id="3" xr3:uid="{00000000-0010-0000-0200-000003000000}" name="RequestType"/>
    <tableColumn id="4" xr3:uid="{00000000-0010-0000-0200-000004000000}" name="Channel"/>
    <tableColumn id="5" xr3:uid="{00000000-0010-0000-0200-000005000000}" name="CreatedDate"/>
    <tableColumn id="6" xr3:uid="{00000000-0010-0000-0200-000006000000}" name="SLA_Hours"/>
    <tableColumn id="7" xr3:uid="{00000000-0010-0000-0200-000007000000}" name="TouchTime_Hours"/>
    <tableColumn id="8" xr3:uid="{00000000-0010-0000-0200-000008000000}" name="WaitTime_Hours"/>
    <tableColumn id="9" xr3:uid="{00000000-0010-0000-0200-000009000000}" name="Status"/>
    <tableColumn id="10" xr3:uid="{00000000-0010-0000-0200-00000A000000}" name="Owner"/>
    <tableColumn id="11" xr3:uid="{00000000-0010-0000-0200-00000B000000}" name="Syst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minOpsTable" displayName="AdminOpsTable" ref="A1:J501">
  <autoFilter ref="A1:J501" xr:uid="{00000000-0009-0000-0100-000004000000}"/>
  <tableColumns count="10">
    <tableColumn id="1" xr3:uid="{00000000-0010-0000-0300-000001000000}" name="TaskID"/>
    <tableColumn id="2" xr3:uid="{00000000-0010-0000-0300-000002000000}" name="RequestID"/>
    <tableColumn id="3" xr3:uid="{00000000-0010-0000-0300-000003000000}" name="ProjectID"/>
    <tableColumn id="4" xr3:uid="{00000000-0010-0000-0300-000004000000}" name="TaskType"/>
    <tableColumn id="5" xr3:uid="{00000000-0010-0000-0300-000005000000}" name="Owner"/>
    <tableColumn id="6" xr3:uid="{00000000-0010-0000-0300-000006000000}" name="StartTime"/>
    <tableColumn id="7" xr3:uid="{00000000-0010-0000-0300-000007000000}" name="FinishTime"/>
    <tableColumn id="8" xr3:uid="{00000000-0010-0000-0300-000008000000}" name="ProcessingTime_Hours"/>
    <tableColumn id="9" xr3:uid="{00000000-0010-0000-0300-000009000000}" name="ReworkFlag"/>
    <tableColumn id="10" xr3:uid="{00000000-0010-0000-0300-00000A000000}" name="Syst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illingTable" displayName="BillingTable" ref="A1:H281">
  <autoFilter ref="A1:H281" xr:uid="{00000000-0009-0000-0100-000005000000}"/>
  <tableColumns count="8">
    <tableColumn id="1" xr3:uid="{00000000-0010-0000-0400-000001000000}" name="InvoiceID"/>
    <tableColumn id="2" xr3:uid="{00000000-0010-0000-0400-000002000000}" name="ProjectID"/>
    <tableColumn id="3" xr3:uid="{00000000-0010-0000-0400-000003000000}" name="InvoiceDate"/>
    <tableColumn id="4" xr3:uid="{00000000-0010-0000-0400-000004000000}" name="Amount"/>
    <tableColumn id="5" xr3:uid="{00000000-0010-0000-0400-000005000000}" name="Status"/>
    <tableColumn id="6" xr3:uid="{00000000-0010-0000-0400-000006000000}" name="CorrectionFlag"/>
    <tableColumn id="7" xr3:uid="{00000000-0010-0000-0400-000007000000}" name="ApprovalStage"/>
    <tableColumn id="8" xr3:uid="{00000000-0010-0000-0400-000008000000}" name="FinancialRi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urchasesTable" displayName="PurchasesTable" ref="A1:H351">
  <autoFilter ref="A1:H351" xr:uid="{00000000-0009-0000-0100-000006000000}"/>
  <tableColumns count="8">
    <tableColumn id="1" xr3:uid="{00000000-0010-0000-0500-000001000000}" name="POID"/>
    <tableColumn id="2" xr3:uid="{00000000-0010-0000-0500-000002000000}" name="ProjectID"/>
    <tableColumn id="3" xr3:uid="{00000000-0010-0000-0500-000003000000}" name="Category"/>
    <tableColumn id="4" xr3:uid="{00000000-0010-0000-0500-000004000000}" name="PODate"/>
    <tableColumn id="5" xr3:uid="{00000000-0010-0000-0500-000005000000}" name="Amount"/>
    <tableColumn id="6" xr3:uid="{00000000-0010-0000-0500-000006000000}" name="GRStatus"/>
    <tableColumn id="7" xr3:uid="{00000000-0010-0000-0500-000007000000}" name="GRDate"/>
    <tableColumn id="8" xr3:uid="{00000000-0010-0000-0500-000008000000}" name="Match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ecastsTable" displayName="ForecastsTable" ref="A1:F669">
  <autoFilter ref="A1:F669" xr:uid="{00000000-0009-0000-0100-000007000000}"/>
  <tableColumns count="6">
    <tableColumn id="1" xr3:uid="{00000000-0010-0000-0600-000001000000}" name="ProjectID"/>
    <tableColumn id="2" xr3:uid="{00000000-0010-0000-0600-000002000000}" name="Period"/>
    <tableColumn id="3" xr3:uid="{00000000-0010-0000-0600-000003000000}" name="RevenueForecast"/>
    <tableColumn id="4" xr3:uid="{00000000-0010-0000-0600-000004000000}" name="ActualRevenue"/>
    <tableColumn id="5" xr3:uid="{00000000-0010-0000-0600-000005000000}" name="Confidence"/>
    <tableColumn id="6" xr3:uid="{00000000-0010-0000-0600-000006000000}" name="Metho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imesheetsTable" displayName="TimesheetsTable" ref="A1:F901">
  <autoFilter ref="A1:F901" xr:uid="{00000000-0009-0000-0100-000008000000}"/>
  <tableColumns count="6">
    <tableColumn id="1" xr3:uid="{00000000-0010-0000-0700-000001000000}" name="EmployeeID"/>
    <tableColumn id="2" xr3:uid="{00000000-0010-0000-0700-000002000000}" name="ProjectID"/>
    <tableColumn id="3" xr3:uid="{00000000-0010-0000-0700-000003000000}" name="WeekStart"/>
    <tableColumn id="4" xr3:uid="{00000000-0010-0000-0700-000004000000}" name="Hours"/>
    <tableColumn id="5" xr3:uid="{00000000-0010-0000-0700-000005000000}" name="UploadSource"/>
    <tableColumn id="6" xr3:uid="{00000000-0010-0000-0700-000006000000}" name="Anomaly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ookingsTable" displayName="BookingsTable" ref="A1:F181">
  <autoFilter ref="A1:F181" xr:uid="{00000000-0009-0000-0100-000009000000}"/>
  <tableColumns count="6">
    <tableColumn id="1" xr3:uid="{00000000-0010-0000-0800-000001000000}" name="BookingID"/>
    <tableColumn id="2" xr3:uid="{00000000-0010-0000-0800-000002000000}" name="ProjectID"/>
    <tableColumn id="3" xr3:uid="{00000000-0010-0000-0800-000003000000}" name="BookingDate"/>
    <tableColumn id="4" xr3:uid="{00000000-0010-0000-0800-000004000000}" name="Amount"/>
    <tableColumn id="5" xr3:uid="{00000000-0010-0000-0800-000005000000}" name="Currency"/>
    <tableColumn id="6" xr3:uid="{00000000-0010-0000-0800-000006000000}" name="Precheck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eBookingsTable" displayName="DeBookingsTable" ref="A1:F80">
  <autoFilter ref="A1:F80" xr:uid="{00000000-0009-0000-0100-00000A000000}"/>
  <tableColumns count="6">
    <tableColumn id="1" xr3:uid="{00000000-0010-0000-0900-000001000000}" name="DeBookingID"/>
    <tableColumn id="2" xr3:uid="{00000000-0010-0000-0900-000002000000}" name="ProjectID"/>
    <tableColumn id="3" xr3:uid="{00000000-0010-0000-0900-000003000000}" name="DeBookingDate"/>
    <tableColumn id="4" xr3:uid="{00000000-0010-0000-0900-000004000000}" name="Amount"/>
    <tableColumn id="5" xr3:uid="{00000000-0010-0000-0900-000005000000}" name="ReasonCode"/>
    <tableColumn id="6" xr3:uid="{00000000-0010-0000-0900-000006000000}" name="RootCa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5" displayName="Table15" ref="A1:F91">
  <autoFilter ref="A1:F91" xr:uid="{00000000-0009-0000-0100-00000B000000}"/>
  <tableColumns count="6">
    <tableColumn id="1" xr3:uid="{00000000-0010-0000-0A00-000001000000}" name="Date"/>
    <tableColumn id="2" xr3:uid="{00000000-0010-0000-0A00-000002000000}" name="ProjectID"/>
    <tableColumn id="3" xr3:uid="{00000000-0010-0000-0A00-000003000000}" name="Cash_Inflow"/>
    <tableColumn id="4" xr3:uid="{00000000-0010-0000-0A00-000004000000}" name="Cash_Outflow"/>
    <tableColumn id="5" xr3:uid="{00000000-0010-0000-0A00-000005000000}" name="Net_Cash"/>
    <tableColumn id="6" xr3:uid="{00000000-0010-0000-0A00-000006000000}" name="Cumulative_Cas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9" displayName="Table19" ref="A1:M20">
  <autoFilter ref="A1:M20" xr:uid="{00000000-0009-0000-0100-00000C000000}"/>
  <tableColumns count="13">
    <tableColumn id="1" xr3:uid="{00000000-0010-0000-0B00-000001000000}" name="FINANCIAL STATEMENT (Aligned to Dataset)"/>
    <tableColumn id="2" xr3:uid="{00000000-0010-0000-0B00-000002000000}" name="2025-01"/>
    <tableColumn id="3" xr3:uid="{00000000-0010-0000-0B00-000003000000}" name="2025-02"/>
    <tableColumn id="4" xr3:uid="{00000000-0010-0000-0B00-000004000000}" name="2025-03"/>
    <tableColumn id="5" xr3:uid="{00000000-0010-0000-0B00-000005000000}" name="2025-04"/>
    <tableColumn id="6" xr3:uid="{00000000-0010-0000-0B00-000006000000}" name="2025-05"/>
    <tableColumn id="7" xr3:uid="{00000000-0010-0000-0B00-000007000000}" name="2025-06"/>
    <tableColumn id="8" xr3:uid="{00000000-0010-0000-0B00-000008000000}" name="2025-07"/>
    <tableColumn id="9" xr3:uid="{00000000-0010-0000-0B00-000009000000}" name="2025-08"/>
    <tableColumn id="10" xr3:uid="{00000000-0010-0000-0B00-00000A000000}" name="2025-09"/>
    <tableColumn id="11" xr3:uid="{00000000-0010-0000-0B00-00000B000000}" name="2025-10"/>
    <tableColumn id="12" xr3:uid="{00000000-0010-0000-0B00-00000C000000}" name="2025-11"/>
    <tableColumn id="13" xr3:uid="{00000000-0010-0000-0B00-00000D000000}" name="2025-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7" displayName="Table17" ref="A1:F121">
  <autoFilter ref="A1:F121" xr:uid="{00000000-0009-0000-0100-00000D000000}"/>
  <tableColumns count="6">
    <tableColumn id="1" xr3:uid="{00000000-0010-0000-0C00-000001000000}" name="ProjectID"/>
    <tableColumn id="2" xr3:uid="{00000000-0010-0000-0C00-000002000000}" name="Month"/>
    <tableColumn id="3" xr3:uid="{00000000-0010-0000-0C00-000003000000}" name="Completion %"/>
    <tableColumn id="4" xr3:uid="{00000000-0010-0000-0C00-000004000000}" name="Cost"/>
    <tableColumn id="5" xr3:uid="{00000000-0010-0000-0C00-000005000000}" name="DelayFlag"/>
    <tableColumn id="6" xr3:uid="{00000000-0010-0000-0C00-000006000000}" name="RiskSco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8" displayName="Table18" ref="A1:F13">
  <autoFilter ref="A1:F13" xr:uid="{00000000-0009-0000-0100-00000E000000}"/>
  <tableColumns count="6">
    <tableColumn id="1" xr3:uid="{00000000-0010-0000-0D00-000001000000}" name="Month"/>
    <tableColumn id="2" xr3:uid="{00000000-0010-0000-0D00-000002000000}" name="Requests"/>
    <tableColumn id="3" xr3:uid="{00000000-0010-0000-0D00-000003000000}" name="SLA_Met"/>
    <tableColumn id="4" xr3:uid="{00000000-0010-0000-0D00-000004000000}" name="SLA_%"/>
    <tableColumn id="5" xr3:uid="{00000000-0010-0000-0D00-000005000000}" name="Rework_%"/>
    <tableColumn id="6" xr3:uid="{00000000-0010-0000-0D00-000006000000}" name="Channel_Iss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ictionaryTable" displayName="DictionaryTable" ref="A1:E11">
  <tableColumns count="5">
    <tableColumn id="1" xr3:uid="{00000000-0010-0000-0E00-000001000000}" name="Table"/>
    <tableColumn id="2" xr3:uid="{00000000-0010-0000-0E00-000002000000}" name="Field"/>
    <tableColumn id="3" xr3:uid="{00000000-0010-0000-0E00-000003000000}" name="Definition"/>
    <tableColumn id="4" xr3:uid="{00000000-0010-0000-0E00-000004000000}" name="DataType"/>
    <tableColumn id="5" xr3:uid="{00000000-0010-0000-0E00-000005000000}" name="Use in Analytic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AssumptionsTable" displayName="AssumptionsTable" ref="A1:B7">
  <tableColumns count="2">
    <tableColumn id="1" xr3:uid="{00000000-0010-0000-0F00-000001000000}" name="Topic"/>
    <tableColumn id="2" xr3:uid="{00000000-0010-0000-0F00-000002000000}" name="Statem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QTable" displayName="DQTable" ref="A1:D7">
  <tableColumns count="4">
    <tableColumn id="1" xr3:uid="{00000000-0010-0000-1000-000001000000}" name="Dimension"/>
    <tableColumn id="2" xr3:uid="{00000000-0010-0000-1000-000002000000}" name="Quality Check"/>
    <tableColumn id="3" xr3:uid="{00000000-0010-0000-1000-000003000000}" name="Example Fields"/>
    <tableColumn id="4" xr3:uid="{00000000-0010-0000-1000-000004000000}" name="Control / Treatme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eadmeTable" displayName="ReadmeTable" ref="A1:B6">
  <tableColumns count="2">
    <tableColumn id="1" xr3:uid="{00000000-0010-0000-1100-000001000000}" name="Item"/>
    <tableColumn id="2" xr3:uid="{00000000-0010-0000-1100-000002000000}" name="Descrip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rojectCashFlowTable" displayName="ProjectCashFlowTable" ref="A2:H1442">
  <autoFilter ref="A2:H1442" xr:uid="{00000000-0009-0000-0100-000013000000}"/>
  <tableColumns count="8">
    <tableColumn id="1" xr3:uid="{00000000-0010-0000-1200-000001000000}" name="ProjectID"/>
    <tableColumn id="2" xr3:uid="{00000000-0010-0000-1200-000002000000}" name="BusinessUnit"/>
    <tableColumn id="3" xr3:uid="{00000000-0010-0000-1200-000003000000}" name="MonthStart"/>
    <tableColumn id="4" xr3:uid="{00000000-0010-0000-1200-000004000000}" name="Month"/>
    <tableColumn id="5" xr3:uid="{00000000-0010-0000-1200-000005000000}" name="Cash Inflow (Paid Billing)"/>
    <tableColumn id="6" xr3:uid="{00000000-0010-0000-1200-000006000000}" name="Cash Outflow (Purchases + Costs + DeBookings)"/>
    <tableColumn id="7" xr3:uid="{00000000-0010-0000-1200-000007000000}" name="Net Cash Flow"/>
    <tableColumn id="8" xr3:uid="{00000000-0010-0000-1200-000008000000}" name="Cumulative Cash by Project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ProjectPLTable" displayName="ProjectPLTable" ref="A2:L1442">
  <autoFilter ref="A2:L1442" xr:uid="{00000000-0009-0000-0100-000014000000}"/>
  <tableColumns count="12">
    <tableColumn id="1" xr3:uid="{00000000-0010-0000-1300-000001000000}" name="ProjectID"/>
    <tableColumn id="2" xr3:uid="{00000000-0010-0000-1300-000002000000}" name="BusinessUnit"/>
    <tableColumn id="3" xr3:uid="{00000000-0010-0000-1300-000003000000}" name="MonthStart"/>
    <tableColumn id="4" xr3:uid="{00000000-0010-0000-1300-000004000000}" name="Month"/>
    <tableColumn id="5" xr3:uid="{00000000-0010-0000-1300-000005000000}" name="Gross Revenue (Actual)"/>
    <tableColumn id="6" xr3:uid="{00000000-0010-0000-1300-000006000000}" name="Revenue Leakage / DeBookings"/>
    <tableColumn id="7" xr3:uid="{00000000-0010-0000-1300-000007000000}" name="Net Revenue"/>
    <tableColumn id="8" xr3:uid="{00000000-0010-0000-1300-000008000000}" name="COGS / Purchase Cost"/>
    <tableColumn id="9" xr3:uid="{00000000-0010-0000-1300-000009000000}" name="Gross Profit"/>
    <tableColumn id="10" xr3:uid="{00000000-0010-0000-1300-00000A000000}" name="Admin &amp; Delivery Cost"/>
    <tableColumn id="11" xr3:uid="{00000000-0010-0000-1300-00000B000000}" name="Operating Profit"/>
    <tableColumn id="12" xr3:uid="{00000000-0010-0000-1300-00000C000000}" name="Profit Margin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rojectBalanceSheetTable" displayName="ProjectBalanceSheetTable" ref="A2:M1442">
  <autoFilter ref="A2:M1442" xr:uid="{00000000-0009-0000-0100-000015000000}"/>
  <tableColumns count="13">
    <tableColumn id="1" xr3:uid="{00000000-0010-0000-1400-000001000000}" name="ProjectID"/>
    <tableColumn id="2" xr3:uid="{00000000-0010-0000-1400-000002000000}" name="BusinessUnit"/>
    <tableColumn id="3" xr3:uid="{00000000-0010-0000-1400-000003000000}" name="MonthStart"/>
    <tableColumn id="4" xr3:uid="{00000000-0010-0000-1400-000004000000}" name="Month"/>
    <tableColumn id="5" xr3:uid="{00000000-0010-0000-1400-000005000000}" name="Cash Balance"/>
    <tableColumn id="6" xr3:uid="{00000000-0010-0000-1400-000006000000}" name="Accounts Receivable"/>
    <tableColumn id="7" xr3:uid="{00000000-0010-0000-1400-000007000000}" name="Unbilled Revenue"/>
    <tableColumn id="8" xr3:uid="{00000000-0010-0000-1400-000008000000}" name="Total Current Assets"/>
    <tableColumn id="9" xr3:uid="{00000000-0010-0000-1400-000009000000}" name="Accounts Payable"/>
    <tableColumn id="10" xr3:uid="{00000000-0010-0000-1400-00000A000000}" name="Deferred Revenue / Booking Obligation"/>
    <tableColumn id="11" xr3:uid="{00000000-0010-0000-1400-00000B000000}" name="Total Liabilities"/>
    <tableColumn id="12" xr3:uid="{00000000-0010-0000-1400-00000C000000}" name="Retained Earnings / Project Equity"/>
    <tableColumn id="13" xr3:uid="{00000000-0010-0000-1400-00000D000000}" name="Balance Check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onsolidatedStatementsTable" displayName="ConsolidatedStatementsTable" ref="A2:P14">
  <autoFilter ref="A2:P14" xr:uid="{00000000-0009-0000-0100-000016000000}"/>
  <tableColumns count="16">
    <tableColumn id="1" xr3:uid="{00000000-0010-0000-1500-000001000000}" name="MonthStart"/>
    <tableColumn id="2" xr3:uid="{00000000-0010-0000-1500-000002000000}" name="Month"/>
    <tableColumn id="3" xr3:uid="{00000000-0010-0000-1500-000003000000}" name="Total Cash Inflow"/>
    <tableColumn id="4" xr3:uid="{00000000-0010-0000-1500-000004000000}" name="Total Cash Outflow"/>
    <tableColumn id="5" xr3:uid="{00000000-0010-0000-1500-000005000000}" name="Net Cash Flow"/>
    <tableColumn id="6" xr3:uid="{00000000-0010-0000-1500-000006000000}" name="Ending Cash Balance"/>
    <tableColumn id="7" xr3:uid="{00000000-0010-0000-1500-000007000000}" name="Gross Revenue"/>
    <tableColumn id="8" xr3:uid="{00000000-0010-0000-1500-000008000000}" name="Revenue Leakage"/>
    <tableColumn id="9" xr3:uid="{00000000-0010-0000-1500-000009000000}" name="Net Revenue"/>
    <tableColumn id="10" xr3:uid="{00000000-0010-0000-1500-00000A000000}" name="COGS"/>
    <tableColumn id="11" xr3:uid="{00000000-0010-0000-1500-00000B000000}" name="Admin Cost"/>
    <tableColumn id="12" xr3:uid="{00000000-0010-0000-1500-00000C000000}" name="Operating Profit"/>
    <tableColumn id="13" xr3:uid="{00000000-0010-0000-1500-00000D000000}" name="Total Assets"/>
    <tableColumn id="14" xr3:uid="{00000000-0010-0000-1500-00000E000000}" name="Total Liabilities"/>
    <tableColumn id="15" xr3:uid="{00000000-0010-0000-1500-00000F000000}" name="Project Equity"/>
    <tableColumn id="16" xr3:uid="{00000000-0010-0000-1500-000010000000}" name="Balance Chec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workbookViewId="0"/>
  </sheetViews>
  <sheetFormatPr baseColWidth="10" defaultColWidth="8.83203125" defaultRowHeight="15"/>
  <cols>
    <col min="1" max="1" width="9.1640625" customWidth="1"/>
    <col min="2" max="2" width="17.5" customWidth="1"/>
    <col min="3" max="3" width="14.83203125" customWidth="1"/>
    <col min="4" max="5" width="10.5" customWidth="1"/>
    <col min="6" max="6" width="9.83203125" customWidth="1"/>
    <col min="7" max="7" width="14.6640625" customWidth="1"/>
    <col min="8" max="8" width="13.6640625" customWidth="1"/>
    <col min="9" max="9" width="7.6640625" customWidth="1"/>
    <col min="10" max="10" width="13.83203125" customWidth="1"/>
  </cols>
  <sheetData>
    <row r="1" spans="1:10" ht="15" customHeight="1">
      <c r="A1" s="3" t="s">
        <v>1</v>
      </c>
      <c r="B1" s="3" t="s">
        <v>309</v>
      </c>
      <c r="C1" s="3" t="s">
        <v>310</v>
      </c>
      <c r="D1" s="3" t="s">
        <v>311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316</v>
      </c>
      <c r="J1" s="3" t="s">
        <v>317</v>
      </c>
    </row>
    <row r="2" spans="1:10">
      <c r="A2" t="s">
        <v>7</v>
      </c>
      <c r="B2" t="s">
        <v>318</v>
      </c>
      <c r="C2" t="s">
        <v>319</v>
      </c>
      <c r="D2" s="4">
        <v>45896</v>
      </c>
      <c r="E2" s="4">
        <v>45953</v>
      </c>
      <c r="F2" t="s">
        <v>320</v>
      </c>
      <c r="G2" t="s">
        <v>321</v>
      </c>
      <c r="H2" s="5">
        <v>259053</v>
      </c>
      <c r="I2" t="s">
        <v>322</v>
      </c>
      <c r="J2" t="s">
        <v>323</v>
      </c>
    </row>
    <row r="3" spans="1:10">
      <c r="A3" t="s">
        <v>97</v>
      </c>
      <c r="B3" t="s">
        <v>324</v>
      </c>
      <c r="C3" t="s">
        <v>325</v>
      </c>
      <c r="D3" s="4">
        <v>45883</v>
      </c>
      <c r="E3" s="4">
        <v>46144</v>
      </c>
      <c r="F3" t="s">
        <v>326</v>
      </c>
      <c r="G3" t="s">
        <v>321</v>
      </c>
      <c r="H3" s="5">
        <v>254258</v>
      </c>
      <c r="I3" t="s">
        <v>327</v>
      </c>
      <c r="J3" t="s">
        <v>328</v>
      </c>
    </row>
    <row r="4" spans="1:10">
      <c r="A4" t="s">
        <v>116</v>
      </c>
      <c r="B4" t="s">
        <v>329</v>
      </c>
      <c r="C4" t="s">
        <v>330</v>
      </c>
      <c r="D4" s="4">
        <v>45940</v>
      </c>
      <c r="E4" s="4">
        <v>46199</v>
      </c>
      <c r="F4" t="s">
        <v>331</v>
      </c>
      <c r="G4" t="s">
        <v>332</v>
      </c>
      <c r="H4" s="5">
        <v>316704</v>
      </c>
      <c r="I4" t="s">
        <v>322</v>
      </c>
      <c r="J4" t="s">
        <v>323</v>
      </c>
    </row>
    <row r="5" spans="1:10">
      <c r="A5" t="s">
        <v>94</v>
      </c>
      <c r="B5" t="s">
        <v>318</v>
      </c>
      <c r="C5" t="s">
        <v>333</v>
      </c>
      <c r="D5" s="4">
        <v>46055</v>
      </c>
      <c r="E5" s="4">
        <v>46274</v>
      </c>
      <c r="F5" t="s">
        <v>331</v>
      </c>
      <c r="G5" t="s">
        <v>334</v>
      </c>
      <c r="H5" s="5">
        <v>825581</v>
      </c>
      <c r="I5" t="s">
        <v>322</v>
      </c>
      <c r="J5" t="s">
        <v>335</v>
      </c>
    </row>
    <row r="6" spans="1:10">
      <c r="A6" t="s">
        <v>57</v>
      </c>
      <c r="B6" t="s">
        <v>329</v>
      </c>
      <c r="C6" t="s">
        <v>319</v>
      </c>
      <c r="D6" s="4">
        <v>45888</v>
      </c>
      <c r="E6" s="4">
        <v>46116</v>
      </c>
      <c r="F6" t="s">
        <v>320</v>
      </c>
      <c r="G6" t="s">
        <v>332</v>
      </c>
      <c r="H6" s="5">
        <v>302370</v>
      </c>
      <c r="I6" t="s">
        <v>336</v>
      </c>
      <c r="J6" t="s">
        <v>323</v>
      </c>
    </row>
    <row r="7" spans="1:10">
      <c r="A7" t="s">
        <v>273</v>
      </c>
      <c r="B7" t="s">
        <v>337</v>
      </c>
      <c r="C7" t="s">
        <v>338</v>
      </c>
      <c r="D7" s="4">
        <v>45902</v>
      </c>
      <c r="E7" s="4">
        <v>46140</v>
      </c>
      <c r="F7" t="s">
        <v>326</v>
      </c>
      <c r="G7" t="s">
        <v>334</v>
      </c>
      <c r="H7" s="5">
        <v>684176</v>
      </c>
      <c r="I7" t="s">
        <v>322</v>
      </c>
      <c r="J7" t="s">
        <v>323</v>
      </c>
    </row>
    <row r="8" spans="1:10">
      <c r="A8" t="s">
        <v>197</v>
      </c>
      <c r="B8" t="s">
        <v>337</v>
      </c>
      <c r="C8" t="s">
        <v>339</v>
      </c>
      <c r="D8" s="4">
        <v>45874</v>
      </c>
      <c r="E8" s="4">
        <v>45942</v>
      </c>
      <c r="F8" t="s">
        <v>340</v>
      </c>
      <c r="G8" t="s">
        <v>321</v>
      </c>
      <c r="H8" s="5">
        <v>108667</v>
      </c>
      <c r="I8" t="s">
        <v>322</v>
      </c>
      <c r="J8" t="s">
        <v>335</v>
      </c>
    </row>
    <row r="9" spans="1:10">
      <c r="A9" t="s">
        <v>43</v>
      </c>
      <c r="B9" t="s">
        <v>337</v>
      </c>
      <c r="C9" t="s">
        <v>341</v>
      </c>
      <c r="D9" s="4">
        <v>45981</v>
      </c>
      <c r="E9" s="4">
        <v>46258</v>
      </c>
      <c r="F9" t="s">
        <v>340</v>
      </c>
      <c r="G9" t="s">
        <v>334</v>
      </c>
      <c r="H9" s="5">
        <v>195555</v>
      </c>
      <c r="I9" t="s">
        <v>322</v>
      </c>
      <c r="J9" t="s">
        <v>323</v>
      </c>
    </row>
    <row r="10" spans="1:10">
      <c r="A10" t="s">
        <v>114</v>
      </c>
      <c r="B10" t="s">
        <v>318</v>
      </c>
      <c r="C10" t="s">
        <v>342</v>
      </c>
      <c r="D10" s="4">
        <v>45975</v>
      </c>
      <c r="E10" s="4">
        <v>46056</v>
      </c>
      <c r="F10" t="s">
        <v>340</v>
      </c>
      <c r="G10" t="s">
        <v>321</v>
      </c>
      <c r="H10" s="5">
        <v>585086</v>
      </c>
      <c r="I10" t="s">
        <v>336</v>
      </c>
      <c r="J10" t="s">
        <v>335</v>
      </c>
    </row>
    <row r="11" spans="1:10">
      <c r="A11" t="s">
        <v>188</v>
      </c>
      <c r="B11" t="s">
        <v>324</v>
      </c>
      <c r="C11" t="s">
        <v>330</v>
      </c>
      <c r="D11" s="4">
        <v>45977</v>
      </c>
      <c r="E11" s="4">
        <v>46134</v>
      </c>
      <c r="F11" t="s">
        <v>340</v>
      </c>
      <c r="G11" t="s">
        <v>332</v>
      </c>
      <c r="H11" s="5">
        <v>265174</v>
      </c>
      <c r="I11" t="s">
        <v>336</v>
      </c>
      <c r="J11" t="s">
        <v>335</v>
      </c>
    </row>
    <row r="12" spans="1:10">
      <c r="A12" t="s">
        <v>105</v>
      </c>
      <c r="B12" t="s">
        <v>329</v>
      </c>
      <c r="C12" t="s">
        <v>343</v>
      </c>
      <c r="D12" s="4">
        <v>45976</v>
      </c>
      <c r="E12" s="4">
        <v>46054</v>
      </c>
      <c r="F12" t="s">
        <v>331</v>
      </c>
      <c r="G12" t="s">
        <v>334</v>
      </c>
      <c r="H12" s="5">
        <v>777787</v>
      </c>
      <c r="I12" t="s">
        <v>327</v>
      </c>
      <c r="J12" t="s">
        <v>335</v>
      </c>
    </row>
    <row r="13" spans="1:10">
      <c r="A13" t="s">
        <v>283</v>
      </c>
      <c r="B13" t="s">
        <v>318</v>
      </c>
      <c r="C13" t="s">
        <v>319</v>
      </c>
      <c r="D13" s="4">
        <v>46041</v>
      </c>
      <c r="E13" s="4">
        <v>46320</v>
      </c>
      <c r="F13" t="s">
        <v>331</v>
      </c>
      <c r="G13" t="s">
        <v>334</v>
      </c>
      <c r="H13" s="5">
        <v>283607</v>
      </c>
      <c r="I13" t="s">
        <v>327</v>
      </c>
      <c r="J13" t="s">
        <v>335</v>
      </c>
    </row>
    <row r="14" spans="1:10">
      <c r="A14" t="s">
        <v>118</v>
      </c>
      <c r="B14" t="s">
        <v>318</v>
      </c>
      <c r="C14" t="s">
        <v>333</v>
      </c>
      <c r="D14" s="4">
        <v>46043</v>
      </c>
      <c r="E14" s="4">
        <v>46273</v>
      </c>
      <c r="F14" t="s">
        <v>331</v>
      </c>
      <c r="G14" t="s">
        <v>344</v>
      </c>
      <c r="H14" s="5">
        <v>559277</v>
      </c>
      <c r="I14" t="s">
        <v>322</v>
      </c>
      <c r="J14" t="s">
        <v>328</v>
      </c>
    </row>
    <row r="15" spans="1:10">
      <c r="A15" t="s">
        <v>99</v>
      </c>
      <c r="B15" t="s">
        <v>345</v>
      </c>
      <c r="C15" t="s">
        <v>346</v>
      </c>
      <c r="D15" s="4">
        <v>45917</v>
      </c>
      <c r="E15" s="4">
        <v>46043</v>
      </c>
      <c r="F15" t="s">
        <v>320</v>
      </c>
      <c r="G15" t="s">
        <v>332</v>
      </c>
      <c r="H15" s="5">
        <v>650380</v>
      </c>
      <c r="I15" t="s">
        <v>336</v>
      </c>
      <c r="J15" t="s">
        <v>323</v>
      </c>
    </row>
    <row r="16" spans="1:10">
      <c r="A16" t="s">
        <v>36</v>
      </c>
      <c r="B16" t="s">
        <v>324</v>
      </c>
      <c r="C16" t="s">
        <v>347</v>
      </c>
      <c r="D16" s="4">
        <v>46078</v>
      </c>
      <c r="E16" s="4">
        <v>46251</v>
      </c>
      <c r="F16" t="s">
        <v>348</v>
      </c>
      <c r="G16" t="s">
        <v>332</v>
      </c>
      <c r="H16" s="5">
        <v>738328</v>
      </c>
      <c r="I16" t="s">
        <v>327</v>
      </c>
      <c r="J16" t="s">
        <v>335</v>
      </c>
    </row>
    <row r="17" spans="1:10">
      <c r="A17" t="s">
        <v>121</v>
      </c>
      <c r="B17" t="s">
        <v>318</v>
      </c>
      <c r="C17" t="s">
        <v>319</v>
      </c>
      <c r="D17" s="4">
        <v>46013</v>
      </c>
      <c r="E17" s="4">
        <v>46115</v>
      </c>
      <c r="F17" t="s">
        <v>331</v>
      </c>
      <c r="G17" t="s">
        <v>332</v>
      </c>
      <c r="H17" s="5">
        <v>500763</v>
      </c>
      <c r="I17" t="s">
        <v>327</v>
      </c>
      <c r="J17" t="s">
        <v>335</v>
      </c>
    </row>
    <row r="18" spans="1:10">
      <c r="A18" t="s">
        <v>53</v>
      </c>
      <c r="B18" t="s">
        <v>324</v>
      </c>
      <c r="C18" t="s">
        <v>339</v>
      </c>
      <c r="D18" s="4">
        <v>46095</v>
      </c>
      <c r="E18" s="4">
        <v>46231</v>
      </c>
      <c r="F18" t="s">
        <v>331</v>
      </c>
      <c r="G18" t="s">
        <v>334</v>
      </c>
      <c r="H18" s="5">
        <v>680674</v>
      </c>
      <c r="I18" t="s">
        <v>327</v>
      </c>
      <c r="J18" t="s">
        <v>323</v>
      </c>
    </row>
    <row r="19" spans="1:10">
      <c r="A19" t="s">
        <v>16</v>
      </c>
      <c r="B19" t="s">
        <v>318</v>
      </c>
      <c r="C19" t="s">
        <v>338</v>
      </c>
      <c r="D19" s="4">
        <v>45940</v>
      </c>
      <c r="E19" s="4">
        <v>46063</v>
      </c>
      <c r="F19" t="s">
        <v>331</v>
      </c>
      <c r="G19" t="s">
        <v>332</v>
      </c>
      <c r="H19" s="5">
        <v>590579</v>
      </c>
      <c r="I19" t="s">
        <v>336</v>
      </c>
      <c r="J19" t="s">
        <v>335</v>
      </c>
    </row>
    <row r="20" spans="1:10">
      <c r="A20" t="s">
        <v>74</v>
      </c>
      <c r="B20" t="s">
        <v>337</v>
      </c>
      <c r="C20" t="s">
        <v>343</v>
      </c>
      <c r="D20" s="4">
        <v>45848</v>
      </c>
      <c r="E20" s="4">
        <v>45950</v>
      </c>
      <c r="F20" t="s">
        <v>320</v>
      </c>
      <c r="G20" t="s">
        <v>332</v>
      </c>
      <c r="H20" s="5">
        <v>276083</v>
      </c>
      <c r="I20" t="s">
        <v>327</v>
      </c>
      <c r="J20" t="s">
        <v>328</v>
      </c>
    </row>
    <row r="21" spans="1:10">
      <c r="A21" t="s">
        <v>18</v>
      </c>
      <c r="B21" t="s">
        <v>329</v>
      </c>
      <c r="C21" t="s">
        <v>342</v>
      </c>
      <c r="D21" s="4">
        <v>45882</v>
      </c>
      <c r="E21" s="4">
        <v>46175</v>
      </c>
      <c r="F21" t="s">
        <v>320</v>
      </c>
      <c r="G21" t="s">
        <v>321</v>
      </c>
      <c r="H21" s="5">
        <v>828035</v>
      </c>
      <c r="I21" t="s">
        <v>327</v>
      </c>
      <c r="J21" t="s">
        <v>335</v>
      </c>
    </row>
    <row r="22" spans="1:10">
      <c r="A22" t="s">
        <v>285</v>
      </c>
      <c r="B22" t="s">
        <v>329</v>
      </c>
      <c r="C22" t="s">
        <v>349</v>
      </c>
      <c r="D22" s="4">
        <v>45923</v>
      </c>
      <c r="E22" s="4">
        <v>46103</v>
      </c>
      <c r="F22" t="s">
        <v>331</v>
      </c>
      <c r="G22" t="s">
        <v>321</v>
      </c>
      <c r="H22" s="5">
        <v>468692</v>
      </c>
      <c r="I22" t="s">
        <v>327</v>
      </c>
      <c r="J22" t="s">
        <v>323</v>
      </c>
    </row>
    <row r="23" spans="1:10">
      <c r="A23" t="s">
        <v>219</v>
      </c>
      <c r="B23" t="s">
        <v>337</v>
      </c>
      <c r="C23" t="s">
        <v>333</v>
      </c>
      <c r="D23" s="4">
        <v>45941</v>
      </c>
      <c r="E23" s="4">
        <v>46145</v>
      </c>
      <c r="F23" t="s">
        <v>331</v>
      </c>
      <c r="G23" t="s">
        <v>344</v>
      </c>
      <c r="H23" s="5">
        <v>484381</v>
      </c>
      <c r="I23" t="s">
        <v>322</v>
      </c>
      <c r="J23" t="s">
        <v>328</v>
      </c>
    </row>
    <row r="24" spans="1:10">
      <c r="A24" t="s">
        <v>63</v>
      </c>
      <c r="B24" t="s">
        <v>329</v>
      </c>
      <c r="C24" t="s">
        <v>350</v>
      </c>
      <c r="D24" s="4">
        <v>45871</v>
      </c>
      <c r="E24" s="4">
        <v>46089</v>
      </c>
      <c r="F24" t="s">
        <v>326</v>
      </c>
      <c r="G24" t="s">
        <v>321</v>
      </c>
      <c r="H24" s="5">
        <v>266292</v>
      </c>
      <c r="I24" t="s">
        <v>322</v>
      </c>
      <c r="J24" t="s">
        <v>323</v>
      </c>
    </row>
    <row r="25" spans="1:10">
      <c r="A25" t="s">
        <v>133</v>
      </c>
      <c r="B25" t="s">
        <v>324</v>
      </c>
      <c r="C25" t="s">
        <v>325</v>
      </c>
      <c r="D25" s="4">
        <v>45869</v>
      </c>
      <c r="E25" s="4">
        <v>46031</v>
      </c>
      <c r="F25" t="s">
        <v>326</v>
      </c>
      <c r="G25" t="s">
        <v>332</v>
      </c>
      <c r="H25" s="5">
        <v>371479</v>
      </c>
      <c r="I25" t="s">
        <v>322</v>
      </c>
      <c r="J25" t="s">
        <v>335</v>
      </c>
    </row>
    <row r="26" spans="1:10">
      <c r="A26" t="s">
        <v>202</v>
      </c>
      <c r="B26" t="s">
        <v>329</v>
      </c>
      <c r="C26" t="s">
        <v>343</v>
      </c>
      <c r="D26" s="4">
        <v>46087</v>
      </c>
      <c r="E26" s="4">
        <v>46241</v>
      </c>
      <c r="F26" t="s">
        <v>331</v>
      </c>
      <c r="G26" t="s">
        <v>344</v>
      </c>
      <c r="H26" s="5">
        <v>629201</v>
      </c>
      <c r="I26" t="s">
        <v>336</v>
      </c>
      <c r="J26" t="s">
        <v>335</v>
      </c>
    </row>
    <row r="27" spans="1:10">
      <c r="A27" t="s">
        <v>32</v>
      </c>
      <c r="B27" t="s">
        <v>345</v>
      </c>
      <c r="C27" t="s">
        <v>346</v>
      </c>
      <c r="D27" s="4">
        <v>45936</v>
      </c>
      <c r="E27" s="4">
        <v>46029</v>
      </c>
      <c r="F27" t="s">
        <v>326</v>
      </c>
      <c r="G27" t="s">
        <v>344</v>
      </c>
      <c r="H27" s="5">
        <v>396507</v>
      </c>
      <c r="I27" t="s">
        <v>336</v>
      </c>
      <c r="J27" t="s">
        <v>323</v>
      </c>
    </row>
    <row r="28" spans="1:10">
      <c r="A28" t="s">
        <v>192</v>
      </c>
      <c r="B28" t="s">
        <v>337</v>
      </c>
      <c r="C28" t="s">
        <v>343</v>
      </c>
      <c r="D28" s="4">
        <v>45866</v>
      </c>
      <c r="E28" s="4">
        <v>45961</v>
      </c>
      <c r="F28" t="s">
        <v>326</v>
      </c>
      <c r="G28" t="s">
        <v>321</v>
      </c>
      <c r="H28" s="5">
        <v>139576</v>
      </c>
      <c r="I28" t="s">
        <v>322</v>
      </c>
      <c r="J28" t="s">
        <v>323</v>
      </c>
    </row>
    <row r="29" spans="1:10">
      <c r="A29" t="s">
        <v>301</v>
      </c>
      <c r="B29" t="s">
        <v>337</v>
      </c>
      <c r="C29" t="s">
        <v>339</v>
      </c>
      <c r="D29" s="4">
        <v>46068</v>
      </c>
      <c r="E29" s="4">
        <v>46184</v>
      </c>
      <c r="F29" t="s">
        <v>331</v>
      </c>
      <c r="G29" t="s">
        <v>321</v>
      </c>
      <c r="H29" s="5">
        <v>510100</v>
      </c>
      <c r="I29" t="s">
        <v>322</v>
      </c>
      <c r="J29" t="s">
        <v>335</v>
      </c>
    </row>
    <row r="30" spans="1:10">
      <c r="A30" t="s">
        <v>235</v>
      </c>
      <c r="B30" t="s">
        <v>329</v>
      </c>
      <c r="C30" t="s">
        <v>349</v>
      </c>
      <c r="D30" s="4">
        <v>45889</v>
      </c>
      <c r="E30" s="4">
        <v>45959</v>
      </c>
      <c r="F30" t="s">
        <v>340</v>
      </c>
      <c r="G30" t="s">
        <v>332</v>
      </c>
      <c r="H30" s="5">
        <v>40474</v>
      </c>
      <c r="I30" t="s">
        <v>322</v>
      </c>
      <c r="J30" t="s">
        <v>328</v>
      </c>
    </row>
    <row r="31" spans="1:10">
      <c r="A31" t="s">
        <v>80</v>
      </c>
      <c r="B31" t="s">
        <v>345</v>
      </c>
      <c r="C31" t="s">
        <v>346</v>
      </c>
      <c r="D31" s="4">
        <v>46047</v>
      </c>
      <c r="E31" s="4">
        <v>46340</v>
      </c>
      <c r="F31" t="s">
        <v>331</v>
      </c>
      <c r="G31" t="s">
        <v>321</v>
      </c>
      <c r="H31" s="5">
        <v>86483</v>
      </c>
      <c r="I31" t="s">
        <v>322</v>
      </c>
      <c r="J31" t="s">
        <v>335</v>
      </c>
    </row>
    <row r="32" spans="1:10">
      <c r="A32" t="s">
        <v>123</v>
      </c>
      <c r="B32" t="s">
        <v>329</v>
      </c>
      <c r="C32" t="s">
        <v>342</v>
      </c>
      <c r="D32" s="4">
        <v>45974</v>
      </c>
      <c r="E32" s="4">
        <v>46251</v>
      </c>
      <c r="F32" t="s">
        <v>331</v>
      </c>
      <c r="G32" t="s">
        <v>344</v>
      </c>
      <c r="H32" s="5">
        <v>719022</v>
      </c>
      <c r="I32" t="s">
        <v>322</v>
      </c>
      <c r="J32" t="s">
        <v>335</v>
      </c>
    </row>
    <row r="33" spans="1:10">
      <c r="A33" t="s">
        <v>186</v>
      </c>
      <c r="B33" t="s">
        <v>329</v>
      </c>
      <c r="C33" t="s">
        <v>350</v>
      </c>
      <c r="D33" s="4">
        <v>45950</v>
      </c>
      <c r="E33" s="4">
        <v>46024</v>
      </c>
      <c r="F33" t="s">
        <v>340</v>
      </c>
      <c r="G33" t="s">
        <v>334</v>
      </c>
      <c r="H33" s="5">
        <v>88918</v>
      </c>
      <c r="I33" t="s">
        <v>322</v>
      </c>
      <c r="J33" t="s">
        <v>323</v>
      </c>
    </row>
    <row r="34" spans="1:10">
      <c r="A34" t="s">
        <v>262</v>
      </c>
      <c r="B34" t="s">
        <v>329</v>
      </c>
      <c r="C34" t="s">
        <v>333</v>
      </c>
      <c r="D34" s="4">
        <v>46083</v>
      </c>
      <c r="E34" s="4">
        <v>46208</v>
      </c>
      <c r="F34" t="s">
        <v>326</v>
      </c>
      <c r="G34" t="s">
        <v>321</v>
      </c>
      <c r="H34" s="5">
        <v>109002</v>
      </c>
      <c r="I34" t="s">
        <v>327</v>
      </c>
      <c r="J34" t="s">
        <v>328</v>
      </c>
    </row>
    <row r="35" spans="1:10">
      <c r="A35" t="s">
        <v>23</v>
      </c>
      <c r="B35" t="s">
        <v>329</v>
      </c>
      <c r="C35" t="s">
        <v>338</v>
      </c>
      <c r="D35" s="4">
        <v>45959</v>
      </c>
      <c r="E35" s="4">
        <v>46210</v>
      </c>
      <c r="F35" t="s">
        <v>331</v>
      </c>
      <c r="G35" t="s">
        <v>332</v>
      </c>
      <c r="H35" s="5">
        <v>283175</v>
      </c>
      <c r="I35" t="s">
        <v>322</v>
      </c>
      <c r="J35" t="s">
        <v>335</v>
      </c>
    </row>
    <row r="36" spans="1:10">
      <c r="A36" t="s">
        <v>131</v>
      </c>
      <c r="B36" t="s">
        <v>337</v>
      </c>
      <c r="C36" t="s">
        <v>346</v>
      </c>
      <c r="D36" s="4">
        <v>46000</v>
      </c>
      <c r="E36" s="4">
        <v>46178</v>
      </c>
      <c r="F36" t="s">
        <v>331</v>
      </c>
      <c r="G36" t="s">
        <v>334</v>
      </c>
      <c r="H36" s="5">
        <v>275280</v>
      </c>
      <c r="I36" t="s">
        <v>322</v>
      </c>
      <c r="J36" t="s">
        <v>323</v>
      </c>
    </row>
    <row r="37" spans="1:10">
      <c r="A37" t="s">
        <v>106</v>
      </c>
      <c r="B37" t="s">
        <v>324</v>
      </c>
      <c r="C37" t="s">
        <v>338</v>
      </c>
      <c r="D37" s="4">
        <v>45992</v>
      </c>
      <c r="E37" s="4">
        <v>46271</v>
      </c>
      <c r="F37" t="s">
        <v>331</v>
      </c>
      <c r="G37" t="s">
        <v>344</v>
      </c>
      <c r="H37" s="5">
        <v>34767</v>
      </c>
      <c r="I37" t="s">
        <v>327</v>
      </c>
      <c r="J37" t="s">
        <v>328</v>
      </c>
    </row>
    <row r="38" spans="1:10">
      <c r="A38" t="s">
        <v>225</v>
      </c>
      <c r="B38" t="s">
        <v>318</v>
      </c>
      <c r="C38" t="s">
        <v>349</v>
      </c>
      <c r="D38" s="4">
        <v>45876</v>
      </c>
      <c r="E38" s="4">
        <v>46030</v>
      </c>
      <c r="F38" t="s">
        <v>331</v>
      </c>
      <c r="G38" t="s">
        <v>332</v>
      </c>
      <c r="H38" s="5">
        <v>390962</v>
      </c>
      <c r="I38" t="s">
        <v>322</v>
      </c>
      <c r="J38" t="s">
        <v>335</v>
      </c>
    </row>
    <row r="39" spans="1:10">
      <c r="A39" t="s">
        <v>144</v>
      </c>
      <c r="B39" t="s">
        <v>329</v>
      </c>
      <c r="C39" t="s">
        <v>338</v>
      </c>
      <c r="D39" s="4">
        <v>45984</v>
      </c>
      <c r="E39" s="4">
        <v>46109</v>
      </c>
      <c r="F39" t="s">
        <v>331</v>
      </c>
      <c r="G39" t="s">
        <v>334</v>
      </c>
      <c r="H39" s="5">
        <v>762715</v>
      </c>
      <c r="I39" t="s">
        <v>327</v>
      </c>
      <c r="J39" t="s">
        <v>323</v>
      </c>
    </row>
    <row r="40" spans="1:10">
      <c r="A40" t="s">
        <v>196</v>
      </c>
      <c r="B40" t="s">
        <v>324</v>
      </c>
      <c r="C40" t="s">
        <v>333</v>
      </c>
      <c r="D40" s="4">
        <v>45843</v>
      </c>
      <c r="E40" s="4">
        <v>46041</v>
      </c>
      <c r="F40" t="s">
        <v>320</v>
      </c>
      <c r="G40" t="s">
        <v>334</v>
      </c>
      <c r="H40" s="5">
        <v>165814</v>
      </c>
      <c r="I40" t="s">
        <v>322</v>
      </c>
      <c r="J40" t="s">
        <v>323</v>
      </c>
    </row>
    <row r="41" spans="1:10">
      <c r="A41" t="s">
        <v>295</v>
      </c>
      <c r="B41" t="s">
        <v>318</v>
      </c>
      <c r="C41" t="s">
        <v>343</v>
      </c>
      <c r="D41" s="4">
        <v>45918</v>
      </c>
      <c r="E41" s="4">
        <v>46102</v>
      </c>
      <c r="F41" t="s">
        <v>331</v>
      </c>
      <c r="G41" t="s">
        <v>334</v>
      </c>
      <c r="H41" s="5">
        <v>777470</v>
      </c>
      <c r="I41" t="s">
        <v>327</v>
      </c>
      <c r="J41" t="s">
        <v>323</v>
      </c>
    </row>
    <row r="42" spans="1:10">
      <c r="A42" t="s">
        <v>199</v>
      </c>
      <c r="B42" t="s">
        <v>324</v>
      </c>
      <c r="C42" t="s">
        <v>339</v>
      </c>
      <c r="D42" s="4">
        <v>45974</v>
      </c>
      <c r="E42" s="4">
        <v>46269</v>
      </c>
      <c r="F42" t="s">
        <v>331</v>
      </c>
      <c r="G42" t="s">
        <v>344</v>
      </c>
      <c r="H42" s="5">
        <v>121781</v>
      </c>
      <c r="I42" t="s">
        <v>336</v>
      </c>
      <c r="J42" t="s">
        <v>328</v>
      </c>
    </row>
    <row r="43" spans="1:10">
      <c r="A43" t="s">
        <v>171</v>
      </c>
      <c r="B43" t="s">
        <v>337</v>
      </c>
      <c r="C43" t="s">
        <v>325</v>
      </c>
      <c r="D43" s="4">
        <v>45840</v>
      </c>
      <c r="E43" s="4">
        <v>46055</v>
      </c>
      <c r="F43" t="s">
        <v>320</v>
      </c>
      <c r="G43" t="s">
        <v>344</v>
      </c>
      <c r="H43" s="5">
        <v>194430</v>
      </c>
      <c r="I43" t="s">
        <v>327</v>
      </c>
      <c r="J43" t="s">
        <v>335</v>
      </c>
    </row>
    <row r="44" spans="1:10">
      <c r="A44" t="s">
        <v>11</v>
      </c>
      <c r="B44" t="s">
        <v>318</v>
      </c>
      <c r="C44" t="s">
        <v>339</v>
      </c>
      <c r="D44" s="4">
        <v>45843</v>
      </c>
      <c r="E44" s="4">
        <v>45945</v>
      </c>
      <c r="F44" t="s">
        <v>326</v>
      </c>
      <c r="G44" t="s">
        <v>332</v>
      </c>
      <c r="H44" s="5">
        <v>597092</v>
      </c>
      <c r="I44" t="s">
        <v>336</v>
      </c>
      <c r="J44" t="s">
        <v>323</v>
      </c>
    </row>
    <row r="45" spans="1:10">
      <c r="A45" t="s">
        <v>217</v>
      </c>
      <c r="B45" t="s">
        <v>337</v>
      </c>
      <c r="C45" t="s">
        <v>349</v>
      </c>
      <c r="D45" s="4">
        <v>45914</v>
      </c>
      <c r="E45" s="4">
        <v>46179</v>
      </c>
      <c r="F45" t="s">
        <v>331</v>
      </c>
      <c r="G45" t="s">
        <v>332</v>
      </c>
      <c r="H45" s="5">
        <v>407364</v>
      </c>
      <c r="I45" t="s">
        <v>336</v>
      </c>
      <c r="J45" t="s">
        <v>328</v>
      </c>
    </row>
    <row r="46" spans="1:10">
      <c r="A46" t="s">
        <v>253</v>
      </c>
      <c r="B46" t="s">
        <v>329</v>
      </c>
      <c r="C46" t="s">
        <v>349</v>
      </c>
      <c r="D46" s="4">
        <v>45966</v>
      </c>
      <c r="E46" s="4">
        <v>46063</v>
      </c>
      <c r="F46" t="s">
        <v>331</v>
      </c>
      <c r="G46" t="s">
        <v>321</v>
      </c>
      <c r="H46" s="5">
        <v>451117</v>
      </c>
      <c r="I46" t="s">
        <v>322</v>
      </c>
      <c r="J46" t="s">
        <v>328</v>
      </c>
    </row>
    <row r="47" spans="1:10">
      <c r="A47" t="s">
        <v>151</v>
      </c>
      <c r="B47" t="s">
        <v>337</v>
      </c>
      <c r="C47" t="s">
        <v>330</v>
      </c>
      <c r="D47" s="4">
        <v>45929</v>
      </c>
      <c r="E47" s="4">
        <v>46185</v>
      </c>
      <c r="F47" t="s">
        <v>326</v>
      </c>
      <c r="G47" t="s">
        <v>344</v>
      </c>
      <c r="H47" s="5">
        <v>845391</v>
      </c>
      <c r="I47" t="s">
        <v>327</v>
      </c>
      <c r="J47" t="s">
        <v>323</v>
      </c>
    </row>
    <row r="48" spans="1:10">
      <c r="A48" t="s">
        <v>351</v>
      </c>
      <c r="B48" t="s">
        <v>324</v>
      </c>
      <c r="C48" t="s">
        <v>339</v>
      </c>
      <c r="D48" s="4">
        <v>45966</v>
      </c>
      <c r="E48" s="4">
        <v>46147</v>
      </c>
      <c r="F48" t="s">
        <v>331</v>
      </c>
      <c r="G48" t="s">
        <v>332</v>
      </c>
      <c r="H48" s="5">
        <v>426124</v>
      </c>
      <c r="I48" t="s">
        <v>336</v>
      </c>
      <c r="J48" t="s">
        <v>328</v>
      </c>
    </row>
    <row r="49" spans="1:10">
      <c r="A49" t="s">
        <v>91</v>
      </c>
      <c r="B49" t="s">
        <v>318</v>
      </c>
      <c r="C49" t="s">
        <v>347</v>
      </c>
      <c r="D49" s="4">
        <v>45941</v>
      </c>
      <c r="E49" s="4">
        <v>46221</v>
      </c>
      <c r="F49" t="s">
        <v>331</v>
      </c>
      <c r="G49" t="s">
        <v>332</v>
      </c>
      <c r="H49" s="5">
        <v>258752</v>
      </c>
      <c r="I49" t="s">
        <v>322</v>
      </c>
      <c r="J49" t="s">
        <v>335</v>
      </c>
    </row>
    <row r="50" spans="1:10">
      <c r="A50" t="s">
        <v>67</v>
      </c>
      <c r="B50" t="s">
        <v>337</v>
      </c>
      <c r="C50" t="s">
        <v>347</v>
      </c>
      <c r="D50" s="4">
        <v>46007</v>
      </c>
      <c r="E50" s="4">
        <v>46194</v>
      </c>
      <c r="F50" t="s">
        <v>320</v>
      </c>
      <c r="G50" t="s">
        <v>344</v>
      </c>
      <c r="H50" s="5">
        <v>393203</v>
      </c>
      <c r="I50" t="s">
        <v>327</v>
      </c>
      <c r="J50" t="s">
        <v>335</v>
      </c>
    </row>
    <row r="51" spans="1:10">
      <c r="A51" t="s">
        <v>159</v>
      </c>
      <c r="B51" t="s">
        <v>337</v>
      </c>
      <c r="C51" t="s">
        <v>350</v>
      </c>
      <c r="D51" s="4">
        <v>45853</v>
      </c>
      <c r="E51" s="4">
        <v>45957</v>
      </c>
      <c r="F51" t="s">
        <v>320</v>
      </c>
      <c r="G51" t="s">
        <v>334</v>
      </c>
      <c r="H51" s="5">
        <v>212241</v>
      </c>
      <c r="I51" t="s">
        <v>322</v>
      </c>
      <c r="J51" t="s">
        <v>323</v>
      </c>
    </row>
    <row r="52" spans="1:10">
      <c r="A52" t="s">
        <v>21</v>
      </c>
      <c r="B52" t="s">
        <v>337</v>
      </c>
      <c r="C52" t="s">
        <v>346</v>
      </c>
      <c r="D52" s="4">
        <v>46061</v>
      </c>
      <c r="E52" s="4">
        <v>46282</v>
      </c>
      <c r="F52" t="s">
        <v>320</v>
      </c>
      <c r="G52" t="s">
        <v>332</v>
      </c>
      <c r="H52" s="5">
        <v>482592</v>
      </c>
      <c r="I52" t="s">
        <v>327</v>
      </c>
      <c r="J52" t="s">
        <v>328</v>
      </c>
    </row>
    <row r="53" spans="1:10">
      <c r="A53" t="s">
        <v>110</v>
      </c>
      <c r="B53" t="s">
        <v>324</v>
      </c>
      <c r="C53" t="s">
        <v>341</v>
      </c>
      <c r="D53" s="4">
        <v>45969</v>
      </c>
      <c r="E53" s="4">
        <v>46036</v>
      </c>
      <c r="F53" t="s">
        <v>320</v>
      </c>
      <c r="G53" t="s">
        <v>321</v>
      </c>
      <c r="H53" s="5">
        <v>570175</v>
      </c>
      <c r="I53" t="s">
        <v>336</v>
      </c>
      <c r="J53" t="s">
        <v>328</v>
      </c>
    </row>
    <row r="54" spans="1:10">
      <c r="A54" t="s">
        <v>281</v>
      </c>
      <c r="B54" t="s">
        <v>324</v>
      </c>
      <c r="C54" t="s">
        <v>325</v>
      </c>
      <c r="D54" s="4">
        <v>46008</v>
      </c>
      <c r="E54" s="4">
        <v>46213</v>
      </c>
      <c r="F54" t="s">
        <v>340</v>
      </c>
      <c r="G54" t="s">
        <v>334</v>
      </c>
      <c r="H54" s="5">
        <v>779717</v>
      </c>
      <c r="I54" t="s">
        <v>336</v>
      </c>
      <c r="J54" t="s">
        <v>323</v>
      </c>
    </row>
    <row r="55" spans="1:10">
      <c r="A55" t="s">
        <v>247</v>
      </c>
      <c r="B55" t="s">
        <v>337</v>
      </c>
      <c r="C55" t="s">
        <v>343</v>
      </c>
      <c r="D55" s="4">
        <v>46048</v>
      </c>
      <c r="E55" s="4">
        <v>46260</v>
      </c>
      <c r="F55" t="s">
        <v>331</v>
      </c>
      <c r="G55" t="s">
        <v>321</v>
      </c>
      <c r="H55" s="5">
        <v>606343</v>
      </c>
      <c r="I55" t="s">
        <v>336</v>
      </c>
      <c r="J55" t="s">
        <v>323</v>
      </c>
    </row>
    <row r="56" spans="1:10">
      <c r="A56" t="s">
        <v>208</v>
      </c>
      <c r="B56" t="s">
        <v>337</v>
      </c>
      <c r="C56" t="s">
        <v>352</v>
      </c>
      <c r="D56" s="4">
        <v>46033</v>
      </c>
      <c r="E56" s="4">
        <v>46167</v>
      </c>
      <c r="F56" t="s">
        <v>340</v>
      </c>
      <c r="G56" t="s">
        <v>332</v>
      </c>
      <c r="H56" s="5">
        <v>450800</v>
      </c>
      <c r="I56" t="s">
        <v>336</v>
      </c>
      <c r="J56" t="s">
        <v>328</v>
      </c>
    </row>
    <row r="57" spans="1:10">
      <c r="A57" t="s">
        <v>286</v>
      </c>
      <c r="B57" t="s">
        <v>345</v>
      </c>
      <c r="C57" t="s">
        <v>325</v>
      </c>
      <c r="D57" s="4">
        <v>46059</v>
      </c>
      <c r="E57" s="4">
        <v>46268</v>
      </c>
      <c r="F57" t="s">
        <v>331</v>
      </c>
      <c r="G57" t="s">
        <v>321</v>
      </c>
      <c r="H57" s="5">
        <v>733446</v>
      </c>
      <c r="I57" t="s">
        <v>336</v>
      </c>
      <c r="J57" t="s">
        <v>323</v>
      </c>
    </row>
    <row r="58" spans="1:10">
      <c r="A58" t="s">
        <v>142</v>
      </c>
      <c r="B58" t="s">
        <v>329</v>
      </c>
      <c r="C58" t="s">
        <v>339</v>
      </c>
      <c r="D58" s="4">
        <v>45925</v>
      </c>
      <c r="E58" s="4">
        <v>46013</v>
      </c>
      <c r="F58" t="s">
        <v>331</v>
      </c>
      <c r="G58" t="s">
        <v>332</v>
      </c>
      <c r="H58" s="5">
        <v>376470</v>
      </c>
      <c r="I58" t="s">
        <v>322</v>
      </c>
      <c r="J58" t="s">
        <v>323</v>
      </c>
    </row>
    <row r="59" spans="1:10">
      <c r="A59" t="s">
        <v>103</v>
      </c>
      <c r="B59" t="s">
        <v>318</v>
      </c>
      <c r="C59" t="s">
        <v>343</v>
      </c>
      <c r="D59" s="4">
        <v>45997</v>
      </c>
      <c r="E59" s="4">
        <v>46157</v>
      </c>
      <c r="F59" t="s">
        <v>320</v>
      </c>
      <c r="G59" t="s">
        <v>332</v>
      </c>
      <c r="H59" s="5">
        <v>50611</v>
      </c>
      <c r="I59" t="s">
        <v>336</v>
      </c>
      <c r="J59" t="s">
        <v>323</v>
      </c>
    </row>
    <row r="60" spans="1:10">
      <c r="A60" t="s">
        <v>49</v>
      </c>
      <c r="B60" t="s">
        <v>329</v>
      </c>
      <c r="C60" t="s">
        <v>353</v>
      </c>
      <c r="D60" s="4">
        <v>45876</v>
      </c>
      <c r="E60" s="4">
        <v>46154</v>
      </c>
      <c r="F60" t="s">
        <v>331</v>
      </c>
      <c r="G60" t="s">
        <v>344</v>
      </c>
      <c r="H60" s="5">
        <v>228880</v>
      </c>
      <c r="I60" t="s">
        <v>336</v>
      </c>
      <c r="J60" t="s">
        <v>328</v>
      </c>
    </row>
    <row r="61" spans="1:10">
      <c r="A61" t="s">
        <v>223</v>
      </c>
      <c r="B61" t="s">
        <v>324</v>
      </c>
      <c r="C61" t="s">
        <v>343</v>
      </c>
      <c r="D61" s="4">
        <v>45914</v>
      </c>
      <c r="E61" s="4">
        <v>45961</v>
      </c>
      <c r="F61" t="s">
        <v>320</v>
      </c>
      <c r="G61" t="s">
        <v>344</v>
      </c>
      <c r="H61" s="5">
        <v>841232</v>
      </c>
      <c r="I61" t="s">
        <v>322</v>
      </c>
      <c r="J61" t="s">
        <v>323</v>
      </c>
    </row>
    <row r="62" spans="1:10">
      <c r="A62" t="s">
        <v>45</v>
      </c>
      <c r="B62" t="s">
        <v>324</v>
      </c>
      <c r="C62" t="s">
        <v>330</v>
      </c>
      <c r="D62" s="4">
        <v>46076</v>
      </c>
      <c r="E62" s="4">
        <v>46146</v>
      </c>
      <c r="F62" t="s">
        <v>340</v>
      </c>
      <c r="G62" t="s">
        <v>321</v>
      </c>
      <c r="H62" s="5">
        <v>503634</v>
      </c>
      <c r="I62" t="s">
        <v>336</v>
      </c>
      <c r="J62" t="s">
        <v>323</v>
      </c>
    </row>
    <row r="63" spans="1:10">
      <c r="A63" t="s">
        <v>212</v>
      </c>
      <c r="B63" t="s">
        <v>329</v>
      </c>
      <c r="C63" t="s">
        <v>349</v>
      </c>
      <c r="D63" s="4">
        <v>46001</v>
      </c>
      <c r="E63" s="4">
        <v>46272</v>
      </c>
      <c r="F63" t="s">
        <v>340</v>
      </c>
      <c r="G63" t="s">
        <v>344</v>
      </c>
      <c r="H63" s="5">
        <v>472470</v>
      </c>
      <c r="I63" t="s">
        <v>322</v>
      </c>
      <c r="J63" t="s">
        <v>323</v>
      </c>
    </row>
    <row r="64" spans="1:10">
      <c r="A64" t="s">
        <v>194</v>
      </c>
      <c r="B64" t="s">
        <v>318</v>
      </c>
      <c r="C64" t="s">
        <v>330</v>
      </c>
      <c r="D64" s="4">
        <v>46082</v>
      </c>
      <c r="E64" s="4">
        <v>46357</v>
      </c>
      <c r="F64" t="s">
        <v>331</v>
      </c>
      <c r="G64" t="s">
        <v>334</v>
      </c>
      <c r="H64" s="5">
        <v>693636</v>
      </c>
      <c r="I64" t="s">
        <v>327</v>
      </c>
      <c r="J64" t="s">
        <v>335</v>
      </c>
    </row>
    <row r="65" spans="1:10">
      <c r="A65" t="s">
        <v>87</v>
      </c>
      <c r="B65" t="s">
        <v>337</v>
      </c>
      <c r="C65" t="s">
        <v>341</v>
      </c>
      <c r="D65" s="4">
        <v>45961</v>
      </c>
      <c r="E65" s="4">
        <v>46146</v>
      </c>
      <c r="F65" t="s">
        <v>331</v>
      </c>
      <c r="G65" t="s">
        <v>334</v>
      </c>
      <c r="H65" s="5">
        <v>270884</v>
      </c>
      <c r="I65" t="s">
        <v>336</v>
      </c>
      <c r="J65" t="s">
        <v>323</v>
      </c>
    </row>
    <row r="66" spans="1:10">
      <c r="A66" t="s">
        <v>25</v>
      </c>
      <c r="B66" t="s">
        <v>345</v>
      </c>
      <c r="C66" t="s">
        <v>319</v>
      </c>
      <c r="D66" s="4">
        <v>45880</v>
      </c>
      <c r="E66" s="4">
        <v>45995</v>
      </c>
      <c r="F66" t="s">
        <v>331</v>
      </c>
      <c r="G66" t="s">
        <v>321</v>
      </c>
      <c r="H66" s="5">
        <v>752659</v>
      </c>
      <c r="I66" t="s">
        <v>322</v>
      </c>
      <c r="J66" t="s">
        <v>328</v>
      </c>
    </row>
    <row r="67" spans="1:10">
      <c r="A67" t="s">
        <v>193</v>
      </c>
      <c r="B67" t="s">
        <v>345</v>
      </c>
      <c r="C67" t="s">
        <v>343</v>
      </c>
      <c r="D67" s="4">
        <v>46051</v>
      </c>
      <c r="E67" s="4">
        <v>46304</v>
      </c>
      <c r="F67" t="s">
        <v>331</v>
      </c>
      <c r="G67" t="s">
        <v>332</v>
      </c>
      <c r="H67" s="5">
        <v>460970</v>
      </c>
      <c r="I67" t="s">
        <v>336</v>
      </c>
      <c r="J67" t="s">
        <v>335</v>
      </c>
    </row>
    <row r="68" spans="1:10">
      <c r="A68" t="s">
        <v>248</v>
      </c>
      <c r="B68" t="s">
        <v>337</v>
      </c>
      <c r="C68" t="s">
        <v>339</v>
      </c>
      <c r="D68" s="4">
        <v>45849</v>
      </c>
      <c r="E68" s="4">
        <v>46088</v>
      </c>
      <c r="F68" t="s">
        <v>331</v>
      </c>
      <c r="G68" t="s">
        <v>344</v>
      </c>
      <c r="H68" s="5">
        <v>338118</v>
      </c>
      <c r="I68" t="s">
        <v>336</v>
      </c>
      <c r="J68" t="s">
        <v>323</v>
      </c>
    </row>
    <row r="69" spans="1:10">
      <c r="A69" t="s">
        <v>84</v>
      </c>
      <c r="B69" t="s">
        <v>345</v>
      </c>
      <c r="C69" t="s">
        <v>346</v>
      </c>
      <c r="D69" s="4">
        <v>45951</v>
      </c>
      <c r="E69" s="4">
        <v>46245</v>
      </c>
      <c r="F69" t="s">
        <v>331</v>
      </c>
      <c r="G69" t="s">
        <v>332</v>
      </c>
      <c r="H69" s="5">
        <v>534232</v>
      </c>
      <c r="I69" t="s">
        <v>336</v>
      </c>
      <c r="J69" t="s">
        <v>323</v>
      </c>
    </row>
    <row r="70" spans="1:10">
      <c r="A70" t="s">
        <v>59</v>
      </c>
      <c r="B70" t="s">
        <v>318</v>
      </c>
      <c r="C70" t="s">
        <v>349</v>
      </c>
      <c r="D70" s="4">
        <v>46046</v>
      </c>
      <c r="E70" s="4">
        <v>46175</v>
      </c>
      <c r="F70" t="s">
        <v>320</v>
      </c>
      <c r="G70" t="s">
        <v>332</v>
      </c>
      <c r="H70" s="5">
        <v>677483</v>
      </c>
      <c r="I70" t="s">
        <v>336</v>
      </c>
      <c r="J70" t="s">
        <v>323</v>
      </c>
    </row>
    <row r="71" spans="1:10">
      <c r="A71" t="s">
        <v>76</v>
      </c>
      <c r="B71" t="s">
        <v>318</v>
      </c>
      <c r="C71" t="s">
        <v>350</v>
      </c>
      <c r="D71" s="4">
        <v>45852</v>
      </c>
      <c r="E71" s="4">
        <v>45939</v>
      </c>
      <c r="F71" t="s">
        <v>340</v>
      </c>
      <c r="G71" t="s">
        <v>321</v>
      </c>
      <c r="H71" s="5">
        <v>509125</v>
      </c>
      <c r="I71" t="s">
        <v>336</v>
      </c>
      <c r="J71" t="s">
        <v>335</v>
      </c>
    </row>
    <row r="72" spans="1:10">
      <c r="A72" t="s">
        <v>180</v>
      </c>
      <c r="B72" t="s">
        <v>337</v>
      </c>
      <c r="C72" t="s">
        <v>352</v>
      </c>
      <c r="D72" s="4">
        <v>46006</v>
      </c>
      <c r="E72" s="4">
        <v>46159</v>
      </c>
      <c r="F72" t="s">
        <v>331</v>
      </c>
      <c r="G72" t="s">
        <v>344</v>
      </c>
      <c r="H72" s="5">
        <v>823207</v>
      </c>
      <c r="I72" t="s">
        <v>336</v>
      </c>
      <c r="J72" t="s">
        <v>335</v>
      </c>
    </row>
    <row r="73" spans="1:10">
      <c r="A73" t="s">
        <v>162</v>
      </c>
      <c r="B73" t="s">
        <v>329</v>
      </c>
      <c r="C73" t="s">
        <v>343</v>
      </c>
      <c r="D73" s="4">
        <v>45880</v>
      </c>
      <c r="E73" s="4">
        <v>46165</v>
      </c>
      <c r="F73" t="s">
        <v>326</v>
      </c>
      <c r="G73" t="s">
        <v>334</v>
      </c>
      <c r="H73" s="5">
        <v>79615</v>
      </c>
      <c r="I73" t="s">
        <v>327</v>
      </c>
      <c r="J73" t="s">
        <v>328</v>
      </c>
    </row>
    <row r="74" spans="1:10">
      <c r="A74" t="s">
        <v>71</v>
      </c>
      <c r="B74" t="s">
        <v>318</v>
      </c>
      <c r="C74" t="s">
        <v>343</v>
      </c>
      <c r="D74" s="4">
        <v>45859</v>
      </c>
      <c r="E74" s="4">
        <v>45919</v>
      </c>
      <c r="F74" t="s">
        <v>320</v>
      </c>
      <c r="G74" t="s">
        <v>321</v>
      </c>
      <c r="H74" s="5">
        <v>46369</v>
      </c>
      <c r="I74" t="s">
        <v>322</v>
      </c>
      <c r="J74" t="s">
        <v>335</v>
      </c>
    </row>
    <row r="75" spans="1:10">
      <c r="A75" t="s">
        <v>66</v>
      </c>
      <c r="B75" t="s">
        <v>337</v>
      </c>
      <c r="C75" t="s">
        <v>342</v>
      </c>
      <c r="D75" s="4">
        <v>45897</v>
      </c>
      <c r="E75" s="4">
        <v>46053</v>
      </c>
      <c r="F75" t="s">
        <v>331</v>
      </c>
      <c r="G75" t="s">
        <v>334</v>
      </c>
      <c r="H75" s="5">
        <v>829150</v>
      </c>
      <c r="I75" t="s">
        <v>327</v>
      </c>
      <c r="J75" t="s">
        <v>323</v>
      </c>
    </row>
    <row r="76" spans="1:10">
      <c r="A76" t="s">
        <v>163</v>
      </c>
      <c r="B76" t="s">
        <v>324</v>
      </c>
      <c r="C76" t="s">
        <v>349</v>
      </c>
      <c r="D76" s="4">
        <v>45897</v>
      </c>
      <c r="E76" s="4">
        <v>46025</v>
      </c>
      <c r="F76" t="s">
        <v>348</v>
      </c>
      <c r="G76" t="s">
        <v>332</v>
      </c>
      <c r="H76" s="5">
        <v>631794</v>
      </c>
      <c r="I76" t="s">
        <v>336</v>
      </c>
      <c r="J76" t="s">
        <v>323</v>
      </c>
    </row>
    <row r="77" spans="1:10">
      <c r="A77" t="s">
        <v>168</v>
      </c>
      <c r="B77" t="s">
        <v>318</v>
      </c>
      <c r="C77" t="s">
        <v>333</v>
      </c>
      <c r="D77" s="4">
        <v>46031</v>
      </c>
      <c r="E77" s="4">
        <v>46279</v>
      </c>
      <c r="F77" t="s">
        <v>320</v>
      </c>
      <c r="G77" t="s">
        <v>321</v>
      </c>
      <c r="H77" s="5">
        <v>104688</v>
      </c>
      <c r="I77" t="s">
        <v>327</v>
      </c>
      <c r="J77" t="s">
        <v>335</v>
      </c>
    </row>
    <row r="78" spans="1:10">
      <c r="A78" t="s">
        <v>108</v>
      </c>
      <c r="B78" t="s">
        <v>345</v>
      </c>
      <c r="C78" t="s">
        <v>333</v>
      </c>
      <c r="D78" s="4">
        <v>45900</v>
      </c>
      <c r="E78" s="4">
        <v>45966</v>
      </c>
      <c r="F78" t="s">
        <v>331</v>
      </c>
      <c r="G78" t="s">
        <v>334</v>
      </c>
      <c r="H78" s="5">
        <v>718655</v>
      </c>
      <c r="I78" t="s">
        <v>327</v>
      </c>
      <c r="J78" t="s">
        <v>323</v>
      </c>
    </row>
    <row r="79" spans="1:10">
      <c r="A79" t="s">
        <v>51</v>
      </c>
      <c r="B79" t="s">
        <v>345</v>
      </c>
      <c r="C79" t="s">
        <v>341</v>
      </c>
      <c r="D79" s="4">
        <v>46013</v>
      </c>
      <c r="E79" s="4">
        <v>46064</v>
      </c>
      <c r="F79" t="s">
        <v>320</v>
      </c>
      <c r="G79" t="s">
        <v>344</v>
      </c>
      <c r="H79" s="5">
        <v>135665</v>
      </c>
      <c r="I79" t="s">
        <v>327</v>
      </c>
      <c r="J79" t="s">
        <v>335</v>
      </c>
    </row>
    <row r="80" spans="1:10">
      <c r="A80" t="s">
        <v>245</v>
      </c>
      <c r="B80" t="s">
        <v>329</v>
      </c>
      <c r="C80" t="s">
        <v>338</v>
      </c>
      <c r="D80" s="4">
        <v>45917</v>
      </c>
      <c r="E80" s="4">
        <v>46184</v>
      </c>
      <c r="F80" t="s">
        <v>331</v>
      </c>
      <c r="G80" t="s">
        <v>334</v>
      </c>
      <c r="H80" s="5">
        <v>707054</v>
      </c>
      <c r="I80" t="s">
        <v>327</v>
      </c>
      <c r="J80" t="s">
        <v>335</v>
      </c>
    </row>
    <row r="81" spans="1:10">
      <c r="A81" t="s">
        <v>89</v>
      </c>
      <c r="B81" t="s">
        <v>329</v>
      </c>
      <c r="C81" t="s">
        <v>339</v>
      </c>
      <c r="D81" s="4">
        <v>46077</v>
      </c>
      <c r="E81" s="4">
        <v>46345</v>
      </c>
      <c r="F81" t="s">
        <v>320</v>
      </c>
      <c r="G81" t="s">
        <v>334</v>
      </c>
      <c r="H81" s="5">
        <v>306433</v>
      </c>
      <c r="I81" t="s">
        <v>322</v>
      </c>
      <c r="J81" t="s">
        <v>328</v>
      </c>
    </row>
    <row r="82" spans="1:10">
      <c r="A82" t="s">
        <v>140</v>
      </c>
      <c r="B82" t="s">
        <v>345</v>
      </c>
      <c r="C82" t="s">
        <v>341</v>
      </c>
      <c r="D82" s="4">
        <v>45981</v>
      </c>
      <c r="E82" s="4">
        <v>46256</v>
      </c>
      <c r="F82" t="s">
        <v>331</v>
      </c>
      <c r="G82" t="s">
        <v>344</v>
      </c>
      <c r="H82" s="5">
        <v>622530</v>
      </c>
      <c r="I82" t="s">
        <v>322</v>
      </c>
      <c r="J82" t="s">
        <v>335</v>
      </c>
    </row>
    <row r="83" spans="1:10">
      <c r="A83" t="s">
        <v>29</v>
      </c>
      <c r="B83" t="s">
        <v>337</v>
      </c>
      <c r="C83" t="s">
        <v>352</v>
      </c>
      <c r="D83" s="4">
        <v>46005</v>
      </c>
      <c r="E83" s="4">
        <v>46143</v>
      </c>
      <c r="F83" t="s">
        <v>331</v>
      </c>
      <c r="G83" t="s">
        <v>334</v>
      </c>
      <c r="H83" s="5">
        <v>295902</v>
      </c>
      <c r="I83" t="s">
        <v>327</v>
      </c>
      <c r="J83" t="s">
        <v>323</v>
      </c>
    </row>
    <row r="84" spans="1:10">
      <c r="A84" t="s">
        <v>34</v>
      </c>
      <c r="B84" t="s">
        <v>318</v>
      </c>
      <c r="C84" t="s">
        <v>319</v>
      </c>
      <c r="D84" s="4">
        <v>45980</v>
      </c>
      <c r="E84" s="4">
        <v>46030</v>
      </c>
      <c r="F84" t="s">
        <v>331</v>
      </c>
      <c r="G84" t="s">
        <v>321</v>
      </c>
      <c r="H84" s="5">
        <v>114771</v>
      </c>
      <c r="I84" t="s">
        <v>336</v>
      </c>
      <c r="J84" t="s">
        <v>335</v>
      </c>
    </row>
    <row r="85" spans="1:10">
      <c r="A85" t="s">
        <v>173</v>
      </c>
      <c r="B85" t="s">
        <v>345</v>
      </c>
      <c r="C85" t="s">
        <v>333</v>
      </c>
      <c r="D85" s="4">
        <v>45962</v>
      </c>
      <c r="E85" s="4">
        <v>46250</v>
      </c>
      <c r="F85" t="s">
        <v>340</v>
      </c>
      <c r="G85" t="s">
        <v>332</v>
      </c>
      <c r="H85" s="5">
        <v>494945</v>
      </c>
      <c r="I85" t="s">
        <v>336</v>
      </c>
      <c r="J85" t="s">
        <v>328</v>
      </c>
    </row>
    <row r="86" spans="1:10">
      <c r="A86" t="s">
        <v>249</v>
      </c>
      <c r="B86" t="s">
        <v>329</v>
      </c>
      <c r="C86" t="s">
        <v>325</v>
      </c>
      <c r="D86" s="4">
        <v>46046</v>
      </c>
      <c r="E86" s="4">
        <v>46215</v>
      </c>
      <c r="F86" t="s">
        <v>331</v>
      </c>
      <c r="G86" t="s">
        <v>344</v>
      </c>
      <c r="H86" s="5">
        <v>411945</v>
      </c>
      <c r="I86" t="s">
        <v>327</v>
      </c>
      <c r="J86" t="s">
        <v>335</v>
      </c>
    </row>
    <row r="87" spans="1:10">
      <c r="A87" t="s">
        <v>147</v>
      </c>
      <c r="B87" t="s">
        <v>345</v>
      </c>
      <c r="C87" t="s">
        <v>352</v>
      </c>
      <c r="D87" s="4">
        <v>46056</v>
      </c>
      <c r="E87" s="4">
        <v>46270</v>
      </c>
      <c r="F87" t="s">
        <v>331</v>
      </c>
      <c r="G87" t="s">
        <v>334</v>
      </c>
      <c r="H87" s="5">
        <v>309076</v>
      </c>
      <c r="I87" t="s">
        <v>322</v>
      </c>
      <c r="J87" t="s">
        <v>328</v>
      </c>
    </row>
    <row r="88" spans="1:10">
      <c r="A88" t="s">
        <v>185</v>
      </c>
      <c r="B88" t="s">
        <v>329</v>
      </c>
      <c r="C88" t="s">
        <v>343</v>
      </c>
      <c r="D88" s="4">
        <v>45937</v>
      </c>
      <c r="E88" s="4">
        <v>46143</v>
      </c>
      <c r="F88" t="s">
        <v>331</v>
      </c>
      <c r="G88" t="s">
        <v>321</v>
      </c>
      <c r="H88" s="5">
        <v>824213</v>
      </c>
      <c r="I88" t="s">
        <v>322</v>
      </c>
      <c r="J88" t="s">
        <v>323</v>
      </c>
    </row>
    <row r="89" spans="1:10">
      <c r="A89" t="s">
        <v>226</v>
      </c>
      <c r="B89" t="s">
        <v>329</v>
      </c>
      <c r="C89" t="s">
        <v>333</v>
      </c>
      <c r="D89" s="4">
        <v>46086</v>
      </c>
      <c r="E89" s="4">
        <v>46272</v>
      </c>
      <c r="F89" t="s">
        <v>320</v>
      </c>
      <c r="G89" t="s">
        <v>334</v>
      </c>
      <c r="H89" s="5">
        <v>650780</v>
      </c>
      <c r="I89" t="s">
        <v>322</v>
      </c>
      <c r="J89" t="s">
        <v>335</v>
      </c>
    </row>
    <row r="90" spans="1:10">
      <c r="A90" t="s">
        <v>27</v>
      </c>
      <c r="B90" t="s">
        <v>324</v>
      </c>
      <c r="C90" t="s">
        <v>352</v>
      </c>
      <c r="D90" s="4">
        <v>45955</v>
      </c>
      <c r="E90" s="4">
        <v>46184</v>
      </c>
      <c r="F90" t="s">
        <v>331</v>
      </c>
      <c r="G90" t="s">
        <v>321</v>
      </c>
      <c r="H90" s="5">
        <v>767411</v>
      </c>
      <c r="I90" t="s">
        <v>322</v>
      </c>
      <c r="J90" t="s">
        <v>328</v>
      </c>
    </row>
    <row r="91" spans="1:10">
      <c r="A91" t="s">
        <v>232</v>
      </c>
      <c r="B91" t="s">
        <v>345</v>
      </c>
      <c r="C91" t="s">
        <v>338</v>
      </c>
      <c r="D91" s="4">
        <v>45988</v>
      </c>
      <c r="E91" s="4">
        <v>46097</v>
      </c>
      <c r="F91" t="s">
        <v>340</v>
      </c>
      <c r="G91" t="s">
        <v>332</v>
      </c>
      <c r="H91" s="5">
        <v>132570</v>
      </c>
      <c r="I91" t="s">
        <v>336</v>
      </c>
      <c r="J91" t="s">
        <v>335</v>
      </c>
    </row>
    <row r="92" spans="1:10">
      <c r="A92" t="s">
        <v>101</v>
      </c>
      <c r="B92" t="s">
        <v>324</v>
      </c>
      <c r="C92" t="s">
        <v>333</v>
      </c>
      <c r="D92" s="4">
        <v>46084</v>
      </c>
      <c r="E92" s="4">
        <v>46354</v>
      </c>
      <c r="F92" t="s">
        <v>331</v>
      </c>
      <c r="G92" t="s">
        <v>344</v>
      </c>
      <c r="H92" s="5">
        <v>289742</v>
      </c>
      <c r="I92" t="s">
        <v>322</v>
      </c>
      <c r="J92" t="s">
        <v>335</v>
      </c>
    </row>
    <row r="93" spans="1:10">
      <c r="A93" t="s">
        <v>294</v>
      </c>
      <c r="B93" t="s">
        <v>324</v>
      </c>
      <c r="C93" t="s">
        <v>330</v>
      </c>
      <c r="D93" s="4">
        <v>46090</v>
      </c>
      <c r="E93" s="4">
        <v>46172</v>
      </c>
      <c r="F93" t="s">
        <v>340</v>
      </c>
      <c r="G93" t="s">
        <v>321</v>
      </c>
      <c r="H93" s="5">
        <v>184097</v>
      </c>
      <c r="I93" t="s">
        <v>327</v>
      </c>
      <c r="J93" t="s">
        <v>335</v>
      </c>
    </row>
    <row r="94" spans="1:10">
      <c r="A94" t="s">
        <v>170</v>
      </c>
      <c r="B94" t="s">
        <v>345</v>
      </c>
      <c r="C94" t="s">
        <v>330</v>
      </c>
      <c r="D94" s="4">
        <v>45882</v>
      </c>
      <c r="E94" s="4">
        <v>46054</v>
      </c>
      <c r="F94" t="s">
        <v>331</v>
      </c>
      <c r="G94" t="s">
        <v>321</v>
      </c>
      <c r="H94" s="5">
        <v>660770</v>
      </c>
      <c r="I94" t="s">
        <v>327</v>
      </c>
      <c r="J94" t="s">
        <v>335</v>
      </c>
    </row>
    <row r="95" spans="1:10">
      <c r="A95" t="s">
        <v>298</v>
      </c>
      <c r="B95" t="s">
        <v>329</v>
      </c>
      <c r="C95" t="s">
        <v>338</v>
      </c>
      <c r="D95" s="4">
        <v>46069</v>
      </c>
      <c r="E95" s="4">
        <v>46340</v>
      </c>
      <c r="F95" t="s">
        <v>331</v>
      </c>
      <c r="G95" t="s">
        <v>334</v>
      </c>
      <c r="H95" s="5">
        <v>474660</v>
      </c>
      <c r="I95" t="s">
        <v>327</v>
      </c>
      <c r="J95" t="s">
        <v>328</v>
      </c>
    </row>
    <row r="96" spans="1:10">
      <c r="A96" t="s">
        <v>228</v>
      </c>
      <c r="B96" t="s">
        <v>337</v>
      </c>
      <c r="C96" t="s">
        <v>342</v>
      </c>
      <c r="D96" s="4">
        <v>45889</v>
      </c>
      <c r="E96" s="4">
        <v>46040</v>
      </c>
      <c r="F96" t="s">
        <v>340</v>
      </c>
      <c r="G96" t="s">
        <v>332</v>
      </c>
      <c r="H96" s="5">
        <v>717509</v>
      </c>
      <c r="I96" t="s">
        <v>322</v>
      </c>
      <c r="J96" t="s">
        <v>328</v>
      </c>
    </row>
    <row r="97" spans="1:10">
      <c r="A97" t="s">
        <v>260</v>
      </c>
      <c r="B97" t="s">
        <v>345</v>
      </c>
      <c r="C97" t="s">
        <v>352</v>
      </c>
      <c r="D97" s="4">
        <v>45877</v>
      </c>
      <c r="E97" s="4">
        <v>46002</v>
      </c>
      <c r="F97" t="s">
        <v>326</v>
      </c>
      <c r="G97" t="s">
        <v>344</v>
      </c>
      <c r="H97" s="5">
        <v>747858</v>
      </c>
      <c r="I97" t="s">
        <v>322</v>
      </c>
      <c r="J97" t="s">
        <v>328</v>
      </c>
    </row>
    <row r="98" spans="1:10">
      <c r="A98" t="s">
        <v>124</v>
      </c>
      <c r="B98" t="s">
        <v>345</v>
      </c>
      <c r="C98" t="s">
        <v>349</v>
      </c>
      <c r="D98" s="4">
        <v>45986</v>
      </c>
      <c r="E98" s="4">
        <v>46175</v>
      </c>
      <c r="F98" t="s">
        <v>320</v>
      </c>
      <c r="G98" t="s">
        <v>321</v>
      </c>
      <c r="H98" s="5">
        <v>99637</v>
      </c>
      <c r="I98" t="s">
        <v>336</v>
      </c>
      <c r="J98" t="s">
        <v>323</v>
      </c>
    </row>
    <row r="99" spans="1:10">
      <c r="A99" t="s">
        <v>96</v>
      </c>
      <c r="B99" t="s">
        <v>318</v>
      </c>
      <c r="C99" t="s">
        <v>349</v>
      </c>
      <c r="D99" s="4">
        <v>45940</v>
      </c>
      <c r="E99" s="4">
        <v>46202</v>
      </c>
      <c r="F99" t="s">
        <v>331</v>
      </c>
      <c r="G99" t="s">
        <v>321</v>
      </c>
      <c r="H99" s="5">
        <v>704094</v>
      </c>
      <c r="I99" t="s">
        <v>336</v>
      </c>
      <c r="J99" t="s">
        <v>328</v>
      </c>
    </row>
    <row r="100" spans="1:10">
      <c r="A100" t="s">
        <v>269</v>
      </c>
      <c r="B100" t="s">
        <v>337</v>
      </c>
      <c r="C100" t="s">
        <v>353</v>
      </c>
      <c r="D100" s="4">
        <v>45875</v>
      </c>
      <c r="E100" s="4">
        <v>45950</v>
      </c>
      <c r="F100" t="s">
        <v>331</v>
      </c>
      <c r="G100" t="s">
        <v>334</v>
      </c>
      <c r="H100" s="5">
        <v>648948</v>
      </c>
      <c r="I100" t="s">
        <v>322</v>
      </c>
      <c r="J100" t="s">
        <v>335</v>
      </c>
    </row>
    <row r="101" spans="1:10">
      <c r="A101" t="s">
        <v>40</v>
      </c>
      <c r="B101" t="s">
        <v>329</v>
      </c>
      <c r="C101" t="s">
        <v>353</v>
      </c>
      <c r="D101" s="4">
        <v>45994</v>
      </c>
      <c r="E101" s="4">
        <v>46245</v>
      </c>
      <c r="F101" t="s">
        <v>320</v>
      </c>
      <c r="G101" t="s">
        <v>344</v>
      </c>
      <c r="H101" s="5">
        <v>591211</v>
      </c>
      <c r="I101" t="s">
        <v>322</v>
      </c>
      <c r="J101" t="s">
        <v>323</v>
      </c>
    </row>
    <row r="102" spans="1:10">
      <c r="A102" t="s">
        <v>127</v>
      </c>
      <c r="B102" t="s">
        <v>329</v>
      </c>
      <c r="C102" t="s">
        <v>333</v>
      </c>
      <c r="D102" s="4">
        <v>45859</v>
      </c>
      <c r="E102" s="4">
        <v>46125</v>
      </c>
      <c r="F102" t="s">
        <v>320</v>
      </c>
      <c r="G102" t="s">
        <v>332</v>
      </c>
      <c r="H102" s="5">
        <v>287529</v>
      </c>
      <c r="I102" t="s">
        <v>322</v>
      </c>
      <c r="J102" t="s">
        <v>323</v>
      </c>
    </row>
    <row r="103" spans="1:10">
      <c r="A103" t="s">
        <v>120</v>
      </c>
      <c r="B103" t="s">
        <v>318</v>
      </c>
      <c r="C103" t="s">
        <v>349</v>
      </c>
      <c r="D103" s="4">
        <v>45849</v>
      </c>
      <c r="E103" s="4">
        <v>46031</v>
      </c>
      <c r="F103" t="s">
        <v>340</v>
      </c>
      <c r="G103" t="s">
        <v>344</v>
      </c>
      <c r="H103" s="5">
        <v>518355</v>
      </c>
      <c r="I103" t="s">
        <v>336</v>
      </c>
      <c r="J103" t="s">
        <v>328</v>
      </c>
    </row>
    <row r="104" spans="1:10">
      <c r="A104" t="s">
        <v>183</v>
      </c>
      <c r="B104" t="s">
        <v>345</v>
      </c>
      <c r="C104" t="s">
        <v>341</v>
      </c>
      <c r="D104" s="4">
        <v>46062</v>
      </c>
      <c r="E104" s="4">
        <v>46358</v>
      </c>
      <c r="F104" t="s">
        <v>348</v>
      </c>
      <c r="G104" t="s">
        <v>344</v>
      </c>
      <c r="H104" s="5">
        <v>389863</v>
      </c>
      <c r="I104" t="s">
        <v>336</v>
      </c>
      <c r="J104" t="s">
        <v>323</v>
      </c>
    </row>
    <row r="105" spans="1:10">
      <c r="A105" t="s">
        <v>61</v>
      </c>
      <c r="B105" t="s">
        <v>345</v>
      </c>
      <c r="C105" t="s">
        <v>339</v>
      </c>
      <c r="D105" s="4">
        <v>45892</v>
      </c>
      <c r="E105" s="4">
        <v>46019</v>
      </c>
      <c r="F105" t="s">
        <v>331</v>
      </c>
      <c r="G105" t="s">
        <v>344</v>
      </c>
      <c r="H105" s="5">
        <v>327218</v>
      </c>
      <c r="I105" t="s">
        <v>327</v>
      </c>
      <c r="J105" t="s">
        <v>328</v>
      </c>
    </row>
    <row r="106" spans="1:10">
      <c r="A106" t="s">
        <v>211</v>
      </c>
      <c r="B106" t="s">
        <v>337</v>
      </c>
      <c r="C106" t="s">
        <v>339</v>
      </c>
      <c r="D106" s="4">
        <v>46071</v>
      </c>
      <c r="E106" s="4">
        <v>46161</v>
      </c>
      <c r="F106" t="s">
        <v>331</v>
      </c>
      <c r="G106" t="s">
        <v>344</v>
      </c>
      <c r="H106" s="5">
        <v>146552</v>
      </c>
      <c r="I106" t="s">
        <v>327</v>
      </c>
      <c r="J106" t="s">
        <v>328</v>
      </c>
    </row>
    <row r="107" spans="1:10">
      <c r="A107" t="s">
        <v>73</v>
      </c>
      <c r="B107" t="s">
        <v>329</v>
      </c>
      <c r="C107" t="s">
        <v>347</v>
      </c>
      <c r="D107" s="4">
        <v>46075</v>
      </c>
      <c r="E107" s="4">
        <v>46331</v>
      </c>
      <c r="F107" t="s">
        <v>326</v>
      </c>
      <c r="G107" t="s">
        <v>344</v>
      </c>
      <c r="H107" s="5">
        <v>404353</v>
      </c>
      <c r="I107" t="s">
        <v>336</v>
      </c>
      <c r="J107" t="s">
        <v>328</v>
      </c>
    </row>
    <row r="108" spans="1:10">
      <c r="A108" t="s">
        <v>190</v>
      </c>
      <c r="B108" t="s">
        <v>337</v>
      </c>
      <c r="C108" t="s">
        <v>333</v>
      </c>
      <c r="D108" s="4">
        <v>45943</v>
      </c>
      <c r="E108" s="4">
        <v>46124</v>
      </c>
      <c r="F108" t="s">
        <v>331</v>
      </c>
      <c r="G108" t="s">
        <v>344</v>
      </c>
      <c r="H108" s="5">
        <v>484398</v>
      </c>
      <c r="I108" t="s">
        <v>322</v>
      </c>
      <c r="J108" t="s">
        <v>323</v>
      </c>
    </row>
    <row r="109" spans="1:10">
      <c r="A109" t="s">
        <v>138</v>
      </c>
      <c r="B109" t="s">
        <v>324</v>
      </c>
      <c r="C109" t="s">
        <v>333</v>
      </c>
      <c r="D109" s="4">
        <v>45961</v>
      </c>
      <c r="E109" s="4">
        <v>46087</v>
      </c>
      <c r="F109" t="s">
        <v>331</v>
      </c>
      <c r="G109" t="s">
        <v>344</v>
      </c>
      <c r="H109" s="5">
        <v>604077</v>
      </c>
      <c r="I109" t="s">
        <v>322</v>
      </c>
      <c r="J109" t="s">
        <v>328</v>
      </c>
    </row>
    <row r="110" spans="1:10">
      <c r="A110" t="s">
        <v>69</v>
      </c>
      <c r="B110" t="s">
        <v>318</v>
      </c>
      <c r="C110" t="s">
        <v>325</v>
      </c>
      <c r="D110" s="4">
        <v>46075</v>
      </c>
      <c r="E110" s="4">
        <v>46180</v>
      </c>
      <c r="F110" t="s">
        <v>340</v>
      </c>
      <c r="G110" t="s">
        <v>334</v>
      </c>
      <c r="H110" s="5">
        <v>547584</v>
      </c>
      <c r="I110" t="s">
        <v>327</v>
      </c>
      <c r="J110" t="s">
        <v>335</v>
      </c>
    </row>
    <row r="111" spans="1:10">
      <c r="A111" t="s">
        <v>204</v>
      </c>
      <c r="B111" t="s">
        <v>318</v>
      </c>
      <c r="C111" t="s">
        <v>346</v>
      </c>
      <c r="D111" s="4">
        <v>46051</v>
      </c>
      <c r="E111" s="4">
        <v>46343</v>
      </c>
      <c r="F111" t="s">
        <v>348</v>
      </c>
      <c r="G111" t="s">
        <v>321</v>
      </c>
      <c r="H111" s="5">
        <v>503975</v>
      </c>
      <c r="I111" t="s">
        <v>322</v>
      </c>
      <c r="J111" t="s">
        <v>323</v>
      </c>
    </row>
    <row r="112" spans="1:10">
      <c r="A112" t="s">
        <v>82</v>
      </c>
      <c r="B112" t="s">
        <v>337</v>
      </c>
      <c r="C112" t="s">
        <v>341</v>
      </c>
      <c r="D112" s="4">
        <v>46099</v>
      </c>
      <c r="E112" s="4">
        <v>46213</v>
      </c>
      <c r="F112" t="s">
        <v>320</v>
      </c>
      <c r="G112" t="s">
        <v>344</v>
      </c>
      <c r="H112" s="5">
        <v>835208</v>
      </c>
      <c r="I112" t="s">
        <v>327</v>
      </c>
      <c r="J112" t="s">
        <v>335</v>
      </c>
    </row>
    <row r="113" spans="1:10">
      <c r="A113" t="s">
        <v>227</v>
      </c>
      <c r="B113" t="s">
        <v>329</v>
      </c>
      <c r="C113" t="s">
        <v>339</v>
      </c>
      <c r="D113" s="4">
        <v>45840</v>
      </c>
      <c r="E113" s="4">
        <v>46029</v>
      </c>
      <c r="F113" t="s">
        <v>320</v>
      </c>
      <c r="G113" t="s">
        <v>344</v>
      </c>
      <c r="H113" s="5">
        <v>633093</v>
      </c>
      <c r="I113" t="s">
        <v>322</v>
      </c>
      <c r="J113" t="s">
        <v>335</v>
      </c>
    </row>
    <row r="114" spans="1:10">
      <c r="A114" t="s">
        <v>164</v>
      </c>
      <c r="B114" t="s">
        <v>329</v>
      </c>
      <c r="C114" t="s">
        <v>349</v>
      </c>
      <c r="D114" s="4">
        <v>46086</v>
      </c>
      <c r="E114" s="4">
        <v>46307</v>
      </c>
      <c r="F114" t="s">
        <v>331</v>
      </c>
      <c r="G114" t="s">
        <v>344</v>
      </c>
      <c r="H114" s="5">
        <v>420533</v>
      </c>
      <c r="I114" t="s">
        <v>336</v>
      </c>
      <c r="J114" t="s">
        <v>328</v>
      </c>
    </row>
    <row r="115" spans="1:10">
      <c r="A115" t="s">
        <v>112</v>
      </c>
      <c r="B115" t="s">
        <v>345</v>
      </c>
      <c r="C115" t="s">
        <v>319</v>
      </c>
      <c r="D115" s="4">
        <v>45961</v>
      </c>
      <c r="E115" s="4">
        <v>46202</v>
      </c>
      <c r="F115" t="s">
        <v>331</v>
      </c>
      <c r="G115" t="s">
        <v>334</v>
      </c>
      <c r="H115" s="5">
        <v>70767</v>
      </c>
      <c r="I115" t="s">
        <v>336</v>
      </c>
      <c r="J115" t="s">
        <v>323</v>
      </c>
    </row>
    <row r="116" spans="1:10">
      <c r="A116" t="s">
        <v>155</v>
      </c>
      <c r="B116" t="s">
        <v>318</v>
      </c>
      <c r="C116" t="s">
        <v>342</v>
      </c>
      <c r="D116" s="4">
        <v>46034</v>
      </c>
      <c r="E116" s="4">
        <v>46276</v>
      </c>
      <c r="F116" t="s">
        <v>348</v>
      </c>
      <c r="G116" t="s">
        <v>332</v>
      </c>
      <c r="H116" s="5">
        <v>544389</v>
      </c>
      <c r="I116" t="s">
        <v>327</v>
      </c>
      <c r="J116" t="s">
        <v>323</v>
      </c>
    </row>
    <row r="117" spans="1:10">
      <c r="A117" t="s">
        <v>38</v>
      </c>
      <c r="B117" t="s">
        <v>345</v>
      </c>
      <c r="C117" t="s">
        <v>350</v>
      </c>
      <c r="D117" s="4">
        <v>46008</v>
      </c>
      <c r="E117" s="4">
        <v>46104</v>
      </c>
      <c r="F117" t="s">
        <v>320</v>
      </c>
      <c r="G117" t="s">
        <v>344</v>
      </c>
      <c r="H117" s="5">
        <v>129555</v>
      </c>
      <c r="I117" t="s">
        <v>327</v>
      </c>
      <c r="J117" t="s">
        <v>328</v>
      </c>
    </row>
    <row r="118" spans="1:10">
      <c r="A118" t="s">
        <v>14</v>
      </c>
      <c r="B118" t="s">
        <v>337</v>
      </c>
      <c r="C118" t="s">
        <v>347</v>
      </c>
      <c r="D118" s="4">
        <v>46048</v>
      </c>
      <c r="E118" s="4">
        <v>46172</v>
      </c>
      <c r="F118" t="s">
        <v>326</v>
      </c>
      <c r="G118" t="s">
        <v>344</v>
      </c>
      <c r="H118" s="5">
        <v>380007</v>
      </c>
      <c r="I118" t="s">
        <v>322</v>
      </c>
      <c r="J118" t="s">
        <v>335</v>
      </c>
    </row>
    <row r="119" spans="1:10">
      <c r="A119" t="s">
        <v>215</v>
      </c>
      <c r="B119" t="s">
        <v>345</v>
      </c>
      <c r="C119" t="s">
        <v>338</v>
      </c>
      <c r="D119" s="4">
        <v>46033</v>
      </c>
      <c r="E119" s="4">
        <v>46240</v>
      </c>
      <c r="F119" t="s">
        <v>340</v>
      </c>
      <c r="G119" t="s">
        <v>332</v>
      </c>
      <c r="H119" s="5">
        <v>592296</v>
      </c>
      <c r="I119" t="s">
        <v>322</v>
      </c>
      <c r="J119" t="s">
        <v>328</v>
      </c>
    </row>
    <row r="120" spans="1:10">
      <c r="A120" t="s">
        <v>129</v>
      </c>
      <c r="B120" t="s">
        <v>345</v>
      </c>
      <c r="C120" t="s">
        <v>353</v>
      </c>
      <c r="D120" s="4">
        <v>45986</v>
      </c>
      <c r="E120" s="4">
        <v>46147</v>
      </c>
      <c r="F120" t="s">
        <v>320</v>
      </c>
      <c r="G120" t="s">
        <v>332</v>
      </c>
      <c r="H120" s="5">
        <v>128225</v>
      </c>
      <c r="I120" t="s">
        <v>322</v>
      </c>
      <c r="J120" t="s">
        <v>323</v>
      </c>
    </row>
    <row r="121" spans="1:10">
      <c r="A121" t="s">
        <v>56</v>
      </c>
      <c r="B121" t="s">
        <v>324</v>
      </c>
      <c r="C121" t="s">
        <v>341</v>
      </c>
      <c r="D121" s="4">
        <v>45992</v>
      </c>
      <c r="E121" s="4">
        <v>46051</v>
      </c>
      <c r="F121" t="s">
        <v>326</v>
      </c>
      <c r="G121" t="s">
        <v>334</v>
      </c>
      <c r="H121" s="5">
        <v>332618</v>
      </c>
      <c r="I121" t="s">
        <v>336</v>
      </c>
      <c r="J121" t="s">
        <v>328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/>
  </sheetViews>
  <sheetFormatPr baseColWidth="10" defaultRowHeight="15"/>
  <cols>
    <col min="1" max="1" width="11" customWidth="1"/>
    <col min="2" max="2" width="12.83203125" customWidth="1"/>
    <col min="3" max="3" width="11.6640625" customWidth="1"/>
    <col min="4" max="4" width="20.83203125" customWidth="1"/>
    <col min="5" max="5" width="9.5" customWidth="1"/>
    <col min="6" max="7" width="15.1640625" customWidth="1"/>
    <col min="8" max="8" width="24.5" customWidth="1"/>
    <col min="9" max="9" width="14.1640625" customWidth="1"/>
    <col min="10" max="10" width="10.1640625" customWidth="1"/>
  </cols>
  <sheetData>
    <row r="1" spans="1:10">
      <c r="A1" t="s">
        <v>354</v>
      </c>
      <c r="B1" t="s">
        <v>355</v>
      </c>
      <c r="C1" t="s">
        <v>1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</row>
    <row r="2" spans="1:10">
      <c r="A2" t="s">
        <v>363</v>
      </c>
      <c r="B2" t="s">
        <v>364</v>
      </c>
      <c r="C2" t="s">
        <v>61</v>
      </c>
      <c r="D2" t="s">
        <v>365</v>
      </c>
      <c r="E2" t="s">
        <v>366</v>
      </c>
      <c r="F2" s="4">
        <v>46127.013582164349</v>
      </c>
      <c r="G2" s="4">
        <v>46127.194785960652</v>
      </c>
      <c r="H2">
        <v>4.3</v>
      </c>
      <c r="I2" t="s">
        <v>9</v>
      </c>
      <c r="J2" t="s">
        <v>335</v>
      </c>
    </row>
    <row r="3" spans="1:10">
      <c r="A3" t="s">
        <v>367</v>
      </c>
      <c r="B3" t="s">
        <v>368</v>
      </c>
      <c r="C3" t="s">
        <v>43</v>
      </c>
      <c r="D3" t="s">
        <v>369</v>
      </c>
      <c r="E3" t="s">
        <v>370</v>
      </c>
      <c r="F3" s="4">
        <v>45905.771768287043</v>
      </c>
      <c r="G3" s="4">
        <v>45905.802791435177</v>
      </c>
      <c r="H3">
        <v>0.7</v>
      </c>
      <c r="I3" t="s">
        <v>12</v>
      </c>
      <c r="J3" t="s">
        <v>323</v>
      </c>
    </row>
    <row r="4" spans="1:10">
      <c r="A4" t="s">
        <v>371</v>
      </c>
      <c r="B4" t="s">
        <v>372</v>
      </c>
      <c r="C4" t="s">
        <v>295</v>
      </c>
      <c r="D4" t="s">
        <v>373</v>
      </c>
      <c r="E4" t="s">
        <v>374</v>
      </c>
      <c r="F4" s="4">
        <v>45951.737221689807</v>
      </c>
      <c r="G4" s="4">
        <v>45952.055499317132</v>
      </c>
      <c r="H4">
        <v>7.6</v>
      </c>
      <c r="I4" t="s">
        <v>9</v>
      </c>
      <c r="J4" t="s">
        <v>323</v>
      </c>
    </row>
    <row r="5" spans="1:10">
      <c r="A5" t="s">
        <v>375</v>
      </c>
      <c r="B5" t="s">
        <v>376</v>
      </c>
      <c r="C5" t="s">
        <v>202</v>
      </c>
      <c r="D5" t="s">
        <v>377</v>
      </c>
      <c r="E5" t="s">
        <v>378</v>
      </c>
      <c r="F5" s="4">
        <v>45967.10077704861</v>
      </c>
      <c r="G5" s="4">
        <v>45967.237105995373</v>
      </c>
      <c r="H5">
        <v>3.3</v>
      </c>
      <c r="I5" t="s">
        <v>9</v>
      </c>
      <c r="J5" t="s">
        <v>323</v>
      </c>
    </row>
    <row r="6" spans="1:10">
      <c r="A6" t="s">
        <v>379</v>
      </c>
      <c r="B6" t="s">
        <v>380</v>
      </c>
      <c r="C6" t="s">
        <v>217</v>
      </c>
      <c r="D6" t="s">
        <v>381</v>
      </c>
      <c r="E6" t="s">
        <v>366</v>
      </c>
      <c r="F6" s="4">
        <v>46005.28980233796</v>
      </c>
      <c r="G6" s="4">
        <v>46005.426719224539</v>
      </c>
      <c r="H6">
        <v>3.3</v>
      </c>
      <c r="I6" t="s">
        <v>9</v>
      </c>
      <c r="J6" t="s">
        <v>328</v>
      </c>
    </row>
    <row r="7" spans="1:10">
      <c r="A7" t="s">
        <v>382</v>
      </c>
      <c r="B7" t="s">
        <v>383</v>
      </c>
      <c r="C7" t="s">
        <v>173</v>
      </c>
      <c r="D7" t="s">
        <v>384</v>
      </c>
      <c r="E7" t="s">
        <v>378</v>
      </c>
      <c r="F7" s="4">
        <v>46005.857406805553</v>
      </c>
      <c r="G7" s="4">
        <v>46005.886983194447</v>
      </c>
      <c r="H7">
        <v>0.7</v>
      </c>
      <c r="I7" t="s">
        <v>12</v>
      </c>
      <c r="J7" t="s">
        <v>323</v>
      </c>
    </row>
    <row r="8" spans="1:10">
      <c r="A8" t="s">
        <v>385</v>
      </c>
      <c r="B8" t="s">
        <v>386</v>
      </c>
      <c r="C8" t="s">
        <v>87</v>
      </c>
      <c r="D8" t="s">
        <v>377</v>
      </c>
      <c r="E8" t="s">
        <v>387</v>
      </c>
      <c r="F8" s="4">
        <v>45908.124685243063</v>
      </c>
      <c r="G8" s="4">
        <v>45908.438275034721</v>
      </c>
      <c r="H8">
        <v>7.5</v>
      </c>
      <c r="I8" t="s">
        <v>9</v>
      </c>
      <c r="J8" t="s">
        <v>328</v>
      </c>
    </row>
    <row r="9" spans="1:10">
      <c r="A9" t="s">
        <v>388</v>
      </c>
      <c r="B9" t="s">
        <v>389</v>
      </c>
      <c r="C9" t="s">
        <v>204</v>
      </c>
      <c r="D9" t="s">
        <v>384</v>
      </c>
      <c r="E9" t="s">
        <v>370</v>
      </c>
      <c r="F9" s="4">
        <v>45927.075986608797</v>
      </c>
      <c r="G9" s="4">
        <v>45927.352796527783</v>
      </c>
      <c r="H9">
        <v>6.6</v>
      </c>
      <c r="I9" t="s">
        <v>9</v>
      </c>
      <c r="J9" t="s">
        <v>328</v>
      </c>
    </row>
    <row r="10" spans="1:10">
      <c r="A10" t="s">
        <v>390</v>
      </c>
      <c r="B10" t="s">
        <v>391</v>
      </c>
      <c r="C10" t="s">
        <v>223</v>
      </c>
      <c r="D10" t="s">
        <v>392</v>
      </c>
      <c r="E10" t="s">
        <v>393</v>
      </c>
      <c r="F10" s="4">
        <v>46057.169177222233</v>
      </c>
      <c r="G10" s="4">
        <v>46057.211124467591</v>
      </c>
      <c r="H10">
        <v>1</v>
      </c>
      <c r="I10" t="s">
        <v>12</v>
      </c>
      <c r="J10" t="s">
        <v>328</v>
      </c>
    </row>
    <row r="11" spans="1:10">
      <c r="A11" t="s">
        <v>394</v>
      </c>
      <c r="B11" t="s">
        <v>395</v>
      </c>
      <c r="C11" t="s">
        <v>27</v>
      </c>
      <c r="D11" t="s">
        <v>377</v>
      </c>
      <c r="E11" t="s">
        <v>396</v>
      </c>
      <c r="F11" s="4">
        <v>45879.383352152778</v>
      </c>
      <c r="G11" s="4">
        <v>45879.580986724533</v>
      </c>
      <c r="H11">
        <v>4.7</v>
      </c>
      <c r="I11" t="s">
        <v>9</v>
      </c>
      <c r="J11" t="s">
        <v>323</v>
      </c>
    </row>
    <row r="12" spans="1:10">
      <c r="A12" t="s">
        <v>397</v>
      </c>
      <c r="B12" t="s">
        <v>398</v>
      </c>
      <c r="C12" t="s">
        <v>112</v>
      </c>
      <c r="D12" t="s">
        <v>399</v>
      </c>
      <c r="E12" t="s">
        <v>400</v>
      </c>
      <c r="F12" s="4">
        <v>45987.308013310183</v>
      </c>
      <c r="G12" s="4">
        <v>45987.553857106483</v>
      </c>
      <c r="H12">
        <v>5.9</v>
      </c>
      <c r="I12" t="s">
        <v>9</v>
      </c>
      <c r="J12" t="s">
        <v>323</v>
      </c>
    </row>
    <row r="13" spans="1:10">
      <c r="A13" t="s">
        <v>401</v>
      </c>
      <c r="B13" t="s">
        <v>402</v>
      </c>
      <c r="C13" t="s">
        <v>57</v>
      </c>
      <c r="D13" t="s">
        <v>399</v>
      </c>
      <c r="E13" t="s">
        <v>403</v>
      </c>
      <c r="F13" s="4">
        <v>45864.030559548613</v>
      </c>
      <c r="G13" s="4">
        <v>45864.195435428242</v>
      </c>
      <c r="H13">
        <v>4</v>
      </c>
      <c r="I13" t="s">
        <v>9</v>
      </c>
      <c r="J13" t="s">
        <v>328</v>
      </c>
    </row>
    <row r="14" spans="1:10">
      <c r="A14" t="s">
        <v>404</v>
      </c>
      <c r="B14" t="s">
        <v>405</v>
      </c>
      <c r="C14" t="s">
        <v>285</v>
      </c>
      <c r="D14" t="s">
        <v>369</v>
      </c>
      <c r="E14" t="s">
        <v>403</v>
      </c>
      <c r="F14" s="4">
        <v>45861.526162858798</v>
      </c>
      <c r="G14" s="4">
        <v>45861.774453738428</v>
      </c>
      <c r="H14">
        <v>6</v>
      </c>
      <c r="I14" t="s">
        <v>12</v>
      </c>
      <c r="J14" t="s">
        <v>328</v>
      </c>
    </row>
    <row r="15" spans="1:10">
      <c r="A15" t="s">
        <v>406</v>
      </c>
      <c r="B15" t="s">
        <v>407</v>
      </c>
      <c r="C15" t="s">
        <v>232</v>
      </c>
      <c r="D15" t="s">
        <v>384</v>
      </c>
      <c r="E15" t="s">
        <v>374</v>
      </c>
      <c r="F15" s="4">
        <v>46062.36059783565</v>
      </c>
      <c r="G15" s="4">
        <v>46062.509440011578</v>
      </c>
      <c r="H15">
        <v>3.6</v>
      </c>
      <c r="I15" t="s">
        <v>9</v>
      </c>
      <c r="J15" t="s">
        <v>328</v>
      </c>
    </row>
    <row r="16" spans="1:10">
      <c r="A16" t="s">
        <v>408</v>
      </c>
      <c r="B16" t="s">
        <v>409</v>
      </c>
      <c r="C16" t="s">
        <v>140</v>
      </c>
      <c r="D16" t="s">
        <v>381</v>
      </c>
      <c r="E16" t="s">
        <v>387</v>
      </c>
      <c r="F16" s="4">
        <v>46121.892709004627</v>
      </c>
      <c r="G16" s="4">
        <v>46121.927860995369</v>
      </c>
      <c r="H16">
        <v>0.8</v>
      </c>
      <c r="I16" t="s">
        <v>9</v>
      </c>
      <c r="J16" t="s">
        <v>323</v>
      </c>
    </row>
    <row r="17" spans="1:10">
      <c r="A17" t="s">
        <v>410</v>
      </c>
      <c r="B17" t="s">
        <v>411</v>
      </c>
      <c r="C17" t="s">
        <v>103</v>
      </c>
      <c r="D17" t="s">
        <v>365</v>
      </c>
      <c r="E17" t="s">
        <v>400</v>
      </c>
      <c r="F17" s="4">
        <v>45862.609791967603</v>
      </c>
      <c r="G17" s="4">
        <v>45862.832474212963</v>
      </c>
      <c r="H17">
        <v>5.3</v>
      </c>
      <c r="I17" t="s">
        <v>9</v>
      </c>
      <c r="J17" t="s">
        <v>323</v>
      </c>
    </row>
    <row r="18" spans="1:10">
      <c r="A18" t="s">
        <v>412</v>
      </c>
      <c r="B18" t="s">
        <v>413</v>
      </c>
      <c r="C18" t="s">
        <v>190</v>
      </c>
      <c r="D18" t="s">
        <v>399</v>
      </c>
      <c r="E18" t="s">
        <v>414</v>
      </c>
      <c r="F18" s="4">
        <v>45890.769650173614</v>
      </c>
      <c r="G18" s="4">
        <v>45891.039283124999</v>
      </c>
      <c r="H18">
        <v>6.5</v>
      </c>
      <c r="I18" t="s">
        <v>9</v>
      </c>
      <c r="J18" t="s">
        <v>323</v>
      </c>
    </row>
    <row r="19" spans="1:10">
      <c r="A19" t="s">
        <v>415</v>
      </c>
      <c r="B19" t="s">
        <v>416</v>
      </c>
      <c r="C19" t="s">
        <v>194</v>
      </c>
      <c r="D19" t="s">
        <v>417</v>
      </c>
      <c r="E19" t="s">
        <v>400</v>
      </c>
      <c r="F19" s="4">
        <v>46101.530910254631</v>
      </c>
      <c r="G19" s="4">
        <v>46101.752966770837</v>
      </c>
      <c r="H19">
        <v>5.3</v>
      </c>
      <c r="I19" t="s">
        <v>12</v>
      </c>
      <c r="J19" t="s">
        <v>335</v>
      </c>
    </row>
    <row r="20" spans="1:10">
      <c r="A20" t="s">
        <v>418</v>
      </c>
      <c r="B20" t="s">
        <v>419</v>
      </c>
      <c r="C20" t="s">
        <v>228</v>
      </c>
      <c r="D20" t="s">
        <v>369</v>
      </c>
      <c r="E20" t="s">
        <v>370</v>
      </c>
      <c r="F20" s="4">
        <v>46011.345754699083</v>
      </c>
      <c r="G20" s="4">
        <v>46011.60334277778</v>
      </c>
      <c r="H20">
        <v>6.2</v>
      </c>
      <c r="I20" t="s">
        <v>9</v>
      </c>
      <c r="J20" t="s">
        <v>335</v>
      </c>
    </row>
    <row r="21" spans="1:10">
      <c r="A21" t="s">
        <v>420</v>
      </c>
      <c r="B21" t="s">
        <v>421</v>
      </c>
      <c r="C21" t="s">
        <v>245</v>
      </c>
      <c r="D21" t="s">
        <v>384</v>
      </c>
      <c r="E21" t="s">
        <v>366</v>
      </c>
      <c r="F21" s="4">
        <v>45871.611905219906</v>
      </c>
      <c r="G21" s="4">
        <v>45871.781437199083</v>
      </c>
      <c r="H21">
        <v>4.0999999999999996</v>
      </c>
      <c r="I21" t="s">
        <v>9</v>
      </c>
      <c r="J21" t="s">
        <v>335</v>
      </c>
    </row>
    <row r="22" spans="1:10">
      <c r="A22" t="s">
        <v>422</v>
      </c>
      <c r="B22" t="s">
        <v>423</v>
      </c>
      <c r="C22" t="s">
        <v>34</v>
      </c>
      <c r="D22" t="s">
        <v>369</v>
      </c>
      <c r="E22" t="s">
        <v>414</v>
      </c>
      <c r="F22" s="4">
        <v>46037.123098275457</v>
      </c>
      <c r="G22" s="4">
        <v>46037.310137685177</v>
      </c>
      <c r="H22">
        <v>4.5</v>
      </c>
      <c r="I22" t="s">
        <v>9</v>
      </c>
      <c r="J22" t="s">
        <v>328</v>
      </c>
    </row>
    <row r="23" spans="1:10">
      <c r="A23" t="s">
        <v>424</v>
      </c>
      <c r="B23" t="s">
        <v>425</v>
      </c>
      <c r="C23" t="s">
        <v>124</v>
      </c>
      <c r="D23" t="s">
        <v>377</v>
      </c>
      <c r="E23" t="s">
        <v>387</v>
      </c>
      <c r="F23" s="4">
        <v>46049.340276365743</v>
      </c>
      <c r="G23" s="4">
        <v>46049.437761793983</v>
      </c>
      <c r="H23">
        <v>2.2999999999999998</v>
      </c>
      <c r="I23" t="s">
        <v>9</v>
      </c>
      <c r="J23" t="s">
        <v>323</v>
      </c>
    </row>
    <row r="24" spans="1:10">
      <c r="A24" t="s">
        <v>426</v>
      </c>
      <c r="B24" t="s">
        <v>427</v>
      </c>
      <c r="C24" t="s">
        <v>163</v>
      </c>
      <c r="D24" t="s">
        <v>417</v>
      </c>
      <c r="E24" t="s">
        <v>374</v>
      </c>
      <c r="F24" s="4">
        <v>46097.398377187499</v>
      </c>
      <c r="G24" s="4">
        <v>46097.671373344907</v>
      </c>
      <c r="H24">
        <v>6.6</v>
      </c>
      <c r="I24" t="s">
        <v>9</v>
      </c>
      <c r="J24" t="s">
        <v>328</v>
      </c>
    </row>
    <row r="25" spans="1:10">
      <c r="A25" t="s">
        <v>428</v>
      </c>
      <c r="B25" t="s">
        <v>429</v>
      </c>
      <c r="C25" t="s">
        <v>49</v>
      </c>
      <c r="D25" t="s">
        <v>373</v>
      </c>
      <c r="E25" t="s">
        <v>374</v>
      </c>
      <c r="F25" s="4">
        <v>46099.682693483803</v>
      </c>
      <c r="G25" s="4">
        <v>46099.857112152778</v>
      </c>
      <c r="H25">
        <v>4.2</v>
      </c>
      <c r="I25" t="s">
        <v>9</v>
      </c>
      <c r="J25" t="s">
        <v>328</v>
      </c>
    </row>
    <row r="26" spans="1:10">
      <c r="A26" t="s">
        <v>430</v>
      </c>
      <c r="B26" t="s">
        <v>431</v>
      </c>
      <c r="C26" t="s">
        <v>185</v>
      </c>
      <c r="D26" t="s">
        <v>365</v>
      </c>
      <c r="E26" t="s">
        <v>403</v>
      </c>
      <c r="F26" s="4">
        <v>46141.363110335653</v>
      </c>
      <c r="G26" s="4">
        <v>46141.513611296286</v>
      </c>
      <c r="H26">
        <v>3.6</v>
      </c>
      <c r="I26" t="s">
        <v>9</v>
      </c>
      <c r="J26" t="s">
        <v>328</v>
      </c>
    </row>
    <row r="27" spans="1:10">
      <c r="A27" t="s">
        <v>432</v>
      </c>
      <c r="B27" t="s">
        <v>433</v>
      </c>
      <c r="C27" t="s">
        <v>7</v>
      </c>
      <c r="D27" t="s">
        <v>392</v>
      </c>
      <c r="E27" t="s">
        <v>370</v>
      </c>
      <c r="F27" s="4">
        <v>45949.350922013888</v>
      </c>
      <c r="G27" s="4">
        <v>45949.400200682867</v>
      </c>
      <c r="H27">
        <v>1.2</v>
      </c>
      <c r="I27" t="s">
        <v>9</v>
      </c>
      <c r="J27" t="s">
        <v>335</v>
      </c>
    </row>
    <row r="28" spans="1:10">
      <c r="A28" t="s">
        <v>434</v>
      </c>
      <c r="B28" t="s">
        <v>435</v>
      </c>
      <c r="C28" t="s">
        <v>163</v>
      </c>
      <c r="D28" t="s">
        <v>373</v>
      </c>
      <c r="E28" t="s">
        <v>370</v>
      </c>
      <c r="F28" s="4">
        <v>46076.636802789348</v>
      </c>
      <c r="G28" s="4">
        <v>46076.7026468287</v>
      </c>
      <c r="H28">
        <v>1.6</v>
      </c>
      <c r="I28" t="s">
        <v>9</v>
      </c>
      <c r="J28" t="s">
        <v>323</v>
      </c>
    </row>
    <row r="29" spans="1:10">
      <c r="A29" t="s">
        <v>436</v>
      </c>
      <c r="B29" t="s">
        <v>437</v>
      </c>
      <c r="C29" t="s">
        <v>225</v>
      </c>
      <c r="D29" t="s">
        <v>365</v>
      </c>
      <c r="E29" t="s">
        <v>393</v>
      </c>
      <c r="F29" s="4">
        <v>46079.437333553236</v>
      </c>
      <c r="G29" s="4">
        <v>46079.755718368047</v>
      </c>
      <c r="H29">
        <v>7.6</v>
      </c>
      <c r="I29" t="s">
        <v>9</v>
      </c>
      <c r="J29" t="s">
        <v>323</v>
      </c>
    </row>
    <row r="30" spans="1:10">
      <c r="A30" t="s">
        <v>438</v>
      </c>
      <c r="B30" t="s">
        <v>439</v>
      </c>
      <c r="C30" t="s">
        <v>208</v>
      </c>
      <c r="D30" t="s">
        <v>399</v>
      </c>
      <c r="E30" t="s">
        <v>440</v>
      </c>
      <c r="F30" s="4">
        <v>45961.225024340281</v>
      </c>
      <c r="G30" s="4">
        <v>45961.347511018517</v>
      </c>
      <c r="H30">
        <v>2.9</v>
      </c>
      <c r="I30" t="s">
        <v>12</v>
      </c>
      <c r="J30" t="s">
        <v>328</v>
      </c>
    </row>
    <row r="31" spans="1:10">
      <c r="A31" t="s">
        <v>441</v>
      </c>
      <c r="B31" t="s">
        <v>442</v>
      </c>
      <c r="C31" t="s">
        <v>103</v>
      </c>
      <c r="D31" t="s">
        <v>443</v>
      </c>
      <c r="E31" t="s">
        <v>374</v>
      </c>
      <c r="F31" s="4">
        <v>45879.279397812497</v>
      </c>
      <c r="G31" s="4">
        <v>45879.331088715277</v>
      </c>
      <c r="H31">
        <v>1.2</v>
      </c>
      <c r="I31" t="s">
        <v>12</v>
      </c>
      <c r="J31" t="s">
        <v>323</v>
      </c>
    </row>
    <row r="32" spans="1:10">
      <c r="A32" t="s">
        <v>444</v>
      </c>
      <c r="B32" t="s">
        <v>445</v>
      </c>
      <c r="C32" t="s">
        <v>295</v>
      </c>
      <c r="D32" t="s">
        <v>377</v>
      </c>
      <c r="E32" t="s">
        <v>403</v>
      </c>
      <c r="F32" s="4">
        <v>46015.955020381953</v>
      </c>
      <c r="G32" s="4">
        <v>46016.270096689812</v>
      </c>
      <c r="H32">
        <v>7.6</v>
      </c>
      <c r="I32" t="s">
        <v>9</v>
      </c>
      <c r="J32" t="s">
        <v>328</v>
      </c>
    </row>
    <row r="33" spans="1:10">
      <c r="A33" t="s">
        <v>446</v>
      </c>
      <c r="B33" t="s">
        <v>447</v>
      </c>
      <c r="C33" t="s">
        <v>127</v>
      </c>
      <c r="D33" t="s">
        <v>365</v>
      </c>
      <c r="E33" t="s">
        <v>374</v>
      </c>
      <c r="F33" s="4">
        <v>45961.613851354166</v>
      </c>
      <c r="G33" s="4">
        <v>45961.869726481476</v>
      </c>
      <c r="H33">
        <v>6.1</v>
      </c>
      <c r="I33" t="s">
        <v>9</v>
      </c>
      <c r="J33" t="s">
        <v>335</v>
      </c>
    </row>
    <row r="34" spans="1:10">
      <c r="A34" t="s">
        <v>448</v>
      </c>
      <c r="B34" t="s">
        <v>449</v>
      </c>
      <c r="C34" t="s">
        <v>163</v>
      </c>
      <c r="D34" t="s">
        <v>365</v>
      </c>
      <c r="E34" t="s">
        <v>440</v>
      </c>
      <c r="F34" s="4">
        <v>45880.768823668979</v>
      </c>
      <c r="G34" s="4">
        <v>45880.947288645832</v>
      </c>
      <c r="H34">
        <v>4.3</v>
      </c>
      <c r="I34" t="s">
        <v>9</v>
      </c>
      <c r="J34" t="s">
        <v>323</v>
      </c>
    </row>
    <row r="35" spans="1:10">
      <c r="A35" t="s">
        <v>450</v>
      </c>
      <c r="B35" t="s">
        <v>451</v>
      </c>
      <c r="C35" t="s">
        <v>16</v>
      </c>
      <c r="D35" t="s">
        <v>377</v>
      </c>
      <c r="E35" t="s">
        <v>440</v>
      </c>
      <c r="F35" s="4">
        <v>46130.828387569447</v>
      </c>
      <c r="G35" s="4">
        <v>46130.994478263892</v>
      </c>
      <c r="H35">
        <v>4</v>
      </c>
      <c r="I35" t="s">
        <v>9</v>
      </c>
      <c r="J35" t="s">
        <v>335</v>
      </c>
    </row>
    <row r="36" spans="1:10">
      <c r="A36" t="s">
        <v>452</v>
      </c>
      <c r="B36" t="s">
        <v>453</v>
      </c>
      <c r="C36" t="s">
        <v>249</v>
      </c>
      <c r="D36" t="s">
        <v>384</v>
      </c>
      <c r="E36" t="s">
        <v>396</v>
      </c>
      <c r="F36" s="4">
        <v>45988.534326388894</v>
      </c>
      <c r="G36" s="4">
        <v>45988.753141377318</v>
      </c>
      <c r="H36">
        <v>5.3</v>
      </c>
      <c r="I36" t="s">
        <v>9</v>
      </c>
      <c r="J36" t="s">
        <v>335</v>
      </c>
    </row>
    <row r="37" spans="1:10">
      <c r="A37" t="s">
        <v>454</v>
      </c>
      <c r="B37" t="s">
        <v>455</v>
      </c>
      <c r="C37" t="s">
        <v>197</v>
      </c>
      <c r="D37" t="s">
        <v>384</v>
      </c>
      <c r="E37" t="s">
        <v>456</v>
      </c>
      <c r="F37" s="4">
        <v>46108.799020833343</v>
      </c>
      <c r="G37" s="4">
        <v>46109.120940011577</v>
      </c>
      <c r="H37">
        <v>7.7</v>
      </c>
      <c r="I37" t="s">
        <v>9</v>
      </c>
      <c r="J37" t="s">
        <v>335</v>
      </c>
    </row>
    <row r="38" spans="1:10">
      <c r="A38" t="s">
        <v>457</v>
      </c>
      <c r="B38" t="s">
        <v>458</v>
      </c>
      <c r="C38" t="s">
        <v>73</v>
      </c>
      <c r="D38" t="s">
        <v>392</v>
      </c>
      <c r="E38" t="s">
        <v>400</v>
      </c>
      <c r="F38" s="4">
        <v>46147.246776180553</v>
      </c>
      <c r="G38" s="4">
        <v>46147.471219166669</v>
      </c>
      <c r="H38">
        <v>5.4</v>
      </c>
      <c r="I38" t="s">
        <v>12</v>
      </c>
      <c r="J38" t="s">
        <v>323</v>
      </c>
    </row>
    <row r="39" spans="1:10">
      <c r="A39" t="s">
        <v>459</v>
      </c>
      <c r="B39" t="s">
        <v>460</v>
      </c>
      <c r="C39" t="s">
        <v>87</v>
      </c>
      <c r="D39" t="s">
        <v>399</v>
      </c>
      <c r="E39" t="s">
        <v>440</v>
      </c>
      <c r="F39" s="4">
        <v>46025.883804247693</v>
      </c>
      <c r="G39" s="4">
        <v>46025.930858946762</v>
      </c>
      <c r="H39">
        <v>1.1000000000000001</v>
      </c>
      <c r="I39" t="s">
        <v>9</v>
      </c>
      <c r="J39" t="s">
        <v>323</v>
      </c>
    </row>
    <row r="40" spans="1:10">
      <c r="A40" t="s">
        <v>461</v>
      </c>
      <c r="B40" t="s">
        <v>462</v>
      </c>
      <c r="C40" t="s">
        <v>91</v>
      </c>
      <c r="D40" t="s">
        <v>384</v>
      </c>
      <c r="E40" t="s">
        <v>387</v>
      </c>
      <c r="F40" s="4">
        <v>45894.026880613434</v>
      </c>
      <c r="G40" s="4">
        <v>45894.092203645843</v>
      </c>
      <c r="H40">
        <v>1.6</v>
      </c>
      <c r="I40" t="s">
        <v>9</v>
      </c>
      <c r="J40" t="s">
        <v>328</v>
      </c>
    </row>
    <row r="41" spans="1:10">
      <c r="A41" t="s">
        <v>463</v>
      </c>
      <c r="B41" t="s">
        <v>464</v>
      </c>
      <c r="C41" t="s">
        <v>286</v>
      </c>
      <c r="D41" t="s">
        <v>369</v>
      </c>
      <c r="E41" t="s">
        <v>393</v>
      </c>
      <c r="F41" s="4">
        <v>45940.694120011583</v>
      </c>
      <c r="G41" s="4">
        <v>45940.882933229157</v>
      </c>
      <c r="H41">
        <v>4.5</v>
      </c>
      <c r="I41" t="s">
        <v>9</v>
      </c>
      <c r="J41" t="s">
        <v>323</v>
      </c>
    </row>
    <row r="42" spans="1:10">
      <c r="A42" t="s">
        <v>465</v>
      </c>
      <c r="B42" t="s">
        <v>466</v>
      </c>
      <c r="C42" t="s">
        <v>142</v>
      </c>
      <c r="D42" t="s">
        <v>467</v>
      </c>
      <c r="E42" t="s">
        <v>440</v>
      </c>
      <c r="F42" s="4">
        <v>45947.183503043983</v>
      </c>
      <c r="G42" s="4">
        <v>45947.204649201391</v>
      </c>
      <c r="H42">
        <v>0.5</v>
      </c>
      <c r="I42" t="s">
        <v>9</v>
      </c>
      <c r="J42" t="s">
        <v>323</v>
      </c>
    </row>
    <row r="43" spans="1:10">
      <c r="A43" t="s">
        <v>468</v>
      </c>
      <c r="B43" t="s">
        <v>469</v>
      </c>
      <c r="C43" t="s">
        <v>34</v>
      </c>
      <c r="D43" t="s">
        <v>384</v>
      </c>
      <c r="E43" t="s">
        <v>456</v>
      </c>
      <c r="F43" s="4">
        <v>45908.296480682868</v>
      </c>
      <c r="G43" s="4">
        <v>45908.621089583343</v>
      </c>
      <c r="H43">
        <v>7.8</v>
      </c>
      <c r="I43" t="s">
        <v>12</v>
      </c>
      <c r="J43" t="s">
        <v>328</v>
      </c>
    </row>
    <row r="44" spans="1:10">
      <c r="A44" t="s">
        <v>470</v>
      </c>
      <c r="B44" t="s">
        <v>471</v>
      </c>
      <c r="C44" t="s">
        <v>118</v>
      </c>
      <c r="D44" t="s">
        <v>365</v>
      </c>
      <c r="E44" t="s">
        <v>400</v>
      </c>
      <c r="F44" s="4">
        <v>46047.334833032408</v>
      </c>
      <c r="G44" s="4">
        <v>46047.434069166673</v>
      </c>
      <c r="H44">
        <v>2.4</v>
      </c>
      <c r="I44" t="s">
        <v>9</v>
      </c>
      <c r="J44" t="s">
        <v>335</v>
      </c>
    </row>
    <row r="45" spans="1:10">
      <c r="A45" t="s">
        <v>472</v>
      </c>
      <c r="B45" t="s">
        <v>473</v>
      </c>
      <c r="C45" t="s">
        <v>106</v>
      </c>
      <c r="D45" t="s">
        <v>392</v>
      </c>
      <c r="E45" t="s">
        <v>414</v>
      </c>
      <c r="F45" s="4">
        <v>45945.868903495371</v>
      </c>
      <c r="G45" s="4">
        <v>45945.956222499997</v>
      </c>
      <c r="H45">
        <v>2.1</v>
      </c>
      <c r="I45" t="s">
        <v>9</v>
      </c>
      <c r="J45" t="s">
        <v>335</v>
      </c>
    </row>
    <row r="46" spans="1:10">
      <c r="A46" t="s">
        <v>474</v>
      </c>
      <c r="B46" t="s">
        <v>475</v>
      </c>
      <c r="C46" t="s">
        <v>40</v>
      </c>
      <c r="D46" t="s">
        <v>476</v>
      </c>
      <c r="E46" t="s">
        <v>387</v>
      </c>
      <c r="F46" s="4">
        <v>45890.582362222223</v>
      </c>
      <c r="G46" s="4">
        <v>45890.834190231479</v>
      </c>
      <c r="H46">
        <v>6</v>
      </c>
      <c r="I46" t="s">
        <v>9</v>
      </c>
      <c r="J46" t="s">
        <v>328</v>
      </c>
    </row>
    <row r="47" spans="1:10">
      <c r="A47" t="s">
        <v>477</v>
      </c>
      <c r="B47" t="s">
        <v>478</v>
      </c>
      <c r="C47" t="s">
        <v>51</v>
      </c>
      <c r="D47" t="s">
        <v>417</v>
      </c>
      <c r="E47" t="s">
        <v>396</v>
      </c>
      <c r="F47" s="4">
        <v>46035.927067789351</v>
      </c>
      <c r="G47" s="4">
        <v>46036.166160289351</v>
      </c>
      <c r="H47">
        <v>5.7</v>
      </c>
      <c r="I47" t="s">
        <v>9</v>
      </c>
      <c r="J47" t="s">
        <v>335</v>
      </c>
    </row>
    <row r="48" spans="1:10">
      <c r="A48" t="s">
        <v>479</v>
      </c>
      <c r="B48" t="s">
        <v>480</v>
      </c>
      <c r="C48" t="s">
        <v>285</v>
      </c>
      <c r="D48" t="s">
        <v>476</v>
      </c>
      <c r="E48" t="s">
        <v>403</v>
      </c>
      <c r="F48" s="4">
        <v>45856.80623790509</v>
      </c>
      <c r="G48" s="4">
        <v>45857.101533518522</v>
      </c>
      <c r="H48">
        <v>7.1</v>
      </c>
      <c r="I48" t="s">
        <v>12</v>
      </c>
      <c r="J48" t="s">
        <v>328</v>
      </c>
    </row>
    <row r="49" spans="1:10">
      <c r="A49" t="s">
        <v>481</v>
      </c>
      <c r="B49" t="s">
        <v>482</v>
      </c>
      <c r="C49" t="s">
        <v>11</v>
      </c>
      <c r="D49" t="s">
        <v>467</v>
      </c>
      <c r="E49" t="s">
        <v>370</v>
      </c>
      <c r="F49" s="4">
        <v>45893.50208726852</v>
      </c>
      <c r="G49" s="4">
        <v>45893.622390590281</v>
      </c>
      <c r="H49">
        <v>2.9</v>
      </c>
      <c r="I49" t="s">
        <v>9</v>
      </c>
      <c r="J49" t="s">
        <v>323</v>
      </c>
    </row>
    <row r="50" spans="1:10">
      <c r="A50" t="s">
        <v>483</v>
      </c>
      <c r="B50" t="s">
        <v>484</v>
      </c>
      <c r="C50" t="s">
        <v>71</v>
      </c>
      <c r="D50" t="s">
        <v>392</v>
      </c>
      <c r="E50" t="s">
        <v>403</v>
      </c>
      <c r="F50" s="4">
        <v>45987.613819247686</v>
      </c>
      <c r="G50" s="4">
        <v>45987.940790185188</v>
      </c>
      <c r="H50">
        <v>7.8</v>
      </c>
      <c r="I50" t="s">
        <v>9</v>
      </c>
      <c r="J50" t="s">
        <v>328</v>
      </c>
    </row>
    <row r="51" spans="1:10">
      <c r="A51" t="s">
        <v>485</v>
      </c>
      <c r="B51" t="s">
        <v>486</v>
      </c>
      <c r="C51" t="s">
        <v>27</v>
      </c>
      <c r="D51" t="s">
        <v>417</v>
      </c>
      <c r="E51" t="s">
        <v>393</v>
      </c>
      <c r="F51" s="4">
        <v>45891.754125891202</v>
      </c>
      <c r="G51" s="4">
        <v>45892.08215357639</v>
      </c>
      <c r="H51">
        <v>7.9</v>
      </c>
      <c r="I51" t="s">
        <v>9</v>
      </c>
      <c r="J51" t="s">
        <v>335</v>
      </c>
    </row>
    <row r="52" spans="1:10">
      <c r="A52" t="s">
        <v>487</v>
      </c>
      <c r="B52" t="s">
        <v>488</v>
      </c>
      <c r="C52" t="s">
        <v>202</v>
      </c>
      <c r="D52" t="s">
        <v>373</v>
      </c>
      <c r="E52" t="s">
        <v>400</v>
      </c>
      <c r="F52" s="4">
        <v>46079.03606997685</v>
      </c>
      <c r="G52" s="4">
        <v>46079.1595462037</v>
      </c>
      <c r="H52">
        <v>3</v>
      </c>
      <c r="I52" t="s">
        <v>9</v>
      </c>
      <c r="J52" t="s">
        <v>335</v>
      </c>
    </row>
    <row r="53" spans="1:10">
      <c r="A53" t="s">
        <v>489</v>
      </c>
      <c r="B53" t="s">
        <v>490</v>
      </c>
      <c r="C53" t="s">
        <v>180</v>
      </c>
      <c r="D53" t="s">
        <v>417</v>
      </c>
      <c r="E53" t="s">
        <v>440</v>
      </c>
      <c r="F53" s="4">
        <v>46034.251324733799</v>
      </c>
      <c r="G53" s="4">
        <v>46034.272797905091</v>
      </c>
      <c r="H53">
        <v>0.5</v>
      </c>
      <c r="I53" t="s">
        <v>9</v>
      </c>
      <c r="J53" t="s">
        <v>335</v>
      </c>
    </row>
    <row r="54" spans="1:10">
      <c r="A54" t="s">
        <v>491</v>
      </c>
      <c r="B54" t="s">
        <v>492</v>
      </c>
      <c r="C54" t="s">
        <v>185</v>
      </c>
      <c r="D54" t="s">
        <v>369</v>
      </c>
      <c r="E54" t="s">
        <v>440</v>
      </c>
      <c r="F54" s="4">
        <v>46124.531209849527</v>
      </c>
      <c r="G54" s="4">
        <v>46124.681156631937</v>
      </c>
      <c r="H54">
        <v>3.6</v>
      </c>
      <c r="I54" t="s">
        <v>9</v>
      </c>
      <c r="J54" t="s">
        <v>335</v>
      </c>
    </row>
    <row r="55" spans="1:10">
      <c r="A55" t="s">
        <v>493</v>
      </c>
      <c r="B55" t="s">
        <v>494</v>
      </c>
      <c r="C55" t="s">
        <v>225</v>
      </c>
      <c r="D55" t="s">
        <v>392</v>
      </c>
      <c r="E55" t="s">
        <v>403</v>
      </c>
      <c r="F55" s="4">
        <v>45847.873420960648</v>
      </c>
      <c r="G55" s="4">
        <v>45848.062420381953</v>
      </c>
      <c r="H55">
        <v>4.5</v>
      </c>
      <c r="I55" t="s">
        <v>9</v>
      </c>
      <c r="J55" t="s">
        <v>328</v>
      </c>
    </row>
    <row r="56" spans="1:10">
      <c r="A56" t="s">
        <v>495</v>
      </c>
      <c r="B56" t="s">
        <v>496</v>
      </c>
      <c r="C56" t="s">
        <v>262</v>
      </c>
      <c r="D56" t="s">
        <v>443</v>
      </c>
      <c r="E56" t="s">
        <v>400</v>
      </c>
      <c r="F56" s="4">
        <v>46097.728569756953</v>
      </c>
      <c r="G56" s="4">
        <v>46097.917731006943</v>
      </c>
      <c r="H56">
        <v>4.5</v>
      </c>
      <c r="I56" t="s">
        <v>9</v>
      </c>
      <c r="J56" t="s">
        <v>328</v>
      </c>
    </row>
    <row r="57" spans="1:10">
      <c r="A57" t="s">
        <v>497</v>
      </c>
      <c r="B57" t="s">
        <v>498</v>
      </c>
      <c r="C57" t="s">
        <v>294</v>
      </c>
      <c r="D57" t="s">
        <v>476</v>
      </c>
      <c r="E57" t="s">
        <v>400</v>
      </c>
      <c r="F57" s="4">
        <v>45883.524043877318</v>
      </c>
      <c r="G57" s="4">
        <v>45883.583444583332</v>
      </c>
      <c r="H57">
        <v>1.4</v>
      </c>
      <c r="I57" t="s">
        <v>9</v>
      </c>
      <c r="J57" t="s">
        <v>328</v>
      </c>
    </row>
    <row r="58" spans="1:10">
      <c r="A58" t="s">
        <v>499</v>
      </c>
      <c r="B58" t="s">
        <v>500</v>
      </c>
      <c r="C58" t="s">
        <v>66</v>
      </c>
      <c r="D58" t="s">
        <v>443</v>
      </c>
      <c r="E58" t="s">
        <v>370</v>
      </c>
      <c r="F58" s="4">
        <v>46116.00807369213</v>
      </c>
      <c r="G58" s="4">
        <v>46116.140771319442</v>
      </c>
      <c r="H58">
        <v>3.2</v>
      </c>
      <c r="I58" t="s">
        <v>12</v>
      </c>
      <c r="J58" t="s">
        <v>335</v>
      </c>
    </row>
    <row r="59" spans="1:10">
      <c r="A59" t="s">
        <v>501</v>
      </c>
      <c r="B59" t="s">
        <v>502</v>
      </c>
      <c r="C59" t="s">
        <v>61</v>
      </c>
      <c r="D59" t="s">
        <v>467</v>
      </c>
      <c r="E59" t="s">
        <v>378</v>
      </c>
      <c r="F59" s="4">
        <v>46012.188421620369</v>
      </c>
      <c r="G59" s="4">
        <v>46012.325030162043</v>
      </c>
      <c r="H59">
        <v>3.3</v>
      </c>
      <c r="I59" t="s">
        <v>12</v>
      </c>
      <c r="J59" t="s">
        <v>323</v>
      </c>
    </row>
    <row r="60" spans="1:10">
      <c r="A60" t="s">
        <v>503</v>
      </c>
      <c r="B60" t="s">
        <v>492</v>
      </c>
      <c r="C60" t="s">
        <v>185</v>
      </c>
      <c r="D60" t="s">
        <v>369</v>
      </c>
      <c r="E60" t="s">
        <v>440</v>
      </c>
      <c r="F60" s="4">
        <v>46124.482331412037</v>
      </c>
      <c r="G60" s="4">
        <v>46124.509346516214</v>
      </c>
      <c r="H60">
        <v>0.6</v>
      </c>
      <c r="I60" t="s">
        <v>9</v>
      </c>
      <c r="J60" t="s">
        <v>335</v>
      </c>
    </row>
    <row r="61" spans="1:10">
      <c r="A61" t="s">
        <v>504</v>
      </c>
      <c r="B61" t="s">
        <v>505</v>
      </c>
      <c r="C61" t="s">
        <v>147</v>
      </c>
      <c r="D61" t="s">
        <v>369</v>
      </c>
      <c r="E61" t="s">
        <v>393</v>
      </c>
      <c r="F61" s="4">
        <v>45941.760826574071</v>
      </c>
      <c r="G61" s="4">
        <v>45942.036747662038</v>
      </c>
      <c r="H61">
        <v>6.6</v>
      </c>
      <c r="I61" t="s">
        <v>9</v>
      </c>
      <c r="J61" t="s">
        <v>323</v>
      </c>
    </row>
    <row r="62" spans="1:10">
      <c r="A62" t="s">
        <v>506</v>
      </c>
      <c r="B62" t="s">
        <v>507</v>
      </c>
      <c r="C62" t="s">
        <v>112</v>
      </c>
      <c r="D62" t="s">
        <v>384</v>
      </c>
      <c r="E62" t="s">
        <v>456</v>
      </c>
      <c r="F62" s="4">
        <v>45965.99486230324</v>
      </c>
      <c r="G62" s="4">
        <v>45966.170010844908</v>
      </c>
      <c r="H62">
        <v>4.2</v>
      </c>
      <c r="I62" t="s">
        <v>9</v>
      </c>
      <c r="J62" t="s">
        <v>335</v>
      </c>
    </row>
    <row r="63" spans="1:10">
      <c r="A63" t="s">
        <v>508</v>
      </c>
      <c r="B63" t="s">
        <v>509</v>
      </c>
      <c r="C63" t="s">
        <v>56</v>
      </c>
      <c r="D63" t="s">
        <v>365</v>
      </c>
      <c r="E63" t="s">
        <v>403</v>
      </c>
      <c r="F63" s="4">
        <v>45842.314284513886</v>
      </c>
      <c r="G63" s="4">
        <v>45842.555132754627</v>
      </c>
      <c r="H63">
        <v>5.8</v>
      </c>
      <c r="I63" t="s">
        <v>9</v>
      </c>
      <c r="J63" t="s">
        <v>328</v>
      </c>
    </row>
    <row r="64" spans="1:10">
      <c r="A64" t="s">
        <v>510</v>
      </c>
      <c r="B64" t="s">
        <v>511</v>
      </c>
      <c r="C64" t="s">
        <v>260</v>
      </c>
      <c r="D64" t="s">
        <v>369</v>
      </c>
      <c r="E64" t="s">
        <v>393</v>
      </c>
      <c r="F64" s="4">
        <v>45907.713278148149</v>
      </c>
      <c r="G64" s="4">
        <v>45907.990712569437</v>
      </c>
      <c r="H64">
        <v>6.7</v>
      </c>
      <c r="I64" t="s">
        <v>9</v>
      </c>
      <c r="J64" t="s">
        <v>335</v>
      </c>
    </row>
    <row r="65" spans="1:10">
      <c r="A65" t="s">
        <v>512</v>
      </c>
      <c r="B65" t="s">
        <v>513</v>
      </c>
      <c r="C65" t="s">
        <v>18</v>
      </c>
      <c r="D65" t="s">
        <v>377</v>
      </c>
      <c r="E65" t="s">
        <v>374</v>
      </c>
      <c r="F65" s="4">
        <v>45844.593827268523</v>
      </c>
      <c r="G65" s="4">
        <v>45844.769039143517</v>
      </c>
      <c r="H65">
        <v>4.2</v>
      </c>
      <c r="I65" t="s">
        <v>9</v>
      </c>
      <c r="J65" t="s">
        <v>323</v>
      </c>
    </row>
    <row r="66" spans="1:10">
      <c r="A66" t="s">
        <v>514</v>
      </c>
      <c r="B66" t="s">
        <v>515</v>
      </c>
      <c r="C66" t="s">
        <v>285</v>
      </c>
      <c r="D66" t="s">
        <v>467</v>
      </c>
      <c r="E66" t="s">
        <v>396</v>
      </c>
      <c r="F66" s="4">
        <v>46080.015522847221</v>
      </c>
      <c r="G66" s="4">
        <v>46080.246411030093</v>
      </c>
      <c r="H66">
        <v>5.5</v>
      </c>
      <c r="I66" t="s">
        <v>9</v>
      </c>
      <c r="J66" t="s">
        <v>323</v>
      </c>
    </row>
    <row r="67" spans="1:10">
      <c r="A67" t="s">
        <v>516</v>
      </c>
      <c r="B67" t="s">
        <v>517</v>
      </c>
      <c r="C67" t="s">
        <v>194</v>
      </c>
      <c r="D67" t="s">
        <v>384</v>
      </c>
      <c r="E67" t="s">
        <v>440</v>
      </c>
      <c r="F67" s="4">
        <v>45854.379903506953</v>
      </c>
      <c r="G67" s="4">
        <v>45854.440813831017</v>
      </c>
      <c r="H67">
        <v>1.5</v>
      </c>
      <c r="I67" t="s">
        <v>12</v>
      </c>
      <c r="J67" t="s">
        <v>323</v>
      </c>
    </row>
    <row r="68" spans="1:10">
      <c r="A68" t="s">
        <v>518</v>
      </c>
      <c r="B68" t="s">
        <v>519</v>
      </c>
      <c r="C68" t="s">
        <v>34</v>
      </c>
      <c r="D68" t="s">
        <v>384</v>
      </c>
      <c r="E68" t="s">
        <v>370</v>
      </c>
      <c r="F68" s="4">
        <v>45846.111806099543</v>
      </c>
      <c r="G68" s="4">
        <v>45846.399976608787</v>
      </c>
      <c r="H68">
        <v>6.9</v>
      </c>
      <c r="I68" t="s">
        <v>9</v>
      </c>
      <c r="J68" t="s">
        <v>323</v>
      </c>
    </row>
    <row r="69" spans="1:10">
      <c r="A69" t="s">
        <v>520</v>
      </c>
      <c r="B69" t="s">
        <v>521</v>
      </c>
      <c r="C69" t="s">
        <v>49</v>
      </c>
      <c r="D69" t="s">
        <v>381</v>
      </c>
      <c r="E69" t="s">
        <v>440</v>
      </c>
      <c r="F69" s="4">
        <v>46108.486239039346</v>
      </c>
      <c r="G69" s="4">
        <v>46108.71894071759</v>
      </c>
      <c r="H69">
        <v>5.6</v>
      </c>
      <c r="I69" t="s">
        <v>9</v>
      </c>
      <c r="J69" t="s">
        <v>335</v>
      </c>
    </row>
    <row r="70" spans="1:10">
      <c r="A70" t="s">
        <v>522</v>
      </c>
      <c r="B70" t="s">
        <v>523</v>
      </c>
      <c r="C70" t="s">
        <v>140</v>
      </c>
      <c r="D70" t="s">
        <v>476</v>
      </c>
      <c r="E70" t="s">
        <v>396</v>
      </c>
      <c r="F70" s="4">
        <v>45865.567613854168</v>
      </c>
      <c r="G70" s="4">
        <v>45865.667485011567</v>
      </c>
      <c r="H70">
        <v>2.4</v>
      </c>
      <c r="I70" t="s">
        <v>9</v>
      </c>
      <c r="J70" t="s">
        <v>328</v>
      </c>
    </row>
    <row r="71" spans="1:10">
      <c r="A71" t="s">
        <v>524</v>
      </c>
      <c r="B71" t="s">
        <v>525</v>
      </c>
      <c r="C71" t="s">
        <v>11</v>
      </c>
      <c r="D71" t="s">
        <v>399</v>
      </c>
      <c r="E71" t="s">
        <v>374</v>
      </c>
      <c r="F71" s="4">
        <v>46052.215110543977</v>
      </c>
      <c r="G71" s="4">
        <v>46052.369417141213</v>
      </c>
      <c r="H71">
        <v>3.7</v>
      </c>
      <c r="I71" t="s">
        <v>9</v>
      </c>
      <c r="J71" t="s">
        <v>323</v>
      </c>
    </row>
    <row r="72" spans="1:10">
      <c r="A72" t="s">
        <v>526</v>
      </c>
      <c r="B72" t="s">
        <v>527</v>
      </c>
      <c r="C72" t="s">
        <v>105</v>
      </c>
      <c r="D72" t="s">
        <v>369</v>
      </c>
      <c r="E72" t="s">
        <v>393</v>
      </c>
      <c r="F72" s="4">
        <v>45991.543298321762</v>
      </c>
      <c r="G72" s="4">
        <v>45991.857493946758</v>
      </c>
      <c r="H72">
        <v>7.5</v>
      </c>
      <c r="I72" t="s">
        <v>9</v>
      </c>
      <c r="J72" t="s">
        <v>335</v>
      </c>
    </row>
    <row r="73" spans="1:10">
      <c r="A73" t="s">
        <v>528</v>
      </c>
      <c r="B73" t="s">
        <v>529</v>
      </c>
      <c r="C73" t="s">
        <v>183</v>
      </c>
      <c r="D73" t="s">
        <v>392</v>
      </c>
      <c r="E73" t="s">
        <v>374</v>
      </c>
      <c r="F73" s="4">
        <v>46126.183500810177</v>
      </c>
      <c r="G73" s="4">
        <v>46126.416888344909</v>
      </c>
      <c r="H73">
        <v>5.6</v>
      </c>
      <c r="I73" t="s">
        <v>9</v>
      </c>
      <c r="J73" t="s">
        <v>335</v>
      </c>
    </row>
    <row r="74" spans="1:10">
      <c r="A74" t="s">
        <v>530</v>
      </c>
      <c r="B74" t="s">
        <v>531</v>
      </c>
      <c r="C74" t="s">
        <v>226</v>
      </c>
      <c r="D74" t="s">
        <v>365</v>
      </c>
      <c r="E74" t="s">
        <v>366</v>
      </c>
      <c r="F74" s="4">
        <v>45854.28019208333</v>
      </c>
      <c r="G74" s="4">
        <v>45854.314608125002</v>
      </c>
      <c r="H74">
        <v>0.8</v>
      </c>
      <c r="I74" t="s">
        <v>9</v>
      </c>
      <c r="J74" t="s">
        <v>323</v>
      </c>
    </row>
    <row r="75" spans="1:10">
      <c r="A75" t="s">
        <v>532</v>
      </c>
      <c r="B75" t="s">
        <v>533</v>
      </c>
      <c r="C75" t="s">
        <v>295</v>
      </c>
      <c r="D75" t="s">
        <v>392</v>
      </c>
      <c r="E75" t="s">
        <v>378</v>
      </c>
      <c r="F75" s="4">
        <v>46039.259311006943</v>
      </c>
      <c r="G75" s="4">
        <v>46039.411413738417</v>
      </c>
      <c r="H75">
        <v>3.7</v>
      </c>
      <c r="I75" t="s">
        <v>9</v>
      </c>
      <c r="J75" t="s">
        <v>335</v>
      </c>
    </row>
    <row r="76" spans="1:10">
      <c r="A76" t="s">
        <v>534</v>
      </c>
      <c r="B76" t="s">
        <v>535</v>
      </c>
      <c r="C76" t="s">
        <v>51</v>
      </c>
      <c r="D76" t="s">
        <v>417</v>
      </c>
      <c r="E76" t="s">
        <v>403</v>
      </c>
      <c r="F76" s="4">
        <v>45938.386858865742</v>
      </c>
      <c r="G76" s="4">
        <v>45938.512287766207</v>
      </c>
      <c r="H76">
        <v>3</v>
      </c>
      <c r="I76" t="s">
        <v>9</v>
      </c>
      <c r="J76" t="s">
        <v>323</v>
      </c>
    </row>
    <row r="77" spans="1:10">
      <c r="A77" t="s">
        <v>536</v>
      </c>
      <c r="B77" t="s">
        <v>413</v>
      </c>
      <c r="C77" t="s">
        <v>190</v>
      </c>
      <c r="D77" t="s">
        <v>399</v>
      </c>
      <c r="E77" t="s">
        <v>414</v>
      </c>
      <c r="F77" s="4">
        <v>45892.094171365738</v>
      </c>
      <c r="G77" s="4">
        <v>45892.185513449083</v>
      </c>
      <c r="H77">
        <v>2.2000000000000002</v>
      </c>
      <c r="I77" t="s">
        <v>9</v>
      </c>
      <c r="J77" t="s">
        <v>323</v>
      </c>
    </row>
    <row r="78" spans="1:10">
      <c r="A78" t="s">
        <v>537</v>
      </c>
      <c r="B78" t="s">
        <v>538</v>
      </c>
      <c r="C78" t="s">
        <v>27</v>
      </c>
      <c r="D78" t="s">
        <v>365</v>
      </c>
      <c r="E78" t="s">
        <v>378</v>
      </c>
      <c r="F78" s="4">
        <v>45911.77805990741</v>
      </c>
      <c r="G78" s="4">
        <v>45911.860417245371</v>
      </c>
      <c r="H78">
        <v>2</v>
      </c>
      <c r="I78" t="s">
        <v>9</v>
      </c>
      <c r="J78" t="s">
        <v>335</v>
      </c>
    </row>
    <row r="79" spans="1:10">
      <c r="A79" t="s">
        <v>539</v>
      </c>
      <c r="B79" t="s">
        <v>540</v>
      </c>
      <c r="C79" t="s">
        <v>127</v>
      </c>
      <c r="D79" t="s">
        <v>399</v>
      </c>
      <c r="E79" t="s">
        <v>378</v>
      </c>
      <c r="F79" s="4">
        <v>45894.03328909722</v>
      </c>
      <c r="G79" s="4">
        <v>45894.084349340279</v>
      </c>
      <c r="H79">
        <v>1.2</v>
      </c>
      <c r="I79" t="s">
        <v>9</v>
      </c>
      <c r="J79" t="s">
        <v>328</v>
      </c>
    </row>
    <row r="80" spans="1:10">
      <c r="A80" t="s">
        <v>541</v>
      </c>
      <c r="B80" t="s">
        <v>542</v>
      </c>
      <c r="C80" t="s">
        <v>247</v>
      </c>
      <c r="D80" t="s">
        <v>381</v>
      </c>
      <c r="E80" t="s">
        <v>456</v>
      </c>
      <c r="F80" s="4">
        <v>46057.982039768518</v>
      </c>
      <c r="G80" s="4">
        <v>46058.198590949083</v>
      </c>
      <c r="H80">
        <v>5.2</v>
      </c>
      <c r="I80" t="s">
        <v>9</v>
      </c>
      <c r="J80" t="s">
        <v>328</v>
      </c>
    </row>
    <row r="81" spans="1:10">
      <c r="A81" t="s">
        <v>543</v>
      </c>
      <c r="B81" t="s">
        <v>544</v>
      </c>
      <c r="C81" t="s">
        <v>63</v>
      </c>
      <c r="D81" t="s">
        <v>467</v>
      </c>
      <c r="E81" t="s">
        <v>370</v>
      </c>
      <c r="F81" s="4">
        <v>46044.519496886584</v>
      </c>
      <c r="G81" s="4">
        <v>46044.688322881942</v>
      </c>
      <c r="H81">
        <v>4.0999999999999996</v>
      </c>
      <c r="I81" t="s">
        <v>9</v>
      </c>
      <c r="J81" t="s">
        <v>335</v>
      </c>
    </row>
    <row r="82" spans="1:10">
      <c r="A82" t="s">
        <v>545</v>
      </c>
      <c r="B82" t="s">
        <v>546</v>
      </c>
      <c r="C82" t="s">
        <v>197</v>
      </c>
      <c r="D82" t="s">
        <v>392</v>
      </c>
      <c r="E82" t="s">
        <v>456</v>
      </c>
      <c r="F82" s="4">
        <v>46032.128729548611</v>
      </c>
      <c r="G82" s="4">
        <v>46032.311961331019</v>
      </c>
      <c r="H82">
        <v>4.4000000000000004</v>
      </c>
      <c r="I82" t="s">
        <v>9</v>
      </c>
      <c r="J82" t="s">
        <v>328</v>
      </c>
    </row>
    <row r="83" spans="1:10">
      <c r="A83" t="s">
        <v>547</v>
      </c>
      <c r="B83" t="s">
        <v>548</v>
      </c>
      <c r="C83" t="s">
        <v>96</v>
      </c>
      <c r="D83" t="s">
        <v>399</v>
      </c>
      <c r="E83" t="s">
        <v>387</v>
      </c>
      <c r="F83" s="4">
        <v>46111.188830752311</v>
      </c>
      <c r="G83" s="4">
        <v>46111.403278634258</v>
      </c>
      <c r="H83">
        <v>5.0999999999999996</v>
      </c>
      <c r="I83" t="s">
        <v>9</v>
      </c>
      <c r="J83" t="s">
        <v>323</v>
      </c>
    </row>
    <row r="84" spans="1:10">
      <c r="A84" t="s">
        <v>549</v>
      </c>
      <c r="B84" t="s">
        <v>550</v>
      </c>
      <c r="C84" t="s">
        <v>97</v>
      </c>
      <c r="D84" t="s">
        <v>381</v>
      </c>
      <c r="E84" t="s">
        <v>393</v>
      </c>
      <c r="F84" s="4">
        <v>46073.673846400467</v>
      </c>
      <c r="G84" s="4">
        <v>46073.733687974527</v>
      </c>
      <c r="H84">
        <v>1.4</v>
      </c>
      <c r="I84" t="s">
        <v>9</v>
      </c>
      <c r="J84" t="s">
        <v>335</v>
      </c>
    </row>
    <row r="85" spans="1:10">
      <c r="A85" t="s">
        <v>551</v>
      </c>
      <c r="B85" t="s">
        <v>552</v>
      </c>
      <c r="C85" t="s">
        <v>7</v>
      </c>
      <c r="D85" t="s">
        <v>377</v>
      </c>
      <c r="E85" t="s">
        <v>400</v>
      </c>
      <c r="F85" s="4">
        <v>45947.459147893518</v>
      </c>
      <c r="G85" s="4">
        <v>45947.758132384261</v>
      </c>
      <c r="H85">
        <v>7.2</v>
      </c>
      <c r="I85" t="s">
        <v>9</v>
      </c>
      <c r="J85" t="s">
        <v>328</v>
      </c>
    </row>
    <row r="86" spans="1:10">
      <c r="A86" t="s">
        <v>553</v>
      </c>
      <c r="B86" t="s">
        <v>554</v>
      </c>
      <c r="C86" t="s">
        <v>140</v>
      </c>
      <c r="D86" t="s">
        <v>392</v>
      </c>
      <c r="E86" t="s">
        <v>396</v>
      </c>
      <c r="F86" s="4">
        <v>46092.277016805558</v>
      </c>
      <c r="G86" s="4">
        <v>46092.548596111112</v>
      </c>
      <c r="H86">
        <v>6.5</v>
      </c>
      <c r="I86" t="s">
        <v>12</v>
      </c>
      <c r="J86" t="s">
        <v>323</v>
      </c>
    </row>
    <row r="87" spans="1:10">
      <c r="A87" t="s">
        <v>555</v>
      </c>
      <c r="B87" t="s">
        <v>556</v>
      </c>
      <c r="C87" t="s">
        <v>138</v>
      </c>
      <c r="D87" t="s">
        <v>384</v>
      </c>
      <c r="E87" t="s">
        <v>414</v>
      </c>
      <c r="F87" s="4">
        <v>46133.823843437502</v>
      </c>
      <c r="G87" s="4">
        <v>46133.865236226848</v>
      </c>
      <c r="H87">
        <v>1</v>
      </c>
      <c r="I87" t="s">
        <v>9</v>
      </c>
      <c r="J87" t="s">
        <v>335</v>
      </c>
    </row>
    <row r="88" spans="1:10">
      <c r="A88" t="s">
        <v>557</v>
      </c>
      <c r="B88" t="s">
        <v>372</v>
      </c>
      <c r="C88" t="s">
        <v>295</v>
      </c>
      <c r="D88" t="s">
        <v>373</v>
      </c>
      <c r="E88" t="s">
        <v>374</v>
      </c>
      <c r="F88" s="4">
        <v>45951.605084641204</v>
      </c>
      <c r="G88" s="4">
        <v>45951.891520879632</v>
      </c>
      <c r="H88">
        <v>6.9</v>
      </c>
      <c r="I88" t="s">
        <v>9</v>
      </c>
      <c r="J88" t="s">
        <v>323</v>
      </c>
    </row>
    <row r="89" spans="1:10">
      <c r="A89" t="s">
        <v>558</v>
      </c>
      <c r="B89" t="s">
        <v>559</v>
      </c>
      <c r="C89" t="s">
        <v>192</v>
      </c>
      <c r="D89" t="s">
        <v>384</v>
      </c>
      <c r="E89" t="s">
        <v>440</v>
      </c>
      <c r="F89" s="4">
        <v>46002.528899432873</v>
      </c>
      <c r="G89" s="4">
        <v>46002.622580266201</v>
      </c>
      <c r="H89">
        <v>2.2000000000000002</v>
      </c>
      <c r="I89" t="s">
        <v>9</v>
      </c>
      <c r="J89" t="s">
        <v>335</v>
      </c>
    </row>
    <row r="90" spans="1:10">
      <c r="A90" t="s">
        <v>560</v>
      </c>
      <c r="B90" t="s">
        <v>515</v>
      </c>
      <c r="C90" t="s">
        <v>285</v>
      </c>
      <c r="D90" t="s">
        <v>467</v>
      </c>
      <c r="E90" t="s">
        <v>396</v>
      </c>
      <c r="F90" s="4">
        <v>46079.928939479163</v>
      </c>
      <c r="G90" s="4">
        <v>46080.091463831021</v>
      </c>
      <c r="H90">
        <v>3.9</v>
      </c>
      <c r="I90" t="s">
        <v>9</v>
      </c>
      <c r="J90" t="s">
        <v>323</v>
      </c>
    </row>
    <row r="91" spans="1:10">
      <c r="A91" t="s">
        <v>561</v>
      </c>
      <c r="B91" t="s">
        <v>562</v>
      </c>
      <c r="C91" t="s">
        <v>173</v>
      </c>
      <c r="D91" t="s">
        <v>373</v>
      </c>
      <c r="E91" t="s">
        <v>378</v>
      </c>
      <c r="F91" s="4">
        <v>45978.069319675917</v>
      </c>
      <c r="G91" s="4">
        <v>45978.283662557871</v>
      </c>
      <c r="H91">
        <v>5.0999999999999996</v>
      </c>
      <c r="I91" t="s">
        <v>9</v>
      </c>
      <c r="J91" t="s">
        <v>335</v>
      </c>
    </row>
    <row r="92" spans="1:10">
      <c r="A92" t="s">
        <v>563</v>
      </c>
      <c r="B92" t="s">
        <v>564</v>
      </c>
      <c r="C92" t="s">
        <v>40</v>
      </c>
      <c r="D92" t="s">
        <v>377</v>
      </c>
      <c r="E92" t="s">
        <v>403</v>
      </c>
      <c r="F92" s="4">
        <v>45883.871763518517</v>
      </c>
      <c r="G92" s="4">
        <v>45884.034495844913</v>
      </c>
      <c r="H92">
        <v>3.9</v>
      </c>
      <c r="I92" t="s">
        <v>9</v>
      </c>
      <c r="J92" t="s">
        <v>323</v>
      </c>
    </row>
    <row r="93" spans="1:10">
      <c r="A93" t="s">
        <v>565</v>
      </c>
      <c r="B93" t="s">
        <v>566</v>
      </c>
      <c r="C93" t="s">
        <v>253</v>
      </c>
      <c r="D93" t="s">
        <v>369</v>
      </c>
      <c r="E93" t="s">
        <v>370</v>
      </c>
      <c r="F93" s="4">
        <v>45910.451426412037</v>
      </c>
      <c r="G93" s="4">
        <v>45910.476099918982</v>
      </c>
      <c r="H93">
        <v>0.6</v>
      </c>
      <c r="I93" t="s">
        <v>9</v>
      </c>
      <c r="J93" t="s">
        <v>323</v>
      </c>
    </row>
    <row r="94" spans="1:10">
      <c r="A94" t="s">
        <v>567</v>
      </c>
      <c r="B94" t="s">
        <v>568</v>
      </c>
      <c r="C94" t="s">
        <v>162</v>
      </c>
      <c r="D94" t="s">
        <v>392</v>
      </c>
      <c r="E94" t="s">
        <v>440</v>
      </c>
      <c r="F94" s="4">
        <v>45995.301507164353</v>
      </c>
      <c r="G94" s="4">
        <v>45995.382845046297</v>
      </c>
      <c r="H94">
        <v>2</v>
      </c>
      <c r="I94" t="s">
        <v>9</v>
      </c>
      <c r="J94" t="s">
        <v>328</v>
      </c>
    </row>
    <row r="95" spans="1:10">
      <c r="A95" t="s">
        <v>569</v>
      </c>
      <c r="B95" t="s">
        <v>570</v>
      </c>
      <c r="C95" t="s">
        <v>73</v>
      </c>
      <c r="D95" t="s">
        <v>467</v>
      </c>
      <c r="E95" t="s">
        <v>403</v>
      </c>
      <c r="F95" s="4">
        <v>46138.290287754629</v>
      </c>
      <c r="G95" s="4">
        <v>46138.422180844907</v>
      </c>
      <c r="H95">
        <v>3.2</v>
      </c>
      <c r="I95" t="s">
        <v>9</v>
      </c>
      <c r="J95" t="s">
        <v>335</v>
      </c>
    </row>
    <row r="96" spans="1:10">
      <c r="A96" t="s">
        <v>571</v>
      </c>
      <c r="B96" t="s">
        <v>469</v>
      </c>
      <c r="C96" t="s">
        <v>34</v>
      </c>
      <c r="D96" t="s">
        <v>384</v>
      </c>
      <c r="E96" t="s">
        <v>456</v>
      </c>
      <c r="F96" s="4">
        <v>45908.45573991898</v>
      </c>
      <c r="G96" s="4">
        <v>45908.552558402778</v>
      </c>
      <c r="H96">
        <v>2.2999999999999998</v>
      </c>
      <c r="I96" t="s">
        <v>9</v>
      </c>
      <c r="J96" t="s">
        <v>328</v>
      </c>
    </row>
    <row r="97" spans="1:10">
      <c r="A97" t="s">
        <v>572</v>
      </c>
      <c r="B97" t="s">
        <v>573</v>
      </c>
      <c r="C97" t="s">
        <v>36</v>
      </c>
      <c r="D97" t="s">
        <v>365</v>
      </c>
      <c r="E97" t="s">
        <v>387</v>
      </c>
      <c r="F97" s="4">
        <v>45848.129127071763</v>
      </c>
      <c r="G97" s="4">
        <v>45848.332623622693</v>
      </c>
      <c r="H97">
        <v>4.9000000000000004</v>
      </c>
      <c r="I97" t="s">
        <v>9</v>
      </c>
      <c r="J97" t="s">
        <v>323</v>
      </c>
    </row>
    <row r="98" spans="1:10">
      <c r="A98" t="s">
        <v>574</v>
      </c>
      <c r="B98" t="s">
        <v>575</v>
      </c>
      <c r="C98" t="s">
        <v>21</v>
      </c>
      <c r="D98" t="s">
        <v>399</v>
      </c>
      <c r="E98" t="s">
        <v>440</v>
      </c>
      <c r="F98" s="4">
        <v>46087.666380625</v>
      </c>
      <c r="G98" s="4">
        <v>46087.784460289353</v>
      </c>
      <c r="H98">
        <v>2.8</v>
      </c>
      <c r="I98" t="s">
        <v>9</v>
      </c>
      <c r="J98" t="s">
        <v>335</v>
      </c>
    </row>
    <row r="99" spans="1:10">
      <c r="A99" t="s">
        <v>576</v>
      </c>
      <c r="B99" t="s">
        <v>577</v>
      </c>
      <c r="C99" t="s">
        <v>168</v>
      </c>
      <c r="D99" t="s">
        <v>384</v>
      </c>
      <c r="E99" t="s">
        <v>400</v>
      </c>
      <c r="F99" s="4">
        <v>46042.204331597219</v>
      </c>
      <c r="G99" s="4">
        <v>46042.321625682867</v>
      </c>
      <c r="H99">
        <v>2.8</v>
      </c>
      <c r="I99" t="s">
        <v>9</v>
      </c>
      <c r="J99" t="s">
        <v>323</v>
      </c>
    </row>
    <row r="100" spans="1:10">
      <c r="A100" t="s">
        <v>578</v>
      </c>
      <c r="B100" t="s">
        <v>579</v>
      </c>
      <c r="C100" t="s">
        <v>76</v>
      </c>
      <c r="D100" t="s">
        <v>373</v>
      </c>
      <c r="E100" t="s">
        <v>396</v>
      </c>
      <c r="F100" s="4">
        <v>46041.626960069443</v>
      </c>
      <c r="G100" s="4">
        <v>46041.809568576391</v>
      </c>
      <c r="H100">
        <v>4.4000000000000004</v>
      </c>
      <c r="I100" t="s">
        <v>9</v>
      </c>
      <c r="J100" t="s">
        <v>323</v>
      </c>
    </row>
    <row r="101" spans="1:10">
      <c r="A101" t="s">
        <v>580</v>
      </c>
      <c r="B101" t="s">
        <v>581</v>
      </c>
      <c r="C101" t="s">
        <v>131</v>
      </c>
      <c r="D101" t="s">
        <v>373</v>
      </c>
      <c r="E101" t="s">
        <v>387</v>
      </c>
      <c r="F101" s="4">
        <v>45982.744395682872</v>
      </c>
      <c r="G101" s="4">
        <v>45982.923700219908</v>
      </c>
      <c r="H101">
        <v>4.3</v>
      </c>
      <c r="I101" t="s">
        <v>9</v>
      </c>
      <c r="J101" t="s">
        <v>328</v>
      </c>
    </row>
    <row r="102" spans="1:10">
      <c r="A102" t="s">
        <v>582</v>
      </c>
      <c r="B102" t="s">
        <v>546</v>
      </c>
      <c r="C102" t="s">
        <v>197</v>
      </c>
      <c r="D102" t="s">
        <v>392</v>
      </c>
      <c r="E102" t="s">
        <v>456</v>
      </c>
      <c r="F102" s="4">
        <v>46030.951655104167</v>
      </c>
      <c r="G102" s="4">
        <v>46031.033553159723</v>
      </c>
      <c r="H102">
        <v>2</v>
      </c>
      <c r="I102" t="s">
        <v>12</v>
      </c>
      <c r="J102" t="s">
        <v>328</v>
      </c>
    </row>
    <row r="103" spans="1:10">
      <c r="A103" t="s">
        <v>583</v>
      </c>
      <c r="B103" t="s">
        <v>584</v>
      </c>
      <c r="C103" t="s">
        <v>248</v>
      </c>
      <c r="D103" t="s">
        <v>381</v>
      </c>
      <c r="E103" t="s">
        <v>396</v>
      </c>
      <c r="F103" s="4">
        <v>46029.765430312502</v>
      </c>
      <c r="G103" s="4">
        <v>46029.892998622687</v>
      </c>
      <c r="H103">
        <v>3.1</v>
      </c>
      <c r="I103" t="s">
        <v>9</v>
      </c>
      <c r="J103" t="s">
        <v>335</v>
      </c>
    </row>
    <row r="104" spans="1:10">
      <c r="A104" t="s">
        <v>585</v>
      </c>
      <c r="B104" t="s">
        <v>586</v>
      </c>
      <c r="C104" t="s">
        <v>36</v>
      </c>
      <c r="D104" t="s">
        <v>417</v>
      </c>
      <c r="E104" t="s">
        <v>403</v>
      </c>
      <c r="F104" s="4">
        <v>45943.62522224537</v>
      </c>
      <c r="G104" s="4">
        <v>45943.749538530094</v>
      </c>
      <c r="H104">
        <v>3</v>
      </c>
      <c r="I104" t="s">
        <v>9</v>
      </c>
      <c r="J104" t="s">
        <v>328</v>
      </c>
    </row>
    <row r="105" spans="1:10">
      <c r="A105" t="s">
        <v>587</v>
      </c>
      <c r="B105" t="s">
        <v>588</v>
      </c>
      <c r="C105" t="s">
        <v>147</v>
      </c>
      <c r="D105" t="s">
        <v>377</v>
      </c>
      <c r="E105" t="s">
        <v>378</v>
      </c>
      <c r="F105" s="4">
        <v>46026.549710520827</v>
      </c>
      <c r="G105" s="4">
        <v>46026.701386134257</v>
      </c>
      <c r="H105">
        <v>3.6</v>
      </c>
      <c r="I105" t="s">
        <v>12</v>
      </c>
      <c r="J105" t="s">
        <v>335</v>
      </c>
    </row>
    <row r="106" spans="1:10">
      <c r="A106" t="s">
        <v>589</v>
      </c>
      <c r="B106" t="s">
        <v>590</v>
      </c>
      <c r="C106" t="s">
        <v>127</v>
      </c>
      <c r="D106" t="s">
        <v>476</v>
      </c>
      <c r="E106" t="s">
        <v>396</v>
      </c>
      <c r="F106" s="4">
        <v>46073.232116284722</v>
      </c>
      <c r="G106" s="4">
        <v>46073.537494317126</v>
      </c>
      <c r="H106">
        <v>7.3</v>
      </c>
      <c r="I106" t="s">
        <v>9</v>
      </c>
      <c r="J106" t="s">
        <v>335</v>
      </c>
    </row>
    <row r="107" spans="1:10">
      <c r="A107" t="s">
        <v>591</v>
      </c>
      <c r="B107" t="s">
        <v>592</v>
      </c>
      <c r="C107" t="s">
        <v>32</v>
      </c>
      <c r="D107" t="s">
        <v>369</v>
      </c>
      <c r="E107" t="s">
        <v>393</v>
      </c>
      <c r="F107" s="4">
        <v>45894.484031817126</v>
      </c>
      <c r="G107" s="4">
        <v>45894.721496574071</v>
      </c>
      <c r="H107">
        <v>5.7</v>
      </c>
      <c r="I107" t="s">
        <v>9</v>
      </c>
      <c r="J107" t="s">
        <v>328</v>
      </c>
    </row>
    <row r="108" spans="1:10">
      <c r="A108" t="s">
        <v>593</v>
      </c>
      <c r="B108" t="s">
        <v>594</v>
      </c>
      <c r="C108" t="s">
        <v>171</v>
      </c>
      <c r="D108" t="s">
        <v>417</v>
      </c>
      <c r="E108" t="s">
        <v>456</v>
      </c>
      <c r="F108" s="4">
        <v>45959.121074328701</v>
      </c>
      <c r="G108" s="4">
        <v>45959.37146584491</v>
      </c>
      <c r="H108">
        <v>6</v>
      </c>
      <c r="I108" t="s">
        <v>9</v>
      </c>
      <c r="J108" t="s">
        <v>328</v>
      </c>
    </row>
    <row r="109" spans="1:10">
      <c r="A109" t="s">
        <v>595</v>
      </c>
      <c r="B109" t="s">
        <v>596</v>
      </c>
      <c r="C109" t="s">
        <v>110</v>
      </c>
      <c r="D109" t="s">
        <v>443</v>
      </c>
      <c r="E109" t="s">
        <v>403</v>
      </c>
      <c r="F109" s="4">
        <v>45862.222325381947</v>
      </c>
      <c r="G109" s="4">
        <v>45862.360631157397</v>
      </c>
      <c r="H109">
        <v>3.3</v>
      </c>
      <c r="I109" t="s">
        <v>9</v>
      </c>
      <c r="J109" t="s">
        <v>335</v>
      </c>
    </row>
    <row r="110" spans="1:10">
      <c r="A110" t="s">
        <v>597</v>
      </c>
      <c r="B110" t="s">
        <v>598</v>
      </c>
      <c r="C110" t="s">
        <v>118</v>
      </c>
      <c r="D110" t="s">
        <v>392</v>
      </c>
      <c r="E110" t="s">
        <v>393</v>
      </c>
      <c r="F110" s="4">
        <v>45998.440488831016</v>
      </c>
      <c r="G110" s="4">
        <v>45998.484363159732</v>
      </c>
      <c r="H110">
        <v>1.1000000000000001</v>
      </c>
      <c r="I110" t="s">
        <v>12</v>
      </c>
      <c r="J110" t="s">
        <v>335</v>
      </c>
    </row>
    <row r="111" spans="1:10">
      <c r="A111" t="s">
        <v>599</v>
      </c>
      <c r="B111" t="s">
        <v>600</v>
      </c>
      <c r="C111" t="s">
        <v>51</v>
      </c>
      <c r="D111" t="s">
        <v>417</v>
      </c>
      <c r="E111" t="s">
        <v>378</v>
      </c>
      <c r="F111" s="4">
        <v>46121.285982488429</v>
      </c>
      <c r="G111" s="4">
        <v>46121.444443356479</v>
      </c>
      <c r="H111">
        <v>3.8</v>
      </c>
      <c r="I111" t="s">
        <v>9</v>
      </c>
      <c r="J111" t="s">
        <v>323</v>
      </c>
    </row>
    <row r="112" spans="1:10">
      <c r="A112" t="s">
        <v>601</v>
      </c>
      <c r="B112" t="s">
        <v>602</v>
      </c>
      <c r="C112" t="s">
        <v>7</v>
      </c>
      <c r="D112" t="s">
        <v>467</v>
      </c>
      <c r="E112" t="s">
        <v>414</v>
      </c>
      <c r="F112" s="4">
        <v>46098.200918750001</v>
      </c>
      <c r="G112" s="4">
        <v>46098.231028831018</v>
      </c>
      <c r="H112">
        <v>0.7</v>
      </c>
      <c r="I112" t="s">
        <v>12</v>
      </c>
      <c r="J112" t="s">
        <v>335</v>
      </c>
    </row>
    <row r="113" spans="1:10">
      <c r="A113" t="s">
        <v>603</v>
      </c>
      <c r="B113" t="s">
        <v>604</v>
      </c>
      <c r="C113" t="s">
        <v>194</v>
      </c>
      <c r="D113" t="s">
        <v>384</v>
      </c>
      <c r="E113" t="s">
        <v>370</v>
      </c>
      <c r="F113" s="4">
        <v>46036.224678715284</v>
      </c>
      <c r="G113" s="4">
        <v>46036.327386689823</v>
      </c>
      <c r="H113">
        <v>2.5</v>
      </c>
      <c r="I113" t="s">
        <v>12</v>
      </c>
      <c r="J113" t="s">
        <v>335</v>
      </c>
    </row>
    <row r="114" spans="1:10">
      <c r="A114" t="s">
        <v>605</v>
      </c>
      <c r="B114" t="s">
        <v>606</v>
      </c>
      <c r="C114" t="s">
        <v>59</v>
      </c>
      <c r="D114" t="s">
        <v>467</v>
      </c>
      <c r="E114" t="s">
        <v>374</v>
      </c>
      <c r="F114" s="4">
        <v>45929.103189560177</v>
      </c>
      <c r="G114" s="4">
        <v>45929.185269004629</v>
      </c>
      <c r="H114">
        <v>2</v>
      </c>
      <c r="I114" t="s">
        <v>12</v>
      </c>
      <c r="J114" t="s">
        <v>328</v>
      </c>
    </row>
    <row r="115" spans="1:10">
      <c r="A115" t="s">
        <v>607</v>
      </c>
      <c r="B115" t="s">
        <v>608</v>
      </c>
      <c r="C115" t="s">
        <v>106</v>
      </c>
      <c r="D115" t="s">
        <v>392</v>
      </c>
      <c r="E115" t="s">
        <v>387</v>
      </c>
      <c r="F115" s="4">
        <v>45983.023542106479</v>
      </c>
      <c r="G115" s="4">
        <v>45983.050935983803</v>
      </c>
      <c r="H115">
        <v>0.7</v>
      </c>
      <c r="I115" t="s">
        <v>9</v>
      </c>
      <c r="J115" t="s">
        <v>323</v>
      </c>
    </row>
    <row r="116" spans="1:10">
      <c r="A116" t="s">
        <v>609</v>
      </c>
      <c r="B116" t="s">
        <v>610</v>
      </c>
      <c r="C116" t="s">
        <v>51</v>
      </c>
      <c r="D116" t="s">
        <v>392</v>
      </c>
      <c r="E116" t="s">
        <v>387</v>
      </c>
      <c r="F116" s="4">
        <v>46068.152807372688</v>
      </c>
      <c r="G116" s="4">
        <v>46068.450206805559</v>
      </c>
      <c r="H116">
        <v>7.1</v>
      </c>
      <c r="I116" t="s">
        <v>9</v>
      </c>
      <c r="J116" t="s">
        <v>328</v>
      </c>
    </row>
    <row r="117" spans="1:10">
      <c r="A117" t="s">
        <v>611</v>
      </c>
      <c r="B117" t="s">
        <v>612</v>
      </c>
      <c r="C117" t="s">
        <v>247</v>
      </c>
      <c r="D117" t="s">
        <v>365</v>
      </c>
      <c r="E117" t="s">
        <v>414</v>
      </c>
      <c r="F117" s="4">
        <v>45912.81790130787</v>
      </c>
      <c r="G117" s="4">
        <v>45912.913781493058</v>
      </c>
      <c r="H117">
        <v>2.2999999999999998</v>
      </c>
      <c r="I117" t="s">
        <v>9</v>
      </c>
      <c r="J117" t="s">
        <v>335</v>
      </c>
    </row>
    <row r="118" spans="1:10">
      <c r="A118" t="s">
        <v>613</v>
      </c>
      <c r="B118" t="s">
        <v>614</v>
      </c>
      <c r="C118" t="s">
        <v>204</v>
      </c>
      <c r="D118" t="s">
        <v>381</v>
      </c>
      <c r="E118" t="s">
        <v>370</v>
      </c>
      <c r="F118" s="4">
        <v>45906.83338747685</v>
      </c>
      <c r="G118" s="4">
        <v>45907.01888541667</v>
      </c>
      <c r="H118">
        <v>4.5</v>
      </c>
      <c r="I118" t="s">
        <v>9</v>
      </c>
      <c r="J118" t="s">
        <v>335</v>
      </c>
    </row>
    <row r="119" spans="1:10">
      <c r="A119" t="s">
        <v>615</v>
      </c>
      <c r="B119" t="s">
        <v>616</v>
      </c>
      <c r="C119" t="s">
        <v>235</v>
      </c>
      <c r="D119" t="s">
        <v>373</v>
      </c>
      <c r="E119" t="s">
        <v>366</v>
      </c>
      <c r="F119" s="4">
        <v>46127.397505532397</v>
      </c>
      <c r="G119" s="4">
        <v>46127.692835069443</v>
      </c>
      <c r="H119">
        <v>7.1</v>
      </c>
      <c r="I119" t="s">
        <v>12</v>
      </c>
      <c r="J119" t="s">
        <v>335</v>
      </c>
    </row>
    <row r="120" spans="1:10">
      <c r="A120" t="s">
        <v>617</v>
      </c>
      <c r="B120" t="s">
        <v>618</v>
      </c>
      <c r="C120" t="s">
        <v>127</v>
      </c>
      <c r="D120" t="s">
        <v>417</v>
      </c>
      <c r="E120" t="s">
        <v>374</v>
      </c>
      <c r="F120" s="4">
        <v>45890.219207685193</v>
      </c>
      <c r="G120" s="4">
        <v>45890.280914363429</v>
      </c>
      <c r="H120">
        <v>1.5</v>
      </c>
      <c r="I120" t="s">
        <v>12</v>
      </c>
      <c r="J120" t="s">
        <v>335</v>
      </c>
    </row>
    <row r="121" spans="1:10">
      <c r="A121" t="s">
        <v>619</v>
      </c>
      <c r="B121" t="s">
        <v>620</v>
      </c>
      <c r="C121" t="s">
        <v>80</v>
      </c>
      <c r="D121" t="s">
        <v>399</v>
      </c>
      <c r="E121" t="s">
        <v>440</v>
      </c>
      <c r="F121" s="4">
        <v>45890.114241932868</v>
      </c>
      <c r="G121" s="4">
        <v>45890.252030057869</v>
      </c>
      <c r="H121">
        <v>3.3</v>
      </c>
      <c r="I121" t="s">
        <v>9</v>
      </c>
      <c r="J121" t="s">
        <v>323</v>
      </c>
    </row>
    <row r="122" spans="1:10">
      <c r="A122" t="s">
        <v>621</v>
      </c>
      <c r="B122" t="s">
        <v>622</v>
      </c>
      <c r="C122" t="s">
        <v>69</v>
      </c>
      <c r="D122" t="s">
        <v>381</v>
      </c>
      <c r="E122" t="s">
        <v>370</v>
      </c>
      <c r="F122" s="4">
        <v>45902.69269340278</v>
      </c>
      <c r="G122" s="4">
        <v>45902.727962731478</v>
      </c>
      <c r="H122">
        <v>0.8</v>
      </c>
      <c r="I122" t="s">
        <v>9</v>
      </c>
      <c r="J122" t="s">
        <v>323</v>
      </c>
    </row>
    <row r="123" spans="1:10">
      <c r="A123" t="s">
        <v>623</v>
      </c>
      <c r="B123" t="s">
        <v>624</v>
      </c>
      <c r="C123" t="s">
        <v>188</v>
      </c>
      <c r="D123" t="s">
        <v>384</v>
      </c>
      <c r="E123" t="s">
        <v>400</v>
      </c>
      <c r="F123" s="4">
        <v>46106.793919571763</v>
      </c>
      <c r="G123" s="4">
        <v>46106.906685011571</v>
      </c>
      <c r="H123">
        <v>2.7</v>
      </c>
      <c r="I123" t="s">
        <v>12</v>
      </c>
      <c r="J123" t="s">
        <v>323</v>
      </c>
    </row>
    <row r="124" spans="1:10">
      <c r="A124" t="s">
        <v>625</v>
      </c>
      <c r="B124" t="s">
        <v>626</v>
      </c>
      <c r="C124" t="s">
        <v>21</v>
      </c>
      <c r="D124" t="s">
        <v>476</v>
      </c>
      <c r="E124" t="s">
        <v>374</v>
      </c>
      <c r="F124" s="4">
        <v>45980.676430810177</v>
      </c>
      <c r="G124" s="4">
        <v>45980.945892870368</v>
      </c>
      <c r="H124">
        <v>6.5</v>
      </c>
      <c r="I124" t="s">
        <v>9</v>
      </c>
      <c r="J124" t="s">
        <v>323</v>
      </c>
    </row>
    <row r="125" spans="1:10">
      <c r="A125" t="s">
        <v>627</v>
      </c>
      <c r="B125" t="s">
        <v>628</v>
      </c>
      <c r="C125" t="s">
        <v>183</v>
      </c>
      <c r="D125" t="s">
        <v>384</v>
      </c>
      <c r="E125" t="s">
        <v>393</v>
      </c>
      <c r="F125" s="4">
        <v>45936.238486249997</v>
      </c>
      <c r="G125" s="4">
        <v>45936.536142800927</v>
      </c>
      <c r="H125">
        <v>7.1</v>
      </c>
      <c r="I125" t="s">
        <v>12</v>
      </c>
      <c r="J125" t="s">
        <v>335</v>
      </c>
    </row>
    <row r="126" spans="1:10">
      <c r="A126" t="s">
        <v>629</v>
      </c>
      <c r="B126" t="s">
        <v>630</v>
      </c>
      <c r="C126" t="s">
        <v>106</v>
      </c>
      <c r="D126" t="s">
        <v>384</v>
      </c>
      <c r="E126" t="s">
        <v>403</v>
      </c>
      <c r="F126" s="4">
        <v>46113.590544444443</v>
      </c>
      <c r="G126" s="4">
        <v>46113.858564409733</v>
      </c>
      <c r="H126">
        <v>6.4</v>
      </c>
      <c r="I126" t="s">
        <v>9</v>
      </c>
      <c r="J126" t="s">
        <v>323</v>
      </c>
    </row>
    <row r="127" spans="1:10">
      <c r="A127" t="s">
        <v>631</v>
      </c>
      <c r="B127" t="s">
        <v>632</v>
      </c>
      <c r="C127" t="s">
        <v>63</v>
      </c>
      <c r="D127" t="s">
        <v>476</v>
      </c>
      <c r="E127" t="s">
        <v>378</v>
      </c>
      <c r="F127" s="4">
        <v>46126.730551435183</v>
      </c>
      <c r="G127" s="4">
        <v>46126.986168530093</v>
      </c>
      <c r="H127">
        <v>6.1</v>
      </c>
      <c r="I127" t="s">
        <v>9</v>
      </c>
      <c r="J127" t="s">
        <v>323</v>
      </c>
    </row>
    <row r="128" spans="1:10">
      <c r="A128" t="s">
        <v>633</v>
      </c>
      <c r="B128" t="s">
        <v>634</v>
      </c>
      <c r="C128" t="s">
        <v>27</v>
      </c>
      <c r="D128" t="s">
        <v>392</v>
      </c>
      <c r="E128" t="s">
        <v>400</v>
      </c>
      <c r="F128" s="4">
        <v>46004.684207789353</v>
      </c>
      <c r="G128" s="4">
        <v>46004.867194988423</v>
      </c>
      <c r="H128">
        <v>4.4000000000000004</v>
      </c>
      <c r="I128" t="s">
        <v>12</v>
      </c>
      <c r="J128" t="s">
        <v>335</v>
      </c>
    </row>
    <row r="129" spans="1:10">
      <c r="A129" t="s">
        <v>635</v>
      </c>
      <c r="B129" t="s">
        <v>636</v>
      </c>
      <c r="C129" t="s">
        <v>247</v>
      </c>
      <c r="D129" t="s">
        <v>365</v>
      </c>
      <c r="E129" t="s">
        <v>374</v>
      </c>
      <c r="F129" s="4">
        <v>46104.634484201393</v>
      </c>
      <c r="G129" s="4">
        <v>46104.806347858786</v>
      </c>
      <c r="H129">
        <v>4.0999999999999996</v>
      </c>
      <c r="I129" t="s">
        <v>9</v>
      </c>
      <c r="J129" t="s">
        <v>328</v>
      </c>
    </row>
    <row r="130" spans="1:10">
      <c r="A130" t="s">
        <v>637</v>
      </c>
      <c r="B130" t="s">
        <v>638</v>
      </c>
      <c r="C130" t="s">
        <v>159</v>
      </c>
      <c r="D130" t="s">
        <v>373</v>
      </c>
      <c r="E130" t="s">
        <v>440</v>
      </c>
      <c r="F130" s="4">
        <v>46040.165396458331</v>
      </c>
      <c r="G130" s="4">
        <v>46040.311525439807</v>
      </c>
      <c r="H130">
        <v>3.5</v>
      </c>
      <c r="I130" t="s">
        <v>9</v>
      </c>
      <c r="J130" t="s">
        <v>323</v>
      </c>
    </row>
    <row r="131" spans="1:10">
      <c r="A131" t="s">
        <v>639</v>
      </c>
      <c r="B131" t="s">
        <v>640</v>
      </c>
      <c r="C131" t="s">
        <v>162</v>
      </c>
      <c r="D131" t="s">
        <v>381</v>
      </c>
      <c r="E131" t="s">
        <v>378</v>
      </c>
      <c r="F131" s="4">
        <v>46008.32785306713</v>
      </c>
      <c r="G131" s="4">
        <v>46008.413436273149</v>
      </c>
      <c r="H131">
        <v>2.1</v>
      </c>
      <c r="I131" t="s">
        <v>9</v>
      </c>
      <c r="J131" t="s">
        <v>335</v>
      </c>
    </row>
    <row r="132" spans="1:10">
      <c r="A132" t="s">
        <v>641</v>
      </c>
      <c r="B132" t="s">
        <v>642</v>
      </c>
      <c r="C132" t="s">
        <v>249</v>
      </c>
      <c r="D132" t="s">
        <v>365</v>
      </c>
      <c r="E132" t="s">
        <v>374</v>
      </c>
      <c r="F132" s="4">
        <v>46066.342120381953</v>
      </c>
      <c r="G132" s="4">
        <v>46066.486672453713</v>
      </c>
      <c r="H132">
        <v>3.5</v>
      </c>
      <c r="I132" t="s">
        <v>9</v>
      </c>
      <c r="J132" t="s">
        <v>323</v>
      </c>
    </row>
    <row r="133" spans="1:10">
      <c r="A133" t="s">
        <v>643</v>
      </c>
      <c r="B133" t="s">
        <v>398</v>
      </c>
      <c r="C133" t="s">
        <v>112</v>
      </c>
      <c r="D133" t="s">
        <v>399</v>
      </c>
      <c r="E133" t="s">
        <v>400</v>
      </c>
      <c r="F133" s="4">
        <v>45987.656931689817</v>
      </c>
      <c r="G133" s="4">
        <v>45987.970108425929</v>
      </c>
      <c r="H133">
        <v>7.5</v>
      </c>
      <c r="I133" t="s">
        <v>9</v>
      </c>
      <c r="J133" t="s">
        <v>323</v>
      </c>
    </row>
    <row r="134" spans="1:10">
      <c r="A134" t="s">
        <v>644</v>
      </c>
      <c r="B134" t="s">
        <v>645</v>
      </c>
      <c r="C134" t="s">
        <v>226</v>
      </c>
      <c r="D134" t="s">
        <v>476</v>
      </c>
      <c r="E134" t="s">
        <v>456</v>
      </c>
      <c r="F134" s="4">
        <v>46081.635267569443</v>
      </c>
      <c r="G134" s="4">
        <v>46081.89098300926</v>
      </c>
      <c r="H134">
        <v>6.1</v>
      </c>
      <c r="I134" t="s">
        <v>9</v>
      </c>
      <c r="J134" t="s">
        <v>328</v>
      </c>
    </row>
    <row r="135" spans="1:10">
      <c r="A135" t="s">
        <v>646</v>
      </c>
      <c r="B135" t="s">
        <v>647</v>
      </c>
      <c r="C135" t="s">
        <v>116</v>
      </c>
      <c r="D135" t="s">
        <v>373</v>
      </c>
      <c r="E135" t="s">
        <v>414</v>
      </c>
      <c r="F135" s="4">
        <v>46012.408056284723</v>
      </c>
      <c r="G135" s="4">
        <v>46012.6113778125</v>
      </c>
      <c r="H135">
        <v>4.9000000000000004</v>
      </c>
      <c r="I135" t="s">
        <v>9</v>
      </c>
      <c r="J135" t="s">
        <v>335</v>
      </c>
    </row>
    <row r="136" spans="1:10">
      <c r="A136" t="s">
        <v>648</v>
      </c>
      <c r="B136" t="s">
        <v>649</v>
      </c>
      <c r="C136" t="s">
        <v>186</v>
      </c>
      <c r="D136" t="s">
        <v>476</v>
      </c>
      <c r="E136" t="s">
        <v>370</v>
      </c>
      <c r="F136" s="4">
        <v>45906.150465578707</v>
      </c>
      <c r="G136" s="4">
        <v>45906.312283657397</v>
      </c>
      <c r="H136">
        <v>3.9</v>
      </c>
      <c r="I136" t="s">
        <v>9</v>
      </c>
      <c r="J136" t="s">
        <v>328</v>
      </c>
    </row>
    <row r="137" spans="1:10">
      <c r="A137" t="s">
        <v>650</v>
      </c>
      <c r="B137" t="s">
        <v>651</v>
      </c>
      <c r="C137" t="s">
        <v>194</v>
      </c>
      <c r="D137" t="s">
        <v>384</v>
      </c>
      <c r="E137" t="s">
        <v>400</v>
      </c>
      <c r="F137" s="4">
        <v>46101.841779201393</v>
      </c>
      <c r="G137" s="4">
        <v>46101.961681412038</v>
      </c>
      <c r="H137">
        <v>2.9</v>
      </c>
      <c r="I137" t="s">
        <v>9</v>
      </c>
      <c r="J137" t="s">
        <v>335</v>
      </c>
    </row>
    <row r="138" spans="1:10">
      <c r="A138" t="s">
        <v>652</v>
      </c>
      <c r="B138" t="s">
        <v>653</v>
      </c>
      <c r="C138" t="s">
        <v>253</v>
      </c>
      <c r="D138" t="s">
        <v>381</v>
      </c>
      <c r="E138" t="s">
        <v>387</v>
      </c>
      <c r="F138" s="4">
        <v>46058.523036377323</v>
      </c>
      <c r="G138" s="4">
        <v>46058.626877488423</v>
      </c>
      <c r="H138">
        <v>2.5</v>
      </c>
      <c r="I138" t="s">
        <v>12</v>
      </c>
      <c r="J138" t="s">
        <v>323</v>
      </c>
    </row>
    <row r="139" spans="1:10">
      <c r="A139" t="s">
        <v>654</v>
      </c>
      <c r="B139" t="s">
        <v>655</v>
      </c>
      <c r="C139" t="s">
        <v>89</v>
      </c>
      <c r="D139" t="s">
        <v>381</v>
      </c>
      <c r="E139" t="s">
        <v>378</v>
      </c>
      <c r="F139" s="4">
        <v>46011.795404826393</v>
      </c>
      <c r="G139" s="4">
        <v>46011.973039699071</v>
      </c>
      <c r="H139">
        <v>4.3</v>
      </c>
      <c r="I139" t="s">
        <v>9</v>
      </c>
      <c r="J139" t="s">
        <v>323</v>
      </c>
    </row>
    <row r="140" spans="1:10">
      <c r="A140" t="s">
        <v>656</v>
      </c>
      <c r="B140" t="s">
        <v>657</v>
      </c>
      <c r="C140" t="s">
        <v>73</v>
      </c>
      <c r="D140" t="s">
        <v>443</v>
      </c>
      <c r="E140" t="s">
        <v>414</v>
      </c>
      <c r="F140" s="4">
        <v>46004.855671041667</v>
      </c>
      <c r="G140" s="4">
        <v>46005.166068726852</v>
      </c>
      <c r="H140">
        <v>7.4</v>
      </c>
      <c r="I140" t="s">
        <v>12</v>
      </c>
      <c r="J140" t="s">
        <v>323</v>
      </c>
    </row>
    <row r="141" spans="1:10">
      <c r="A141" t="s">
        <v>658</v>
      </c>
      <c r="B141" t="s">
        <v>659</v>
      </c>
      <c r="C141" t="s">
        <v>123</v>
      </c>
      <c r="D141" t="s">
        <v>392</v>
      </c>
      <c r="E141" t="s">
        <v>396</v>
      </c>
      <c r="F141" s="4">
        <v>46037.133910046286</v>
      </c>
      <c r="G141" s="4">
        <v>46037.325376527777</v>
      </c>
      <c r="H141">
        <v>4.5999999999999996</v>
      </c>
      <c r="I141" t="s">
        <v>9</v>
      </c>
      <c r="J141" t="s">
        <v>335</v>
      </c>
    </row>
    <row r="142" spans="1:10">
      <c r="A142" t="s">
        <v>660</v>
      </c>
      <c r="B142" t="s">
        <v>564</v>
      </c>
      <c r="C142" t="s">
        <v>40</v>
      </c>
      <c r="D142" t="s">
        <v>377</v>
      </c>
      <c r="E142" t="s">
        <v>403</v>
      </c>
      <c r="F142" s="4">
        <v>45882.811268182872</v>
      </c>
      <c r="G142" s="4">
        <v>45882.926700138887</v>
      </c>
      <c r="H142">
        <v>2.8</v>
      </c>
      <c r="I142" t="s">
        <v>9</v>
      </c>
      <c r="J142" t="s">
        <v>323</v>
      </c>
    </row>
    <row r="143" spans="1:10">
      <c r="A143" t="s">
        <v>661</v>
      </c>
      <c r="B143" t="s">
        <v>662</v>
      </c>
      <c r="C143" t="s">
        <v>142</v>
      </c>
      <c r="D143" t="s">
        <v>381</v>
      </c>
      <c r="E143" t="s">
        <v>370</v>
      </c>
      <c r="F143" s="4">
        <v>46090.398670949071</v>
      </c>
      <c r="G143" s="4">
        <v>46090.479080046287</v>
      </c>
      <c r="H143">
        <v>1.9</v>
      </c>
      <c r="I143" t="s">
        <v>9</v>
      </c>
      <c r="J143" t="s">
        <v>335</v>
      </c>
    </row>
    <row r="144" spans="1:10">
      <c r="A144" t="s">
        <v>663</v>
      </c>
      <c r="B144" t="s">
        <v>402</v>
      </c>
      <c r="C144" t="s">
        <v>57</v>
      </c>
      <c r="D144" t="s">
        <v>399</v>
      </c>
      <c r="E144" t="s">
        <v>403</v>
      </c>
      <c r="F144" s="4">
        <v>45865.03841040509</v>
      </c>
      <c r="G144" s="4">
        <v>45865.294363530091</v>
      </c>
      <c r="H144">
        <v>6.1</v>
      </c>
      <c r="I144" t="s">
        <v>9</v>
      </c>
      <c r="J144" t="s">
        <v>328</v>
      </c>
    </row>
    <row r="145" spans="1:10">
      <c r="A145" t="s">
        <v>664</v>
      </c>
      <c r="B145" t="s">
        <v>665</v>
      </c>
      <c r="C145" t="s">
        <v>163</v>
      </c>
      <c r="D145" t="s">
        <v>399</v>
      </c>
      <c r="E145" t="s">
        <v>456</v>
      </c>
      <c r="F145" s="4">
        <v>46030.723303171297</v>
      </c>
      <c r="G145" s="4">
        <v>46030.837722175929</v>
      </c>
      <c r="H145">
        <v>2.7</v>
      </c>
      <c r="I145" t="s">
        <v>9</v>
      </c>
      <c r="J145" t="s">
        <v>335</v>
      </c>
    </row>
    <row r="146" spans="1:10">
      <c r="A146" t="s">
        <v>666</v>
      </c>
      <c r="B146" t="s">
        <v>667</v>
      </c>
      <c r="C146" t="s">
        <v>171</v>
      </c>
      <c r="D146" t="s">
        <v>369</v>
      </c>
      <c r="E146" t="s">
        <v>403</v>
      </c>
      <c r="F146" s="4">
        <v>45895.318103888887</v>
      </c>
      <c r="G146" s="4">
        <v>45895.595768888888</v>
      </c>
      <c r="H146">
        <v>6.7</v>
      </c>
      <c r="I146" t="s">
        <v>9</v>
      </c>
      <c r="J146" t="s">
        <v>328</v>
      </c>
    </row>
    <row r="147" spans="1:10">
      <c r="A147" t="s">
        <v>668</v>
      </c>
      <c r="B147" t="s">
        <v>669</v>
      </c>
      <c r="C147" t="s">
        <v>57</v>
      </c>
      <c r="D147" t="s">
        <v>467</v>
      </c>
      <c r="E147" t="s">
        <v>378</v>
      </c>
      <c r="F147" s="4">
        <v>45898.357068622689</v>
      </c>
      <c r="G147" s="4">
        <v>45898.538104131942</v>
      </c>
      <c r="H147">
        <v>4.3</v>
      </c>
      <c r="I147" t="s">
        <v>9</v>
      </c>
      <c r="J147" t="s">
        <v>323</v>
      </c>
    </row>
    <row r="148" spans="1:10">
      <c r="A148" t="s">
        <v>670</v>
      </c>
      <c r="B148" t="s">
        <v>671</v>
      </c>
      <c r="C148" t="s">
        <v>151</v>
      </c>
      <c r="D148" t="s">
        <v>476</v>
      </c>
      <c r="E148" t="s">
        <v>366</v>
      </c>
      <c r="F148" s="4">
        <v>46060.496822037043</v>
      </c>
      <c r="G148" s="4">
        <v>46060.588773645832</v>
      </c>
      <c r="H148">
        <v>2.2000000000000002</v>
      </c>
      <c r="I148" t="s">
        <v>9</v>
      </c>
      <c r="J148" t="s">
        <v>323</v>
      </c>
    </row>
    <row r="149" spans="1:10">
      <c r="A149" t="s">
        <v>672</v>
      </c>
      <c r="B149" t="s">
        <v>673</v>
      </c>
      <c r="C149" t="s">
        <v>164</v>
      </c>
      <c r="D149" t="s">
        <v>373</v>
      </c>
      <c r="E149" t="s">
        <v>414</v>
      </c>
      <c r="F149" s="4">
        <v>45840.987953055563</v>
      </c>
      <c r="G149" s="4">
        <v>45841.169981817133</v>
      </c>
      <c r="H149">
        <v>4.4000000000000004</v>
      </c>
      <c r="I149" t="s">
        <v>9</v>
      </c>
      <c r="J149" t="s">
        <v>328</v>
      </c>
    </row>
    <row r="150" spans="1:10">
      <c r="A150" t="s">
        <v>674</v>
      </c>
      <c r="B150" t="s">
        <v>675</v>
      </c>
      <c r="C150" t="s">
        <v>217</v>
      </c>
      <c r="D150" t="s">
        <v>365</v>
      </c>
      <c r="E150" t="s">
        <v>414</v>
      </c>
      <c r="F150" s="4">
        <v>46109.398028981479</v>
      </c>
      <c r="G150" s="4">
        <v>46109.56305016204</v>
      </c>
      <c r="H150">
        <v>4</v>
      </c>
      <c r="I150" t="s">
        <v>9</v>
      </c>
      <c r="J150" t="s">
        <v>323</v>
      </c>
    </row>
    <row r="151" spans="1:10">
      <c r="A151" t="s">
        <v>676</v>
      </c>
      <c r="B151" t="s">
        <v>677</v>
      </c>
      <c r="C151" t="s">
        <v>11</v>
      </c>
      <c r="D151" t="s">
        <v>417</v>
      </c>
      <c r="E151" t="s">
        <v>378</v>
      </c>
      <c r="F151" s="4">
        <v>45953.494707824073</v>
      </c>
      <c r="G151" s="4">
        <v>45953.649538958343</v>
      </c>
      <c r="H151">
        <v>3.7</v>
      </c>
      <c r="I151" t="s">
        <v>9</v>
      </c>
      <c r="J151" t="s">
        <v>328</v>
      </c>
    </row>
    <row r="152" spans="1:10">
      <c r="A152" t="s">
        <v>678</v>
      </c>
      <c r="B152" t="s">
        <v>679</v>
      </c>
      <c r="C152" t="s">
        <v>164</v>
      </c>
      <c r="D152" t="s">
        <v>369</v>
      </c>
      <c r="E152" t="s">
        <v>387</v>
      </c>
      <c r="F152" s="4">
        <v>45901.044425231477</v>
      </c>
      <c r="G152" s="4">
        <v>45901.205874791667</v>
      </c>
      <c r="H152">
        <v>3.9</v>
      </c>
      <c r="I152" t="s">
        <v>9</v>
      </c>
      <c r="J152" t="s">
        <v>335</v>
      </c>
    </row>
    <row r="153" spans="1:10">
      <c r="A153" t="s">
        <v>680</v>
      </c>
      <c r="B153" t="s">
        <v>681</v>
      </c>
      <c r="C153" t="s">
        <v>21</v>
      </c>
      <c r="D153" t="s">
        <v>399</v>
      </c>
      <c r="E153" t="s">
        <v>396</v>
      </c>
      <c r="F153" s="4">
        <v>45869.533690034717</v>
      </c>
      <c r="G153" s="4">
        <v>45869.827570312496</v>
      </c>
      <c r="H153">
        <v>7.1</v>
      </c>
      <c r="I153" t="s">
        <v>9</v>
      </c>
      <c r="J153" t="s">
        <v>335</v>
      </c>
    </row>
    <row r="154" spans="1:10">
      <c r="A154" t="s">
        <v>682</v>
      </c>
      <c r="B154" t="s">
        <v>492</v>
      </c>
      <c r="C154" t="s">
        <v>185</v>
      </c>
      <c r="D154" t="s">
        <v>369</v>
      </c>
      <c r="E154" t="s">
        <v>440</v>
      </c>
      <c r="F154" s="4">
        <v>46124.512478344906</v>
      </c>
      <c r="G154" s="4">
        <v>46124.739201724537</v>
      </c>
      <c r="H154">
        <v>5.4</v>
      </c>
      <c r="I154" t="s">
        <v>9</v>
      </c>
      <c r="J154" t="s">
        <v>335</v>
      </c>
    </row>
    <row r="155" spans="1:10">
      <c r="A155" t="s">
        <v>683</v>
      </c>
      <c r="B155" t="s">
        <v>684</v>
      </c>
      <c r="C155" t="s">
        <v>249</v>
      </c>
      <c r="D155" t="s">
        <v>377</v>
      </c>
      <c r="E155" t="s">
        <v>403</v>
      </c>
      <c r="F155" s="4">
        <v>45869.172590243063</v>
      </c>
      <c r="G155" s="4">
        <v>45869.407724456018</v>
      </c>
      <c r="H155">
        <v>5.6</v>
      </c>
      <c r="I155" t="s">
        <v>9</v>
      </c>
      <c r="J155" t="s">
        <v>328</v>
      </c>
    </row>
    <row r="156" spans="1:10">
      <c r="A156" t="s">
        <v>685</v>
      </c>
      <c r="B156" t="s">
        <v>686</v>
      </c>
      <c r="C156" t="s">
        <v>97</v>
      </c>
      <c r="D156" t="s">
        <v>381</v>
      </c>
      <c r="E156" t="s">
        <v>403</v>
      </c>
      <c r="F156" s="4">
        <v>45965.692431423609</v>
      </c>
      <c r="G156" s="4">
        <v>45965.896688229157</v>
      </c>
      <c r="H156">
        <v>4.9000000000000004</v>
      </c>
      <c r="I156" t="s">
        <v>9</v>
      </c>
      <c r="J156" t="s">
        <v>323</v>
      </c>
    </row>
    <row r="157" spans="1:10">
      <c r="A157" t="s">
        <v>687</v>
      </c>
      <c r="B157" t="s">
        <v>688</v>
      </c>
      <c r="C157" t="s">
        <v>105</v>
      </c>
      <c r="D157" t="s">
        <v>467</v>
      </c>
      <c r="E157" t="s">
        <v>456</v>
      </c>
      <c r="F157" s="4">
        <v>46058.111957499998</v>
      </c>
      <c r="G157" s="4">
        <v>46058.180819351852</v>
      </c>
      <c r="H157">
        <v>1.7</v>
      </c>
      <c r="I157" t="s">
        <v>9</v>
      </c>
      <c r="J157" t="s">
        <v>335</v>
      </c>
    </row>
    <row r="158" spans="1:10">
      <c r="A158" t="s">
        <v>689</v>
      </c>
      <c r="B158" t="s">
        <v>690</v>
      </c>
      <c r="C158" t="s">
        <v>23</v>
      </c>
      <c r="D158" t="s">
        <v>381</v>
      </c>
      <c r="E158" t="s">
        <v>374</v>
      </c>
      <c r="F158" s="4">
        <v>45880.509020949074</v>
      </c>
      <c r="G158" s="4">
        <v>45880.779587337973</v>
      </c>
      <c r="H158">
        <v>6.5</v>
      </c>
      <c r="I158" t="s">
        <v>9</v>
      </c>
      <c r="J158" t="s">
        <v>323</v>
      </c>
    </row>
    <row r="159" spans="1:10">
      <c r="A159" t="s">
        <v>691</v>
      </c>
      <c r="B159" t="s">
        <v>692</v>
      </c>
      <c r="C159" t="s">
        <v>27</v>
      </c>
      <c r="D159" t="s">
        <v>476</v>
      </c>
      <c r="E159" t="s">
        <v>403</v>
      </c>
      <c r="F159" s="4">
        <v>46124.463316875001</v>
      </c>
      <c r="G159" s="4">
        <v>46124.790454004629</v>
      </c>
      <c r="H159">
        <v>7.9</v>
      </c>
      <c r="I159" t="s">
        <v>12</v>
      </c>
      <c r="J159" t="s">
        <v>328</v>
      </c>
    </row>
    <row r="160" spans="1:10">
      <c r="A160" t="s">
        <v>693</v>
      </c>
      <c r="B160" t="s">
        <v>694</v>
      </c>
      <c r="C160" t="s">
        <v>53</v>
      </c>
      <c r="D160" t="s">
        <v>381</v>
      </c>
      <c r="E160" t="s">
        <v>393</v>
      </c>
      <c r="F160" s="4">
        <v>45843.471645289363</v>
      </c>
      <c r="G160" s="4">
        <v>45843.613239189814</v>
      </c>
      <c r="H160">
        <v>3.4</v>
      </c>
      <c r="I160" t="s">
        <v>9</v>
      </c>
      <c r="J160" t="s">
        <v>335</v>
      </c>
    </row>
    <row r="161" spans="1:10">
      <c r="A161" t="s">
        <v>695</v>
      </c>
      <c r="B161" t="s">
        <v>696</v>
      </c>
      <c r="C161" t="s">
        <v>127</v>
      </c>
      <c r="D161" t="s">
        <v>377</v>
      </c>
      <c r="E161" t="s">
        <v>440</v>
      </c>
      <c r="F161" s="4">
        <v>46063.678812546299</v>
      </c>
      <c r="G161" s="4">
        <v>46063.840750671297</v>
      </c>
      <c r="H161">
        <v>3.9</v>
      </c>
      <c r="I161" t="s">
        <v>9</v>
      </c>
      <c r="J161" t="s">
        <v>335</v>
      </c>
    </row>
    <row r="162" spans="1:10">
      <c r="A162" t="s">
        <v>697</v>
      </c>
      <c r="B162" t="s">
        <v>698</v>
      </c>
      <c r="C162" t="s">
        <v>18</v>
      </c>
      <c r="D162" t="s">
        <v>443</v>
      </c>
      <c r="E162" t="s">
        <v>393</v>
      </c>
      <c r="F162" s="4">
        <v>45910.639517418982</v>
      </c>
      <c r="G162" s="4">
        <v>45910.871252476849</v>
      </c>
      <c r="H162">
        <v>5.6</v>
      </c>
      <c r="I162" t="s">
        <v>12</v>
      </c>
      <c r="J162" t="s">
        <v>323</v>
      </c>
    </row>
    <row r="163" spans="1:10">
      <c r="A163" t="s">
        <v>699</v>
      </c>
      <c r="B163" t="s">
        <v>700</v>
      </c>
      <c r="C163" t="s">
        <v>192</v>
      </c>
      <c r="D163" t="s">
        <v>417</v>
      </c>
      <c r="E163" t="s">
        <v>400</v>
      </c>
      <c r="F163" s="4">
        <v>45994.525811747677</v>
      </c>
      <c r="G163" s="4">
        <v>45994.604986365739</v>
      </c>
      <c r="H163">
        <v>1.9</v>
      </c>
      <c r="I163" t="s">
        <v>12</v>
      </c>
      <c r="J163" t="s">
        <v>335</v>
      </c>
    </row>
    <row r="164" spans="1:10">
      <c r="A164" t="s">
        <v>701</v>
      </c>
      <c r="B164" t="s">
        <v>702</v>
      </c>
      <c r="C164" t="s">
        <v>225</v>
      </c>
      <c r="D164" t="s">
        <v>365</v>
      </c>
      <c r="E164" t="s">
        <v>366</v>
      </c>
      <c r="F164" s="4">
        <v>46091.327448599543</v>
      </c>
      <c r="G164" s="4">
        <v>46091.421106759262</v>
      </c>
      <c r="H164">
        <v>2.2000000000000002</v>
      </c>
      <c r="I164" t="s">
        <v>9</v>
      </c>
      <c r="J164" t="s">
        <v>328</v>
      </c>
    </row>
    <row r="165" spans="1:10">
      <c r="A165" t="s">
        <v>703</v>
      </c>
      <c r="B165" t="s">
        <v>704</v>
      </c>
      <c r="C165" t="s">
        <v>253</v>
      </c>
      <c r="D165" t="s">
        <v>365</v>
      </c>
      <c r="E165" t="s">
        <v>456</v>
      </c>
      <c r="F165" s="4">
        <v>46022.288528078701</v>
      </c>
      <c r="G165" s="4">
        <v>46022.424565243047</v>
      </c>
      <c r="H165">
        <v>3.3</v>
      </c>
      <c r="I165" t="s">
        <v>12</v>
      </c>
      <c r="J165" t="s">
        <v>323</v>
      </c>
    </row>
    <row r="166" spans="1:10">
      <c r="A166" t="s">
        <v>705</v>
      </c>
      <c r="B166" t="s">
        <v>706</v>
      </c>
      <c r="C166" t="s">
        <v>147</v>
      </c>
      <c r="D166" t="s">
        <v>392</v>
      </c>
      <c r="E166" t="s">
        <v>374</v>
      </c>
      <c r="F166" s="4">
        <v>45986.389289479157</v>
      </c>
      <c r="G166" s="4">
        <v>45986.538516956018</v>
      </c>
      <c r="H166">
        <v>3.6</v>
      </c>
      <c r="I166" t="s">
        <v>12</v>
      </c>
      <c r="J166" t="s">
        <v>323</v>
      </c>
    </row>
    <row r="167" spans="1:10">
      <c r="A167" t="s">
        <v>707</v>
      </c>
      <c r="B167" t="s">
        <v>708</v>
      </c>
      <c r="C167" t="s">
        <v>204</v>
      </c>
      <c r="D167" t="s">
        <v>392</v>
      </c>
      <c r="E167" t="s">
        <v>403</v>
      </c>
      <c r="F167" s="4">
        <v>46057.945926875</v>
      </c>
      <c r="G167" s="4">
        <v>46058.097514328707</v>
      </c>
      <c r="H167">
        <v>3.6</v>
      </c>
      <c r="I167" t="s">
        <v>9</v>
      </c>
      <c r="J167" t="s">
        <v>335</v>
      </c>
    </row>
    <row r="168" spans="1:10">
      <c r="A168" t="s">
        <v>709</v>
      </c>
      <c r="B168" t="s">
        <v>710</v>
      </c>
      <c r="C168" t="s">
        <v>61</v>
      </c>
      <c r="D168" t="s">
        <v>467</v>
      </c>
      <c r="E168" t="s">
        <v>393</v>
      </c>
      <c r="F168" s="4">
        <v>45877.654640821762</v>
      </c>
      <c r="G168" s="4">
        <v>45877.946005243059</v>
      </c>
      <c r="H168">
        <v>7</v>
      </c>
      <c r="I168" t="s">
        <v>12</v>
      </c>
      <c r="J168" t="s">
        <v>323</v>
      </c>
    </row>
    <row r="169" spans="1:10">
      <c r="A169" t="s">
        <v>711</v>
      </c>
      <c r="B169" t="s">
        <v>712</v>
      </c>
      <c r="C169" t="s">
        <v>171</v>
      </c>
      <c r="D169" t="s">
        <v>377</v>
      </c>
      <c r="E169" t="s">
        <v>387</v>
      </c>
      <c r="F169" s="4">
        <v>46002.572104479157</v>
      </c>
      <c r="G169" s="4">
        <v>46002.848530347219</v>
      </c>
      <c r="H169">
        <v>6.6</v>
      </c>
      <c r="I169" t="s">
        <v>9</v>
      </c>
      <c r="J169" t="s">
        <v>328</v>
      </c>
    </row>
    <row r="170" spans="1:10">
      <c r="A170" t="s">
        <v>713</v>
      </c>
      <c r="B170" t="s">
        <v>714</v>
      </c>
      <c r="C170" t="s">
        <v>101</v>
      </c>
      <c r="D170" t="s">
        <v>377</v>
      </c>
      <c r="E170" t="s">
        <v>440</v>
      </c>
      <c r="F170" s="4">
        <v>45991.620781898149</v>
      </c>
      <c r="G170" s="4">
        <v>45991.935100937502</v>
      </c>
      <c r="H170">
        <v>7.5</v>
      </c>
      <c r="I170" t="s">
        <v>9</v>
      </c>
      <c r="J170" t="s">
        <v>328</v>
      </c>
    </row>
    <row r="171" spans="1:10">
      <c r="A171" t="s">
        <v>715</v>
      </c>
      <c r="B171" t="s">
        <v>716</v>
      </c>
      <c r="C171" t="s">
        <v>67</v>
      </c>
      <c r="D171" t="s">
        <v>392</v>
      </c>
      <c r="E171" t="s">
        <v>440</v>
      </c>
      <c r="F171" s="4">
        <v>46082.357720046297</v>
      </c>
      <c r="G171" s="4">
        <v>46082.521977268523</v>
      </c>
      <c r="H171">
        <v>3.9</v>
      </c>
      <c r="I171" t="s">
        <v>12</v>
      </c>
      <c r="J171" t="s">
        <v>335</v>
      </c>
    </row>
    <row r="172" spans="1:10">
      <c r="A172" t="s">
        <v>717</v>
      </c>
      <c r="B172" t="s">
        <v>718</v>
      </c>
      <c r="C172" t="s">
        <v>283</v>
      </c>
      <c r="D172" t="s">
        <v>369</v>
      </c>
      <c r="E172" t="s">
        <v>400</v>
      </c>
      <c r="F172" s="4">
        <v>46123.394925810193</v>
      </c>
      <c r="G172" s="4">
        <v>46123.67344121528</v>
      </c>
      <c r="H172">
        <v>6.7</v>
      </c>
      <c r="I172" t="s">
        <v>9</v>
      </c>
      <c r="J172" t="s">
        <v>323</v>
      </c>
    </row>
    <row r="173" spans="1:10">
      <c r="A173" t="s">
        <v>719</v>
      </c>
      <c r="B173" t="s">
        <v>458</v>
      </c>
      <c r="C173" t="s">
        <v>73</v>
      </c>
      <c r="D173" t="s">
        <v>392</v>
      </c>
      <c r="E173" t="s">
        <v>400</v>
      </c>
      <c r="F173" s="4">
        <v>46146.030538981482</v>
      </c>
      <c r="G173" s="4">
        <v>46146.335841863423</v>
      </c>
      <c r="H173">
        <v>7.3</v>
      </c>
      <c r="I173" t="s">
        <v>9</v>
      </c>
      <c r="J173" t="s">
        <v>323</v>
      </c>
    </row>
    <row r="174" spans="1:10">
      <c r="A174" t="s">
        <v>720</v>
      </c>
      <c r="B174" t="s">
        <v>721</v>
      </c>
      <c r="C174" t="s">
        <v>273</v>
      </c>
      <c r="D174" t="s">
        <v>417</v>
      </c>
      <c r="E174" t="s">
        <v>393</v>
      </c>
      <c r="F174" s="4">
        <v>45947.699826863427</v>
      </c>
      <c r="G174" s="4">
        <v>45947.732874201392</v>
      </c>
      <c r="H174">
        <v>0.8</v>
      </c>
      <c r="I174" t="s">
        <v>12</v>
      </c>
      <c r="J174" t="s">
        <v>323</v>
      </c>
    </row>
    <row r="175" spans="1:10">
      <c r="A175" t="s">
        <v>722</v>
      </c>
      <c r="B175" t="s">
        <v>723</v>
      </c>
      <c r="C175" t="s">
        <v>185</v>
      </c>
      <c r="D175" t="s">
        <v>377</v>
      </c>
      <c r="E175" t="s">
        <v>400</v>
      </c>
      <c r="F175" s="4">
        <v>45920.133702349543</v>
      </c>
      <c r="G175" s="4">
        <v>45920.297131493047</v>
      </c>
      <c r="H175">
        <v>3.9</v>
      </c>
      <c r="I175" t="s">
        <v>9</v>
      </c>
      <c r="J175" t="s">
        <v>328</v>
      </c>
    </row>
    <row r="176" spans="1:10">
      <c r="A176" t="s">
        <v>724</v>
      </c>
      <c r="B176" t="s">
        <v>725</v>
      </c>
      <c r="C176" t="s">
        <v>49</v>
      </c>
      <c r="D176" t="s">
        <v>377</v>
      </c>
      <c r="E176" t="s">
        <v>440</v>
      </c>
      <c r="F176" s="4">
        <v>45895.594351562497</v>
      </c>
      <c r="G176" s="4">
        <v>45895.872506655091</v>
      </c>
      <c r="H176">
        <v>6.7</v>
      </c>
      <c r="I176" t="s">
        <v>9</v>
      </c>
      <c r="J176" t="s">
        <v>335</v>
      </c>
    </row>
    <row r="177" spans="1:10">
      <c r="A177" t="s">
        <v>726</v>
      </c>
      <c r="B177" t="s">
        <v>727</v>
      </c>
      <c r="C177" t="s">
        <v>66</v>
      </c>
      <c r="D177" t="s">
        <v>369</v>
      </c>
      <c r="E177" t="s">
        <v>370</v>
      </c>
      <c r="F177" s="4">
        <v>45951.593627118047</v>
      </c>
      <c r="G177" s="4">
        <v>45951.895699386572</v>
      </c>
      <c r="H177">
        <v>7.2</v>
      </c>
      <c r="I177" t="s">
        <v>9</v>
      </c>
      <c r="J177" t="s">
        <v>323</v>
      </c>
    </row>
    <row r="178" spans="1:10">
      <c r="A178" t="s">
        <v>728</v>
      </c>
      <c r="B178" t="s">
        <v>729</v>
      </c>
      <c r="C178" t="s">
        <v>170</v>
      </c>
      <c r="D178" t="s">
        <v>381</v>
      </c>
      <c r="E178" t="s">
        <v>374</v>
      </c>
      <c r="F178" s="4">
        <v>45986.879851307873</v>
      </c>
      <c r="G178" s="4">
        <v>45987.106647152781</v>
      </c>
      <c r="H178">
        <v>5.4</v>
      </c>
      <c r="I178" t="s">
        <v>9</v>
      </c>
      <c r="J178" t="s">
        <v>335</v>
      </c>
    </row>
    <row r="179" spans="1:10">
      <c r="A179" t="s">
        <v>730</v>
      </c>
      <c r="B179" t="s">
        <v>731</v>
      </c>
      <c r="C179" t="s">
        <v>247</v>
      </c>
      <c r="D179" t="s">
        <v>443</v>
      </c>
      <c r="E179" t="s">
        <v>374</v>
      </c>
      <c r="F179" s="4">
        <v>45854.25272592593</v>
      </c>
      <c r="G179" s="4">
        <v>45854.5690865625</v>
      </c>
      <c r="H179">
        <v>7.6</v>
      </c>
      <c r="I179" t="s">
        <v>9</v>
      </c>
      <c r="J179" t="s">
        <v>323</v>
      </c>
    </row>
    <row r="180" spans="1:10">
      <c r="A180" t="s">
        <v>732</v>
      </c>
      <c r="B180" t="s">
        <v>733</v>
      </c>
      <c r="C180" t="s">
        <v>351</v>
      </c>
      <c r="D180" t="s">
        <v>399</v>
      </c>
      <c r="E180" t="s">
        <v>370</v>
      </c>
      <c r="F180" s="4">
        <v>45942.42645554398</v>
      </c>
      <c r="G180" s="4">
        <v>45942.64356488426</v>
      </c>
      <c r="H180">
        <v>5.2</v>
      </c>
      <c r="I180" t="s">
        <v>9</v>
      </c>
      <c r="J180" t="s">
        <v>335</v>
      </c>
    </row>
    <row r="181" spans="1:10">
      <c r="A181" t="s">
        <v>734</v>
      </c>
      <c r="B181" t="s">
        <v>735</v>
      </c>
      <c r="C181" t="s">
        <v>183</v>
      </c>
      <c r="D181" t="s">
        <v>417</v>
      </c>
      <c r="E181" t="s">
        <v>440</v>
      </c>
      <c r="F181" s="4">
        <v>46045.520206759262</v>
      </c>
      <c r="G181" s="4">
        <v>46045.76679303241</v>
      </c>
      <c r="H181">
        <v>5.9</v>
      </c>
      <c r="I181" t="s">
        <v>12</v>
      </c>
      <c r="J181" t="s">
        <v>323</v>
      </c>
    </row>
    <row r="182" spans="1:10">
      <c r="A182" t="s">
        <v>736</v>
      </c>
      <c r="B182" t="s">
        <v>737</v>
      </c>
      <c r="C182" t="s">
        <v>105</v>
      </c>
      <c r="D182" t="s">
        <v>476</v>
      </c>
      <c r="E182" t="s">
        <v>378</v>
      </c>
      <c r="F182" s="4">
        <v>45885.174201041656</v>
      </c>
      <c r="G182" s="4">
        <v>45885.433115879627</v>
      </c>
      <c r="H182">
        <v>6.2</v>
      </c>
      <c r="I182" t="s">
        <v>12</v>
      </c>
      <c r="J182" t="s">
        <v>323</v>
      </c>
    </row>
    <row r="183" spans="1:10">
      <c r="A183" t="s">
        <v>738</v>
      </c>
      <c r="B183" t="s">
        <v>579</v>
      </c>
      <c r="C183" t="s">
        <v>76</v>
      </c>
      <c r="D183" t="s">
        <v>373</v>
      </c>
      <c r="E183" t="s">
        <v>396</v>
      </c>
      <c r="F183" s="4">
        <v>46040.934313564823</v>
      </c>
      <c r="G183" s="4">
        <v>46040.988029571759</v>
      </c>
      <c r="H183">
        <v>1.3</v>
      </c>
      <c r="I183" t="s">
        <v>9</v>
      </c>
      <c r="J183" t="s">
        <v>323</v>
      </c>
    </row>
    <row r="184" spans="1:10">
      <c r="A184" t="s">
        <v>739</v>
      </c>
      <c r="B184" t="s">
        <v>740</v>
      </c>
      <c r="C184" t="s">
        <v>34</v>
      </c>
      <c r="D184" t="s">
        <v>476</v>
      </c>
      <c r="E184" t="s">
        <v>396</v>
      </c>
      <c r="F184" s="4">
        <v>45874.686650347219</v>
      </c>
      <c r="G184" s="4">
        <v>45874.758995902783</v>
      </c>
      <c r="H184">
        <v>1.7</v>
      </c>
      <c r="I184" t="s">
        <v>12</v>
      </c>
      <c r="J184" t="s">
        <v>328</v>
      </c>
    </row>
    <row r="185" spans="1:10">
      <c r="A185" t="s">
        <v>741</v>
      </c>
      <c r="B185" t="s">
        <v>742</v>
      </c>
      <c r="C185" t="s">
        <v>105</v>
      </c>
      <c r="D185" t="s">
        <v>476</v>
      </c>
      <c r="E185" t="s">
        <v>396</v>
      </c>
      <c r="F185" s="4">
        <v>45860.081202789363</v>
      </c>
      <c r="G185" s="4">
        <v>45860.124909710648</v>
      </c>
      <c r="H185">
        <v>1</v>
      </c>
      <c r="I185" t="s">
        <v>9</v>
      </c>
      <c r="J185" t="s">
        <v>335</v>
      </c>
    </row>
    <row r="186" spans="1:10">
      <c r="A186" t="s">
        <v>743</v>
      </c>
      <c r="B186" t="s">
        <v>744</v>
      </c>
      <c r="C186" t="s">
        <v>180</v>
      </c>
      <c r="D186" t="s">
        <v>417</v>
      </c>
      <c r="E186" t="s">
        <v>387</v>
      </c>
      <c r="F186" s="4">
        <v>45898.765951134257</v>
      </c>
      <c r="G186" s="4">
        <v>45899.019896168982</v>
      </c>
      <c r="H186">
        <v>6.1</v>
      </c>
      <c r="I186" t="s">
        <v>9</v>
      </c>
      <c r="J186" t="s">
        <v>328</v>
      </c>
    </row>
    <row r="187" spans="1:10">
      <c r="A187" t="s">
        <v>745</v>
      </c>
      <c r="B187" t="s">
        <v>746</v>
      </c>
      <c r="C187" t="s">
        <v>273</v>
      </c>
      <c r="D187" t="s">
        <v>443</v>
      </c>
      <c r="E187" t="s">
        <v>440</v>
      </c>
      <c r="F187" s="4">
        <v>46083.010473738417</v>
      </c>
      <c r="G187" s="4">
        <v>46083.109621354168</v>
      </c>
      <c r="H187">
        <v>2.4</v>
      </c>
      <c r="I187" t="s">
        <v>9</v>
      </c>
      <c r="J187" t="s">
        <v>328</v>
      </c>
    </row>
    <row r="188" spans="1:10">
      <c r="A188" t="s">
        <v>747</v>
      </c>
      <c r="B188" t="s">
        <v>748</v>
      </c>
      <c r="C188" t="s">
        <v>87</v>
      </c>
      <c r="D188" t="s">
        <v>476</v>
      </c>
      <c r="E188" t="s">
        <v>403</v>
      </c>
      <c r="F188" s="4">
        <v>46012.013450289349</v>
      </c>
      <c r="G188" s="4">
        <v>46012.268244884261</v>
      </c>
      <c r="H188">
        <v>6.1</v>
      </c>
      <c r="I188" t="s">
        <v>9</v>
      </c>
      <c r="J188" t="s">
        <v>323</v>
      </c>
    </row>
    <row r="189" spans="1:10">
      <c r="A189" t="s">
        <v>749</v>
      </c>
      <c r="B189" t="s">
        <v>750</v>
      </c>
      <c r="C189" t="s">
        <v>87</v>
      </c>
      <c r="D189" t="s">
        <v>417</v>
      </c>
      <c r="E189" t="s">
        <v>403</v>
      </c>
      <c r="F189" s="4">
        <v>46104.359129780103</v>
      </c>
      <c r="G189" s="4">
        <v>46104.585282673608</v>
      </c>
      <c r="H189">
        <v>5.4</v>
      </c>
      <c r="I189" t="s">
        <v>9</v>
      </c>
      <c r="J189" t="s">
        <v>323</v>
      </c>
    </row>
    <row r="190" spans="1:10">
      <c r="A190" t="s">
        <v>751</v>
      </c>
      <c r="B190" t="s">
        <v>752</v>
      </c>
      <c r="C190" t="s">
        <v>245</v>
      </c>
      <c r="D190" t="s">
        <v>377</v>
      </c>
      <c r="E190" t="s">
        <v>414</v>
      </c>
      <c r="F190" s="4">
        <v>45958.186484664351</v>
      </c>
      <c r="G190" s="4">
        <v>45958.46370133102</v>
      </c>
      <c r="H190">
        <v>6.7</v>
      </c>
      <c r="I190" t="s">
        <v>9</v>
      </c>
      <c r="J190" t="s">
        <v>323</v>
      </c>
    </row>
    <row r="191" spans="1:10">
      <c r="A191" t="s">
        <v>753</v>
      </c>
      <c r="B191" t="s">
        <v>754</v>
      </c>
      <c r="C191" t="s">
        <v>29</v>
      </c>
      <c r="D191" t="s">
        <v>417</v>
      </c>
      <c r="E191" t="s">
        <v>378</v>
      </c>
      <c r="F191" s="4">
        <v>46042.027913726852</v>
      </c>
      <c r="G191" s="4">
        <v>46042.238430983787</v>
      </c>
      <c r="H191">
        <v>5.0999999999999996</v>
      </c>
      <c r="I191" t="s">
        <v>12</v>
      </c>
      <c r="J191" t="s">
        <v>323</v>
      </c>
    </row>
    <row r="192" spans="1:10">
      <c r="A192" t="s">
        <v>755</v>
      </c>
      <c r="B192" t="s">
        <v>756</v>
      </c>
      <c r="C192" t="s">
        <v>114</v>
      </c>
      <c r="D192" t="s">
        <v>399</v>
      </c>
      <c r="E192" t="s">
        <v>414</v>
      </c>
      <c r="F192" s="4">
        <v>46067.900825150457</v>
      </c>
      <c r="G192" s="4">
        <v>46068.04379895833</v>
      </c>
      <c r="H192">
        <v>3.4</v>
      </c>
      <c r="I192" t="s">
        <v>12</v>
      </c>
      <c r="J192" t="s">
        <v>328</v>
      </c>
    </row>
    <row r="193" spans="1:10">
      <c r="A193" t="s">
        <v>757</v>
      </c>
      <c r="B193" t="s">
        <v>758</v>
      </c>
      <c r="C193" t="s">
        <v>215</v>
      </c>
      <c r="D193" t="s">
        <v>443</v>
      </c>
      <c r="E193" t="s">
        <v>403</v>
      </c>
      <c r="F193" s="4">
        <v>45873.035688402779</v>
      </c>
      <c r="G193" s="4">
        <v>45873.104489386576</v>
      </c>
      <c r="H193">
        <v>1.7</v>
      </c>
      <c r="I193" t="s">
        <v>9</v>
      </c>
      <c r="J193" t="s">
        <v>328</v>
      </c>
    </row>
    <row r="194" spans="1:10">
      <c r="A194" t="s">
        <v>759</v>
      </c>
      <c r="B194" t="s">
        <v>760</v>
      </c>
      <c r="C194" t="s">
        <v>186</v>
      </c>
      <c r="D194" t="s">
        <v>417</v>
      </c>
      <c r="E194" t="s">
        <v>400</v>
      </c>
      <c r="F194" s="4">
        <v>45868.839988101849</v>
      </c>
      <c r="G194" s="4">
        <v>45869.139786342603</v>
      </c>
      <c r="H194">
        <v>7.2</v>
      </c>
      <c r="I194" t="s">
        <v>9</v>
      </c>
      <c r="J194" t="s">
        <v>335</v>
      </c>
    </row>
    <row r="195" spans="1:10">
      <c r="A195" t="s">
        <v>761</v>
      </c>
      <c r="B195" t="s">
        <v>762</v>
      </c>
      <c r="C195" t="s">
        <v>199</v>
      </c>
      <c r="D195" t="s">
        <v>369</v>
      </c>
      <c r="E195" t="s">
        <v>414</v>
      </c>
      <c r="F195" s="4">
        <v>46133.751254560193</v>
      </c>
      <c r="G195" s="4">
        <v>46134.033494502313</v>
      </c>
      <c r="H195">
        <v>6.8</v>
      </c>
      <c r="I195" t="s">
        <v>9</v>
      </c>
      <c r="J195" t="s">
        <v>328</v>
      </c>
    </row>
    <row r="196" spans="1:10">
      <c r="A196" t="s">
        <v>763</v>
      </c>
      <c r="B196" t="s">
        <v>764</v>
      </c>
      <c r="C196" t="s">
        <v>14</v>
      </c>
      <c r="D196" t="s">
        <v>443</v>
      </c>
      <c r="E196" t="s">
        <v>374</v>
      </c>
      <c r="F196" s="4">
        <v>45864.112152222217</v>
      </c>
      <c r="G196" s="4">
        <v>45864.339248182871</v>
      </c>
      <c r="H196">
        <v>5.5</v>
      </c>
      <c r="I196" t="s">
        <v>12</v>
      </c>
      <c r="J196" t="s">
        <v>335</v>
      </c>
    </row>
    <row r="197" spans="1:10">
      <c r="A197" t="s">
        <v>765</v>
      </c>
      <c r="B197" t="s">
        <v>766</v>
      </c>
      <c r="C197" t="s">
        <v>97</v>
      </c>
      <c r="D197" t="s">
        <v>381</v>
      </c>
      <c r="E197" t="s">
        <v>370</v>
      </c>
      <c r="F197" s="4">
        <v>46066.673575219909</v>
      </c>
      <c r="G197" s="4">
        <v>46066.881347719907</v>
      </c>
      <c r="H197">
        <v>5</v>
      </c>
      <c r="I197" t="s">
        <v>12</v>
      </c>
      <c r="J197" t="s">
        <v>328</v>
      </c>
    </row>
    <row r="198" spans="1:10">
      <c r="A198" t="s">
        <v>767</v>
      </c>
      <c r="B198" t="s">
        <v>398</v>
      </c>
      <c r="C198" t="s">
        <v>112</v>
      </c>
      <c r="D198" t="s">
        <v>399</v>
      </c>
      <c r="E198" t="s">
        <v>400</v>
      </c>
      <c r="F198" s="4">
        <v>45988.367318750003</v>
      </c>
      <c r="G198" s="4">
        <v>45988.678408506938</v>
      </c>
      <c r="H198">
        <v>7.5</v>
      </c>
      <c r="I198" t="s">
        <v>9</v>
      </c>
      <c r="J198" t="s">
        <v>323</v>
      </c>
    </row>
    <row r="199" spans="1:10">
      <c r="A199" t="s">
        <v>768</v>
      </c>
      <c r="B199" t="s">
        <v>769</v>
      </c>
      <c r="C199" t="s">
        <v>202</v>
      </c>
      <c r="D199" t="s">
        <v>369</v>
      </c>
      <c r="E199" t="s">
        <v>414</v>
      </c>
      <c r="F199" s="4">
        <v>46115.406661412038</v>
      </c>
      <c r="G199" s="4">
        <v>46115.432506759258</v>
      </c>
      <c r="H199">
        <v>0.6</v>
      </c>
      <c r="I199" t="s">
        <v>12</v>
      </c>
      <c r="J199" t="s">
        <v>335</v>
      </c>
    </row>
    <row r="200" spans="1:10">
      <c r="A200" t="s">
        <v>770</v>
      </c>
      <c r="B200" t="s">
        <v>771</v>
      </c>
      <c r="C200" t="s">
        <v>27</v>
      </c>
      <c r="D200" t="s">
        <v>417</v>
      </c>
      <c r="E200" t="s">
        <v>378</v>
      </c>
      <c r="F200" s="4">
        <v>46067.597993645832</v>
      </c>
      <c r="G200" s="4">
        <v>46067.678874432873</v>
      </c>
      <c r="H200">
        <v>1.9</v>
      </c>
      <c r="I200" t="s">
        <v>9</v>
      </c>
      <c r="J200" t="s">
        <v>335</v>
      </c>
    </row>
    <row r="201" spans="1:10">
      <c r="A201" t="s">
        <v>772</v>
      </c>
      <c r="B201" t="s">
        <v>773</v>
      </c>
      <c r="C201" t="s">
        <v>73</v>
      </c>
      <c r="D201" t="s">
        <v>381</v>
      </c>
      <c r="E201" t="s">
        <v>393</v>
      </c>
      <c r="F201" s="4">
        <v>45855.742374050933</v>
      </c>
      <c r="G201" s="4">
        <v>45855.793395891204</v>
      </c>
      <c r="H201">
        <v>1.2</v>
      </c>
      <c r="I201" t="s">
        <v>9</v>
      </c>
      <c r="J201" t="s">
        <v>335</v>
      </c>
    </row>
    <row r="202" spans="1:10">
      <c r="A202" t="s">
        <v>774</v>
      </c>
      <c r="B202" t="s">
        <v>775</v>
      </c>
      <c r="C202" t="s">
        <v>121</v>
      </c>
      <c r="D202" t="s">
        <v>476</v>
      </c>
      <c r="E202" t="s">
        <v>403</v>
      </c>
      <c r="F202" s="4">
        <v>45972.144858680564</v>
      </c>
      <c r="G202" s="4">
        <v>45972.21789428241</v>
      </c>
      <c r="H202">
        <v>1.8</v>
      </c>
      <c r="I202" t="s">
        <v>9</v>
      </c>
      <c r="J202" t="s">
        <v>323</v>
      </c>
    </row>
    <row r="203" spans="1:10">
      <c r="A203" t="s">
        <v>776</v>
      </c>
      <c r="B203" t="s">
        <v>777</v>
      </c>
      <c r="C203" t="s">
        <v>133</v>
      </c>
      <c r="D203" t="s">
        <v>381</v>
      </c>
      <c r="E203" t="s">
        <v>396</v>
      </c>
      <c r="F203" s="4">
        <v>45988.635532546286</v>
      </c>
      <c r="G203" s="4">
        <v>45988.757203252317</v>
      </c>
      <c r="H203">
        <v>2.9</v>
      </c>
      <c r="I203" t="s">
        <v>9</v>
      </c>
      <c r="J203" t="s">
        <v>335</v>
      </c>
    </row>
    <row r="204" spans="1:10">
      <c r="A204" t="s">
        <v>778</v>
      </c>
      <c r="B204" t="s">
        <v>407</v>
      </c>
      <c r="C204" t="s">
        <v>232</v>
      </c>
      <c r="D204" t="s">
        <v>384</v>
      </c>
      <c r="E204" t="s">
        <v>374</v>
      </c>
      <c r="F204" s="4">
        <v>46059.904069988428</v>
      </c>
      <c r="G204" s="4">
        <v>46060.094185393522</v>
      </c>
      <c r="H204">
        <v>4.5999999999999996</v>
      </c>
      <c r="I204" t="s">
        <v>9</v>
      </c>
      <c r="J204" t="s">
        <v>328</v>
      </c>
    </row>
    <row r="205" spans="1:10">
      <c r="A205" t="s">
        <v>779</v>
      </c>
      <c r="B205" t="s">
        <v>423</v>
      </c>
      <c r="C205" t="s">
        <v>34</v>
      </c>
      <c r="D205" t="s">
        <v>369</v>
      </c>
      <c r="E205" t="s">
        <v>414</v>
      </c>
      <c r="F205" s="4">
        <v>46035.480041388888</v>
      </c>
      <c r="G205" s="4">
        <v>46035.533963888891</v>
      </c>
      <c r="H205">
        <v>1.3</v>
      </c>
      <c r="I205" t="s">
        <v>9</v>
      </c>
      <c r="J205" t="s">
        <v>328</v>
      </c>
    </row>
    <row r="206" spans="1:10">
      <c r="A206" t="s">
        <v>780</v>
      </c>
      <c r="B206" t="s">
        <v>781</v>
      </c>
      <c r="C206" t="s">
        <v>43</v>
      </c>
      <c r="D206" t="s">
        <v>369</v>
      </c>
      <c r="E206" t="s">
        <v>387</v>
      </c>
      <c r="F206" s="4">
        <v>45903.044440138889</v>
      </c>
      <c r="G206" s="4">
        <v>45903.164098541667</v>
      </c>
      <c r="H206">
        <v>2.9</v>
      </c>
      <c r="I206" t="s">
        <v>9</v>
      </c>
      <c r="J206" t="s">
        <v>328</v>
      </c>
    </row>
    <row r="207" spans="1:10">
      <c r="A207" t="s">
        <v>782</v>
      </c>
      <c r="B207" t="s">
        <v>783</v>
      </c>
      <c r="C207" t="s">
        <v>129</v>
      </c>
      <c r="D207" t="s">
        <v>384</v>
      </c>
      <c r="E207" t="s">
        <v>370</v>
      </c>
      <c r="F207" s="4">
        <v>46093.805143854173</v>
      </c>
      <c r="G207" s="4">
        <v>46094.031590219907</v>
      </c>
      <c r="H207">
        <v>5.4</v>
      </c>
      <c r="I207" t="s">
        <v>9</v>
      </c>
      <c r="J207" t="s">
        <v>335</v>
      </c>
    </row>
    <row r="208" spans="1:10">
      <c r="A208" t="s">
        <v>784</v>
      </c>
      <c r="B208" t="s">
        <v>616</v>
      </c>
      <c r="C208" t="s">
        <v>235</v>
      </c>
      <c r="D208" t="s">
        <v>373</v>
      </c>
      <c r="E208" t="s">
        <v>366</v>
      </c>
      <c r="F208" s="4">
        <v>46125.906450046299</v>
      </c>
      <c r="G208" s="4">
        <v>46125.948324398138</v>
      </c>
      <c r="H208">
        <v>1</v>
      </c>
      <c r="I208" t="s">
        <v>12</v>
      </c>
      <c r="J208" t="s">
        <v>335</v>
      </c>
    </row>
    <row r="209" spans="1:10">
      <c r="A209" t="s">
        <v>785</v>
      </c>
      <c r="B209" t="s">
        <v>786</v>
      </c>
      <c r="C209" t="s">
        <v>103</v>
      </c>
      <c r="D209" t="s">
        <v>384</v>
      </c>
      <c r="E209" t="s">
        <v>370</v>
      </c>
      <c r="F209" s="4">
        <v>46150.958064236111</v>
      </c>
      <c r="G209" s="4">
        <v>46151.135015081018</v>
      </c>
      <c r="H209">
        <v>4.2</v>
      </c>
      <c r="I209" t="s">
        <v>9</v>
      </c>
      <c r="J209" t="s">
        <v>323</v>
      </c>
    </row>
    <row r="210" spans="1:10">
      <c r="A210" t="s">
        <v>787</v>
      </c>
      <c r="B210" t="s">
        <v>788</v>
      </c>
      <c r="C210" t="s">
        <v>66</v>
      </c>
      <c r="D210" t="s">
        <v>476</v>
      </c>
      <c r="E210" t="s">
        <v>440</v>
      </c>
      <c r="F210" s="4">
        <v>45886.0638071875</v>
      </c>
      <c r="G210" s="4">
        <v>45886.372835497677</v>
      </c>
      <c r="H210">
        <v>7.4</v>
      </c>
      <c r="I210" t="s">
        <v>9</v>
      </c>
      <c r="J210" t="s">
        <v>335</v>
      </c>
    </row>
    <row r="211" spans="1:10">
      <c r="A211" t="s">
        <v>789</v>
      </c>
      <c r="B211" t="s">
        <v>790</v>
      </c>
      <c r="C211" t="s">
        <v>215</v>
      </c>
      <c r="D211" t="s">
        <v>467</v>
      </c>
      <c r="E211" t="s">
        <v>378</v>
      </c>
      <c r="F211" s="4">
        <v>45852.014052314807</v>
      </c>
      <c r="G211" s="4">
        <v>45852.222344131937</v>
      </c>
      <c r="H211">
        <v>5</v>
      </c>
      <c r="I211" t="s">
        <v>9</v>
      </c>
      <c r="J211" t="s">
        <v>328</v>
      </c>
    </row>
    <row r="212" spans="1:10">
      <c r="A212" t="s">
        <v>791</v>
      </c>
      <c r="B212" t="s">
        <v>792</v>
      </c>
      <c r="C212" t="s">
        <v>23</v>
      </c>
      <c r="D212" t="s">
        <v>399</v>
      </c>
      <c r="E212" t="s">
        <v>370</v>
      </c>
      <c r="F212" s="4">
        <v>45964.290706597218</v>
      </c>
      <c r="G212" s="4">
        <v>45964.615404571763</v>
      </c>
      <c r="H212">
        <v>7.8</v>
      </c>
      <c r="I212" t="s">
        <v>9</v>
      </c>
      <c r="J212" t="s">
        <v>323</v>
      </c>
    </row>
    <row r="213" spans="1:10">
      <c r="A213" t="s">
        <v>793</v>
      </c>
      <c r="B213" t="s">
        <v>794</v>
      </c>
      <c r="C213" t="s">
        <v>21</v>
      </c>
      <c r="D213" t="s">
        <v>377</v>
      </c>
      <c r="E213" t="s">
        <v>396</v>
      </c>
      <c r="F213" s="4">
        <v>46141.245437916667</v>
      </c>
      <c r="G213" s="4">
        <v>46141.504307592593</v>
      </c>
      <c r="H213">
        <v>6.2</v>
      </c>
      <c r="I213" t="s">
        <v>9</v>
      </c>
      <c r="J213" t="s">
        <v>323</v>
      </c>
    </row>
    <row r="214" spans="1:10">
      <c r="A214" t="s">
        <v>795</v>
      </c>
      <c r="B214" t="s">
        <v>796</v>
      </c>
      <c r="C214" t="s">
        <v>127</v>
      </c>
      <c r="D214" t="s">
        <v>443</v>
      </c>
      <c r="E214" t="s">
        <v>366</v>
      </c>
      <c r="F214" s="4">
        <v>45891.993593796287</v>
      </c>
      <c r="G214" s="4">
        <v>45892.119147511577</v>
      </c>
      <c r="H214">
        <v>3</v>
      </c>
      <c r="I214" t="s">
        <v>9</v>
      </c>
      <c r="J214" t="s">
        <v>335</v>
      </c>
    </row>
    <row r="215" spans="1:10">
      <c r="A215" t="s">
        <v>797</v>
      </c>
      <c r="B215" t="s">
        <v>798</v>
      </c>
      <c r="C215" t="s">
        <v>97</v>
      </c>
      <c r="D215" t="s">
        <v>392</v>
      </c>
      <c r="E215" t="s">
        <v>400</v>
      </c>
      <c r="F215" s="4">
        <v>45894.217086736113</v>
      </c>
      <c r="G215" s="4">
        <v>45894.397615729169</v>
      </c>
      <c r="H215">
        <v>4.3</v>
      </c>
      <c r="I215" t="s">
        <v>9</v>
      </c>
      <c r="J215" t="s">
        <v>335</v>
      </c>
    </row>
    <row r="216" spans="1:10">
      <c r="A216" t="s">
        <v>799</v>
      </c>
      <c r="B216" t="s">
        <v>800</v>
      </c>
      <c r="C216" t="s">
        <v>185</v>
      </c>
      <c r="D216" t="s">
        <v>417</v>
      </c>
      <c r="E216" t="s">
        <v>378</v>
      </c>
      <c r="F216" s="4">
        <v>45861.924122418983</v>
      </c>
      <c r="G216" s="4">
        <v>45862.253824768522</v>
      </c>
      <c r="H216">
        <v>7.9</v>
      </c>
      <c r="I216" t="s">
        <v>9</v>
      </c>
      <c r="J216" t="s">
        <v>335</v>
      </c>
    </row>
    <row r="217" spans="1:10">
      <c r="A217" t="s">
        <v>801</v>
      </c>
      <c r="B217" t="s">
        <v>802</v>
      </c>
      <c r="C217" t="s">
        <v>59</v>
      </c>
      <c r="D217" t="s">
        <v>377</v>
      </c>
      <c r="E217" t="s">
        <v>366</v>
      </c>
      <c r="F217" s="4">
        <v>46039.232551527777</v>
      </c>
      <c r="G217" s="4">
        <v>46039.292152407397</v>
      </c>
      <c r="H217">
        <v>1.4</v>
      </c>
      <c r="I217" t="s">
        <v>9</v>
      </c>
      <c r="J217" t="s">
        <v>335</v>
      </c>
    </row>
    <row r="218" spans="1:10">
      <c r="A218" t="s">
        <v>803</v>
      </c>
      <c r="B218" t="s">
        <v>562</v>
      </c>
      <c r="C218" t="s">
        <v>173</v>
      </c>
      <c r="D218" t="s">
        <v>373</v>
      </c>
      <c r="E218" t="s">
        <v>378</v>
      </c>
      <c r="F218" s="4">
        <v>45978.042225092591</v>
      </c>
      <c r="G218" s="4">
        <v>45978.256735370371</v>
      </c>
      <c r="H218">
        <v>5.0999999999999996</v>
      </c>
      <c r="I218" t="s">
        <v>12</v>
      </c>
      <c r="J218" t="s">
        <v>335</v>
      </c>
    </row>
    <row r="219" spans="1:10">
      <c r="A219" t="s">
        <v>804</v>
      </c>
      <c r="B219" t="s">
        <v>681</v>
      </c>
      <c r="C219" t="s">
        <v>21</v>
      </c>
      <c r="D219" t="s">
        <v>399</v>
      </c>
      <c r="E219" t="s">
        <v>396</v>
      </c>
      <c r="F219" s="4">
        <v>45870.268233229173</v>
      </c>
      <c r="G219" s="4">
        <v>45870.352195243053</v>
      </c>
      <c r="H219">
        <v>2</v>
      </c>
      <c r="I219" t="s">
        <v>9</v>
      </c>
      <c r="J219" t="s">
        <v>335</v>
      </c>
    </row>
    <row r="220" spans="1:10">
      <c r="A220" t="s">
        <v>805</v>
      </c>
      <c r="B220" t="s">
        <v>806</v>
      </c>
      <c r="C220" t="s">
        <v>283</v>
      </c>
      <c r="D220" t="s">
        <v>369</v>
      </c>
      <c r="E220" t="s">
        <v>400</v>
      </c>
      <c r="F220" s="4">
        <v>45961.547699282397</v>
      </c>
      <c r="G220" s="4">
        <v>45961.857097962973</v>
      </c>
      <c r="H220">
        <v>7.4</v>
      </c>
      <c r="I220" t="s">
        <v>9</v>
      </c>
      <c r="J220" t="s">
        <v>335</v>
      </c>
    </row>
    <row r="221" spans="1:10">
      <c r="A221" t="s">
        <v>807</v>
      </c>
      <c r="B221" t="s">
        <v>808</v>
      </c>
      <c r="C221" t="s">
        <v>96</v>
      </c>
      <c r="D221" t="s">
        <v>392</v>
      </c>
      <c r="E221" t="s">
        <v>440</v>
      </c>
      <c r="F221" s="4">
        <v>45937.129656793979</v>
      </c>
      <c r="G221" s="4">
        <v>45937.253205706023</v>
      </c>
      <c r="H221">
        <v>3</v>
      </c>
      <c r="I221" t="s">
        <v>9</v>
      </c>
      <c r="J221" t="s">
        <v>328</v>
      </c>
    </row>
    <row r="222" spans="1:10">
      <c r="A222" t="s">
        <v>809</v>
      </c>
      <c r="B222" t="s">
        <v>810</v>
      </c>
      <c r="C222" t="s">
        <v>151</v>
      </c>
      <c r="D222" t="s">
        <v>392</v>
      </c>
      <c r="E222" t="s">
        <v>374</v>
      </c>
      <c r="F222" s="4">
        <v>46031.57856775463</v>
      </c>
      <c r="G222" s="4">
        <v>46031.611778425933</v>
      </c>
      <c r="H222">
        <v>0.8</v>
      </c>
      <c r="I222" t="s">
        <v>9</v>
      </c>
      <c r="J222" t="s">
        <v>323</v>
      </c>
    </row>
    <row r="223" spans="1:10">
      <c r="A223" t="s">
        <v>811</v>
      </c>
      <c r="B223" t="s">
        <v>812</v>
      </c>
      <c r="C223" t="s">
        <v>118</v>
      </c>
      <c r="D223" t="s">
        <v>373</v>
      </c>
      <c r="E223" t="s">
        <v>393</v>
      </c>
      <c r="F223" s="4">
        <v>45920.310620254633</v>
      </c>
      <c r="G223" s="4">
        <v>45920.421595798609</v>
      </c>
      <c r="H223">
        <v>2.7</v>
      </c>
      <c r="I223" t="s">
        <v>12</v>
      </c>
      <c r="J223" t="s">
        <v>328</v>
      </c>
    </row>
    <row r="224" spans="1:10">
      <c r="A224" t="s">
        <v>813</v>
      </c>
      <c r="B224" t="s">
        <v>596</v>
      </c>
      <c r="C224" t="s">
        <v>110</v>
      </c>
      <c r="D224" t="s">
        <v>443</v>
      </c>
      <c r="E224" t="s">
        <v>403</v>
      </c>
      <c r="F224" s="4">
        <v>45859.62475638889</v>
      </c>
      <c r="G224" s="4">
        <v>45859.709907662043</v>
      </c>
      <c r="H224">
        <v>2</v>
      </c>
      <c r="I224" t="s">
        <v>12</v>
      </c>
      <c r="J224" t="s">
        <v>335</v>
      </c>
    </row>
    <row r="225" spans="1:10">
      <c r="A225" t="s">
        <v>814</v>
      </c>
      <c r="B225" t="s">
        <v>775</v>
      </c>
      <c r="C225" t="s">
        <v>121</v>
      </c>
      <c r="D225" t="s">
        <v>476</v>
      </c>
      <c r="E225" t="s">
        <v>403</v>
      </c>
      <c r="F225" s="4">
        <v>45975.703748761567</v>
      </c>
      <c r="G225" s="4">
        <v>45975.975035787043</v>
      </c>
      <c r="H225">
        <v>6.5</v>
      </c>
      <c r="I225" t="s">
        <v>9</v>
      </c>
      <c r="J225" t="s">
        <v>323</v>
      </c>
    </row>
    <row r="226" spans="1:10">
      <c r="A226" t="s">
        <v>815</v>
      </c>
      <c r="B226" t="s">
        <v>816</v>
      </c>
      <c r="C226" t="s">
        <v>159</v>
      </c>
      <c r="D226" t="s">
        <v>384</v>
      </c>
      <c r="E226" t="s">
        <v>396</v>
      </c>
      <c r="F226" s="4">
        <v>46111.661350219911</v>
      </c>
      <c r="G226" s="4">
        <v>46111.80139789352</v>
      </c>
      <c r="H226">
        <v>3.4</v>
      </c>
      <c r="I226" t="s">
        <v>9</v>
      </c>
      <c r="J226" t="s">
        <v>335</v>
      </c>
    </row>
    <row r="227" spans="1:10">
      <c r="A227" t="s">
        <v>817</v>
      </c>
      <c r="B227" t="s">
        <v>762</v>
      </c>
      <c r="C227" t="s">
        <v>199</v>
      </c>
      <c r="D227" t="s">
        <v>369</v>
      </c>
      <c r="E227" t="s">
        <v>414</v>
      </c>
      <c r="F227" s="4">
        <v>46133.562929976863</v>
      </c>
      <c r="G227" s="4">
        <v>46133.603956087973</v>
      </c>
      <c r="H227">
        <v>1</v>
      </c>
      <c r="I227" t="s">
        <v>9</v>
      </c>
      <c r="J227" t="s">
        <v>328</v>
      </c>
    </row>
    <row r="228" spans="1:10">
      <c r="A228" t="s">
        <v>818</v>
      </c>
      <c r="B228" t="s">
        <v>566</v>
      </c>
      <c r="C228" t="s">
        <v>253</v>
      </c>
      <c r="D228" t="s">
        <v>369</v>
      </c>
      <c r="E228" t="s">
        <v>370</v>
      </c>
      <c r="F228" s="4">
        <v>45910.368741388891</v>
      </c>
      <c r="G228" s="4">
        <v>45910.699578657397</v>
      </c>
      <c r="H228">
        <v>7.9</v>
      </c>
      <c r="I228" t="s">
        <v>9</v>
      </c>
      <c r="J228" t="s">
        <v>323</v>
      </c>
    </row>
    <row r="229" spans="1:10">
      <c r="A229" t="s">
        <v>819</v>
      </c>
      <c r="B229" t="s">
        <v>820</v>
      </c>
      <c r="C229" t="s">
        <v>124</v>
      </c>
      <c r="D229" t="s">
        <v>373</v>
      </c>
      <c r="E229" t="s">
        <v>396</v>
      </c>
      <c r="F229" s="4">
        <v>45987.603266261583</v>
      </c>
      <c r="G229" s="4">
        <v>45987.809296678242</v>
      </c>
      <c r="H229">
        <v>4.9000000000000004</v>
      </c>
      <c r="I229" t="s">
        <v>9</v>
      </c>
      <c r="J229" t="s">
        <v>328</v>
      </c>
    </row>
    <row r="230" spans="1:10">
      <c r="A230" t="s">
        <v>821</v>
      </c>
      <c r="B230" t="s">
        <v>822</v>
      </c>
      <c r="C230" t="s">
        <v>273</v>
      </c>
      <c r="D230" t="s">
        <v>365</v>
      </c>
      <c r="E230" t="s">
        <v>400</v>
      </c>
      <c r="F230" s="4">
        <v>45916.420407361111</v>
      </c>
      <c r="G230" s="4">
        <v>45916.46566710648</v>
      </c>
      <c r="H230">
        <v>1.1000000000000001</v>
      </c>
      <c r="I230" t="s">
        <v>9</v>
      </c>
      <c r="J230" t="s">
        <v>328</v>
      </c>
    </row>
    <row r="231" spans="1:10">
      <c r="A231" t="s">
        <v>823</v>
      </c>
      <c r="B231" t="s">
        <v>824</v>
      </c>
      <c r="C231" t="s">
        <v>197</v>
      </c>
      <c r="D231" t="s">
        <v>392</v>
      </c>
      <c r="E231" t="s">
        <v>414</v>
      </c>
      <c r="F231" s="4">
        <v>45993.673563645832</v>
      </c>
      <c r="G231" s="4">
        <v>45993.756127060187</v>
      </c>
      <c r="H231">
        <v>2</v>
      </c>
      <c r="I231" t="s">
        <v>9</v>
      </c>
      <c r="J231" t="s">
        <v>328</v>
      </c>
    </row>
    <row r="232" spans="1:10">
      <c r="A232" t="s">
        <v>825</v>
      </c>
      <c r="B232" t="s">
        <v>826</v>
      </c>
      <c r="C232" t="s">
        <v>140</v>
      </c>
      <c r="D232" t="s">
        <v>373</v>
      </c>
      <c r="E232" t="s">
        <v>400</v>
      </c>
      <c r="F232" s="4">
        <v>46026.631079675928</v>
      </c>
      <c r="G232" s="4">
        <v>46026.741085787027</v>
      </c>
      <c r="H232">
        <v>2.6</v>
      </c>
      <c r="I232" t="s">
        <v>9</v>
      </c>
      <c r="J232" t="s">
        <v>335</v>
      </c>
    </row>
    <row r="233" spans="1:10">
      <c r="A233" t="s">
        <v>827</v>
      </c>
      <c r="B233" t="s">
        <v>828</v>
      </c>
      <c r="C233" t="s">
        <v>101</v>
      </c>
      <c r="D233" t="s">
        <v>365</v>
      </c>
      <c r="E233" t="s">
        <v>440</v>
      </c>
      <c r="F233" s="4">
        <v>46092.848109849539</v>
      </c>
      <c r="G233" s="4">
        <v>46093.138451157407</v>
      </c>
      <c r="H233">
        <v>7</v>
      </c>
      <c r="I233" t="s">
        <v>9</v>
      </c>
      <c r="J233" t="s">
        <v>328</v>
      </c>
    </row>
    <row r="234" spans="1:10">
      <c r="A234" t="s">
        <v>829</v>
      </c>
      <c r="B234" t="s">
        <v>602</v>
      </c>
      <c r="C234" t="s">
        <v>7</v>
      </c>
      <c r="D234" t="s">
        <v>467</v>
      </c>
      <c r="E234" t="s">
        <v>414</v>
      </c>
      <c r="F234" s="4">
        <v>46098.813631064811</v>
      </c>
      <c r="G234" s="4">
        <v>46098.886891284717</v>
      </c>
      <c r="H234">
        <v>1.8</v>
      </c>
      <c r="I234" t="s">
        <v>9</v>
      </c>
      <c r="J234" t="s">
        <v>335</v>
      </c>
    </row>
    <row r="235" spans="1:10">
      <c r="A235" t="s">
        <v>830</v>
      </c>
      <c r="B235" t="s">
        <v>831</v>
      </c>
      <c r="C235" t="s">
        <v>168</v>
      </c>
      <c r="D235" t="s">
        <v>377</v>
      </c>
      <c r="E235" t="s">
        <v>400</v>
      </c>
      <c r="F235" s="4">
        <v>45931.515693217603</v>
      </c>
      <c r="G235" s="4">
        <v>45931.67197358796</v>
      </c>
      <c r="H235">
        <v>3.8</v>
      </c>
      <c r="I235" t="s">
        <v>12</v>
      </c>
      <c r="J235" t="s">
        <v>328</v>
      </c>
    </row>
    <row r="236" spans="1:10">
      <c r="A236" t="s">
        <v>832</v>
      </c>
      <c r="B236" t="s">
        <v>471</v>
      </c>
      <c r="C236" t="s">
        <v>118</v>
      </c>
      <c r="D236" t="s">
        <v>365</v>
      </c>
      <c r="E236" t="s">
        <v>400</v>
      </c>
      <c r="F236" s="4">
        <v>46046.174051550923</v>
      </c>
      <c r="G236" s="4">
        <v>46046.314078414347</v>
      </c>
      <c r="H236">
        <v>3.4</v>
      </c>
      <c r="I236" t="s">
        <v>9</v>
      </c>
      <c r="J236" t="s">
        <v>335</v>
      </c>
    </row>
    <row r="237" spans="1:10">
      <c r="A237" t="s">
        <v>833</v>
      </c>
      <c r="B237" t="s">
        <v>478</v>
      </c>
      <c r="C237" t="s">
        <v>51</v>
      </c>
      <c r="D237" t="s">
        <v>417</v>
      </c>
      <c r="E237" t="s">
        <v>396</v>
      </c>
      <c r="F237" s="4">
        <v>46038.098475185187</v>
      </c>
      <c r="G237" s="4">
        <v>46038.167058113417</v>
      </c>
      <c r="H237">
        <v>1.6</v>
      </c>
      <c r="I237" t="s">
        <v>9</v>
      </c>
      <c r="J237" t="s">
        <v>335</v>
      </c>
    </row>
    <row r="238" spans="1:10">
      <c r="A238" t="s">
        <v>834</v>
      </c>
      <c r="B238" t="s">
        <v>835</v>
      </c>
      <c r="C238" t="s">
        <v>190</v>
      </c>
      <c r="D238" t="s">
        <v>381</v>
      </c>
      <c r="E238" t="s">
        <v>366</v>
      </c>
      <c r="F238" s="4">
        <v>45854.738048472223</v>
      </c>
      <c r="G238" s="4">
        <v>45854.854459085647</v>
      </c>
      <c r="H238">
        <v>2.8</v>
      </c>
      <c r="I238" t="s">
        <v>9</v>
      </c>
      <c r="J238" t="s">
        <v>323</v>
      </c>
    </row>
    <row r="239" spans="1:10">
      <c r="A239" t="s">
        <v>836</v>
      </c>
      <c r="B239" t="s">
        <v>837</v>
      </c>
      <c r="C239" t="s">
        <v>97</v>
      </c>
      <c r="D239" t="s">
        <v>467</v>
      </c>
      <c r="E239" t="s">
        <v>400</v>
      </c>
      <c r="F239" s="4">
        <v>45999.073087500001</v>
      </c>
      <c r="G239" s="4">
        <v>45999.116401979169</v>
      </c>
      <c r="H239">
        <v>1</v>
      </c>
      <c r="I239" t="s">
        <v>12</v>
      </c>
      <c r="J239" t="s">
        <v>335</v>
      </c>
    </row>
    <row r="240" spans="1:10">
      <c r="A240" t="s">
        <v>838</v>
      </c>
      <c r="B240" t="s">
        <v>839</v>
      </c>
      <c r="C240" t="s">
        <v>53</v>
      </c>
      <c r="D240" t="s">
        <v>377</v>
      </c>
      <c r="E240" t="s">
        <v>374</v>
      </c>
      <c r="F240" s="4">
        <v>46074.703870567129</v>
      </c>
      <c r="G240" s="4">
        <v>46075.010995127312</v>
      </c>
      <c r="H240">
        <v>7.4</v>
      </c>
      <c r="I240" t="s">
        <v>12</v>
      </c>
      <c r="J240" t="s">
        <v>328</v>
      </c>
    </row>
    <row r="241" spans="1:10">
      <c r="A241" t="s">
        <v>840</v>
      </c>
      <c r="B241" t="s">
        <v>841</v>
      </c>
      <c r="C241" t="s">
        <v>269</v>
      </c>
      <c r="D241" t="s">
        <v>369</v>
      </c>
      <c r="E241" t="s">
        <v>378</v>
      </c>
      <c r="F241" s="4">
        <v>46067.983276782397</v>
      </c>
      <c r="G241" s="4">
        <v>46068.12106568287</v>
      </c>
      <c r="H241">
        <v>3.3</v>
      </c>
      <c r="I241" t="s">
        <v>9</v>
      </c>
      <c r="J241" t="s">
        <v>335</v>
      </c>
    </row>
    <row r="242" spans="1:10">
      <c r="A242" t="s">
        <v>842</v>
      </c>
      <c r="B242" t="s">
        <v>727</v>
      </c>
      <c r="C242" t="s">
        <v>66</v>
      </c>
      <c r="D242" t="s">
        <v>369</v>
      </c>
      <c r="E242" t="s">
        <v>370</v>
      </c>
      <c r="F242" s="4">
        <v>45953.356060034719</v>
      </c>
      <c r="G242" s="4">
        <v>45953.680172326392</v>
      </c>
      <c r="H242">
        <v>7.8</v>
      </c>
      <c r="I242" t="s">
        <v>9</v>
      </c>
      <c r="J242" t="s">
        <v>323</v>
      </c>
    </row>
    <row r="243" spans="1:10">
      <c r="A243" t="s">
        <v>843</v>
      </c>
      <c r="B243" t="s">
        <v>844</v>
      </c>
      <c r="C243" t="s">
        <v>16</v>
      </c>
      <c r="D243" t="s">
        <v>392</v>
      </c>
      <c r="E243" t="s">
        <v>400</v>
      </c>
      <c r="F243" s="4">
        <v>46073.538701041667</v>
      </c>
      <c r="G243" s="4">
        <v>46073.868135011573</v>
      </c>
      <c r="H243">
        <v>7.9</v>
      </c>
      <c r="I243" t="s">
        <v>12</v>
      </c>
      <c r="J243" t="s">
        <v>323</v>
      </c>
    </row>
    <row r="244" spans="1:10">
      <c r="A244" t="s">
        <v>845</v>
      </c>
      <c r="B244" t="s">
        <v>846</v>
      </c>
      <c r="C244" t="s">
        <v>29</v>
      </c>
      <c r="D244" t="s">
        <v>399</v>
      </c>
      <c r="E244" t="s">
        <v>366</v>
      </c>
      <c r="F244" s="4">
        <v>45943.03197729167</v>
      </c>
      <c r="G244" s="4">
        <v>45943.091709849527</v>
      </c>
      <c r="H244">
        <v>1.4</v>
      </c>
      <c r="I244" t="s">
        <v>9</v>
      </c>
      <c r="J244" t="s">
        <v>328</v>
      </c>
    </row>
    <row r="245" spans="1:10">
      <c r="A245" t="s">
        <v>847</v>
      </c>
      <c r="B245" t="s">
        <v>848</v>
      </c>
      <c r="C245" t="s">
        <v>34</v>
      </c>
      <c r="D245" t="s">
        <v>369</v>
      </c>
      <c r="E245" t="s">
        <v>414</v>
      </c>
      <c r="F245" s="4">
        <v>46008.712425625003</v>
      </c>
      <c r="G245" s="4">
        <v>46008.869602060193</v>
      </c>
      <c r="H245">
        <v>3.8</v>
      </c>
      <c r="I245" t="s">
        <v>9</v>
      </c>
      <c r="J245" t="s">
        <v>323</v>
      </c>
    </row>
    <row r="246" spans="1:10">
      <c r="A246" t="s">
        <v>849</v>
      </c>
      <c r="B246" t="s">
        <v>850</v>
      </c>
      <c r="C246" t="s">
        <v>66</v>
      </c>
      <c r="D246" t="s">
        <v>399</v>
      </c>
      <c r="E246" t="s">
        <v>414</v>
      </c>
      <c r="F246" s="4">
        <v>45969.918024803243</v>
      </c>
      <c r="G246" s="4">
        <v>45970.091552465281</v>
      </c>
      <c r="H246">
        <v>4.2</v>
      </c>
      <c r="I246" t="s">
        <v>9</v>
      </c>
      <c r="J246" t="s">
        <v>335</v>
      </c>
    </row>
    <row r="247" spans="1:10">
      <c r="A247" t="s">
        <v>851</v>
      </c>
      <c r="B247" t="s">
        <v>442</v>
      </c>
      <c r="C247" t="s">
        <v>103</v>
      </c>
      <c r="D247" t="s">
        <v>443</v>
      </c>
      <c r="E247" t="s">
        <v>374</v>
      </c>
      <c r="F247" s="4">
        <v>45879.610224687502</v>
      </c>
      <c r="G247" s="4">
        <v>45879.920595127318</v>
      </c>
      <c r="H247">
        <v>7.4</v>
      </c>
      <c r="I247" t="s">
        <v>9</v>
      </c>
      <c r="J247" t="s">
        <v>323</v>
      </c>
    </row>
    <row r="248" spans="1:10">
      <c r="A248" t="s">
        <v>852</v>
      </c>
      <c r="B248" t="s">
        <v>853</v>
      </c>
      <c r="C248" t="s">
        <v>235</v>
      </c>
      <c r="D248" t="s">
        <v>467</v>
      </c>
      <c r="E248" t="s">
        <v>374</v>
      </c>
      <c r="F248" s="4">
        <v>45917.464060532409</v>
      </c>
      <c r="G248" s="4">
        <v>45917.772852789349</v>
      </c>
      <c r="H248">
        <v>7.4</v>
      </c>
      <c r="I248" t="s">
        <v>9</v>
      </c>
      <c r="J248" t="s">
        <v>328</v>
      </c>
    </row>
    <row r="249" spans="1:10">
      <c r="A249" t="s">
        <v>854</v>
      </c>
      <c r="B249" t="s">
        <v>855</v>
      </c>
      <c r="C249" t="s">
        <v>76</v>
      </c>
      <c r="D249" t="s">
        <v>467</v>
      </c>
      <c r="E249" t="s">
        <v>387</v>
      </c>
      <c r="F249" s="4">
        <v>46100.828892592603</v>
      </c>
      <c r="G249" s="4">
        <v>46101.057749571759</v>
      </c>
      <c r="H249">
        <v>5.5</v>
      </c>
      <c r="I249" t="s">
        <v>12</v>
      </c>
      <c r="J249" t="s">
        <v>323</v>
      </c>
    </row>
    <row r="250" spans="1:10">
      <c r="A250" t="s">
        <v>856</v>
      </c>
      <c r="B250" t="s">
        <v>857</v>
      </c>
      <c r="C250" t="s">
        <v>249</v>
      </c>
      <c r="D250" t="s">
        <v>381</v>
      </c>
      <c r="E250" t="s">
        <v>374</v>
      </c>
      <c r="F250" s="4">
        <v>45978.080184560182</v>
      </c>
      <c r="G250" s="4">
        <v>45978.313851168983</v>
      </c>
      <c r="H250">
        <v>5.6</v>
      </c>
      <c r="I250" t="s">
        <v>9</v>
      </c>
      <c r="J250" t="s">
        <v>323</v>
      </c>
    </row>
    <row r="251" spans="1:10">
      <c r="A251" t="s">
        <v>858</v>
      </c>
      <c r="B251" t="s">
        <v>859</v>
      </c>
      <c r="C251" t="s">
        <v>260</v>
      </c>
      <c r="D251" t="s">
        <v>399</v>
      </c>
      <c r="E251" t="s">
        <v>440</v>
      </c>
      <c r="F251" s="4">
        <v>46135.286453749999</v>
      </c>
      <c r="G251" s="4">
        <v>46135.514351041667</v>
      </c>
      <c r="H251">
        <v>5.5</v>
      </c>
      <c r="I251" t="s">
        <v>12</v>
      </c>
      <c r="J251" t="s">
        <v>335</v>
      </c>
    </row>
    <row r="252" spans="1:10">
      <c r="A252" t="s">
        <v>860</v>
      </c>
      <c r="B252" t="s">
        <v>861</v>
      </c>
      <c r="C252" t="s">
        <v>32</v>
      </c>
      <c r="D252" t="s">
        <v>443</v>
      </c>
      <c r="E252" t="s">
        <v>440</v>
      </c>
      <c r="F252" s="4">
        <v>45926.381697187499</v>
      </c>
      <c r="G252" s="4">
        <v>45926.603904710653</v>
      </c>
      <c r="H252">
        <v>5.3</v>
      </c>
      <c r="I252" t="s">
        <v>9</v>
      </c>
      <c r="J252" t="s">
        <v>328</v>
      </c>
    </row>
    <row r="253" spans="1:10">
      <c r="A253" t="s">
        <v>862</v>
      </c>
      <c r="B253" t="s">
        <v>863</v>
      </c>
      <c r="C253" t="s">
        <v>226</v>
      </c>
      <c r="D253" t="s">
        <v>443</v>
      </c>
      <c r="E253" t="s">
        <v>403</v>
      </c>
      <c r="F253" s="4">
        <v>45871.839468136583</v>
      </c>
      <c r="G253" s="4">
        <v>45872.164721967587</v>
      </c>
      <c r="H253">
        <v>7.8</v>
      </c>
      <c r="I253" t="s">
        <v>12</v>
      </c>
      <c r="J253" t="s">
        <v>335</v>
      </c>
    </row>
    <row r="254" spans="1:10">
      <c r="A254" t="s">
        <v>864</v>
      </c>
      <c r="B254" t="s">
        <v>624</v>
      </c>
      <c r="C254" t="s">
        <v>188</v>
      </c>
      <c r="D254" t="s">
        <v>384</v>
      </c>
      <c r="E254" t="s">
        <v>400</v>
      </c>
      <c r="F254" s="4">
        <v>46106.842363842603</v>
      </c>
      <c r="G254" s="4">
        <v>46106.915017060193</v>
      </c>
      <c r="H254">
        <v>1.7</v>
      </c>
      <c r="I254" t="s">
        <v>9</v>
      </c>
      <c r="J254" t="s">
        <v>323</v>
      </c>
    </row>
    <row r="255" spans="1:10">
      <c r="A255" t="s">
        <v>865</v>
      </c>
      <c r="B255" t="s">
        <v>866</v>
      </c>
      <c r="C255" t="s">
        <v>56</v>
      </c>
      <c r="D255" t="s">
        <v>476</v>
      </c>
      <c r="E255" t="s">
        <v>403</v>
      </c>
      <c r="F255" s="4">
        <v>45942.359767118047</v>
      </c>
      <c r="G255" s="4">
        <v>45942.547225856477</v>
      </c>
      <c r="H255">
        <v>4.5</v>
      </c>
      <c r="I255" t="s">
        <v>9</v>
      </c>
      <c r="J255" t="s">
        <v>323</v>
      </c>
    </row>
    <row r="256" spans="1:10">
      <c r="A256" t="s">
        <v>867</v>
      </c>
      <c r="B256" t="s">
        <v>868</v>
      </c>
      <c r="C256" t="s">
        <v>27</v>
      </c>
      <c r="D256" t="s">
        <v>443</v>
      </c>
      <c r="E256" t="s">
        <v>400</v>
      </c>
      <c r="F256" s="4">
        <v>45925.431092800929</v>
      </c>
      <c r="G256" s="4">
        <v>45925.580553946762</v>
      </c>
      <c r="H256">
        <v>3.6</v>
      </c>
      <c r="I256" t="s">
        <v>9</v>
      </c>
      <c r="J256" t="s">
        <v>328</v>
      </c>
    </row>
    <row r="257" spans="1:10">
      <c r="A257" t="s">
        <v>869</v>
      </c>
      <c r="B257" t="s">
        <v>437</v>
      </c>
      <c r="C257" t="s">
        <v>225</v>
      </c>
      <c r="D257" t="s">
        <v>365</v>
      </c>
      <c r="E257" t="s">
        <v>393</v>
      </c>
      <c r="F257" s="4">
        <v>46079.419164930558</v>
      </c>
      <c r="G257" s="4">
        <v>46079.6189394213</v>
      </c>
      <c r="H257">
        <v>4.8</v>
      </c>
      <c r="I257" t="s">
        <v>9</v>
      </c>
      <c r="J257" t="s">
        <v>323</v>
      </c>
    </row>
    <row r="258" spans="1:10">
      <c r="A258" t="s">
        <v>870</v>
      </c>
      <c r="B258" t="s">
        <v>718</v>
      </c>
      <c r="C258" t="s">
        <v>283</v>
      </c>
      <c r="D258" t="s">
        <v>369</v>
      </c>
      <c r="E258" t="s">
        <v>400</v>
      </c>
      <c r="F258" s="4">
        <v>46122.693238888889</v>
      </c>
      <c r="G258" s="4">
        <v>46122.779548958337</v>
      </c>
      <c r="H258">
        <v>2.1</v>
      </c>
      <c r="I258" t="s">
        <v>9</v>
      </c>
      <c r="J258" t="s">
        <v>323</v>
      </c>
    </row>
    <row r="259" spans="1:10">
      <c r="A259" t="s">
        <v>871</v>
      </c>
      <c r="B259" t="s">
        <v>766</v>
      </c>
      <c r="C259" t="s">
        <v>97</v>
      </c>
      <c r="D259" t="s">
        <v>381</v>
      </c>
      <c r="E259" t="s">
        <v>370</v>
      </c>
      <c r="F259" s="4">
        <v>46065.311649861113</v>
      </c>
      <c r="G259" s="4">
        <v>46065.385107789349</v>
      </c>
      <c r="H259">
        <v>1.8</v>
      </c>
      <c r="I259" t="s">
        <v>9</v>
      </c>
      <c r="J259" t="s">
        <v>328</v>
      </c>
    </row>
    <row r="260" spans="1:10">
      <c r="A260" t="s">
        <v>872</v>
      </c>
      <c r="B260" t="s">
        <v>873</v>
      </c>
      <c r="C260" t="s">
        <v>186</v>
      </c>
      <c r="D260" t="s">
        <v>373</v>
      </c>
      <c r="E260" t="s">
        <v>366</v>
      </c>
      <c r="F260" s="4">
        <v>45895.346323055557</v>
      </c>
      <c r="G260" s="4">
        <v>45895.584755358803</v>
      </c>
      <c r="H260">
        <v>5.7</v>
      </c>
      <c r="I260" t="s">
        <v>9</v>
      </c>
      <c r="J260" t="s">
        <v>335</v>
      </c>
    </row>
    <row r="261" spans="1:10">
      <c r="A261" t="s">
        <v>874</v>
      </c>
      <c r="B261" t="s">
        <v>875</v>
      </c>
      <c r="C261" t="s">
        <v>196</v>
      </c>
      <c r="D261" t="s">
        <v>365</v>
      </c>
      <c r="E261" t="s">
        <v>440</v>
      </c>
      <c r="F261" s="4">
        <v>46055.275124664353</v>
      </c>
      <c r="G261" s="4">
        <v>46055.430629745373</v>
      </c>
      <c r="H261">
        <v>3.7</v>
      </c>
      <c r="I261" t="s">
        <v>12</v>
      </c>
      <c r="J261" t="s">
        <v>335</v>
      </c>
    </row>
    <row r="262" spans="1:10">
      <c r="A262" t="s">
        <v>876</v>
      </c>
      <c r="B262" t="s">
        <v>877</v>
      </c>
      <c r="C262" t="s">
        <v>118</v>
      </c>
      <c r="D262" t="s">
        <v>392</v>
      </c>
      <c r="E262" t="s">
        <v>400</v>
      </c>
      <c r="F262" s="4">
        <v>46074.396026539347</v>
      </c>
      <c r="G262" s="4">
        <v>46074.478741296298</v>
      </c>
      <c r="H262">
        <v>2</v>
      </c>
      <c r="I262" t="s">
        <v>12</v>
      </c>
      <c r="J262" t="s">
        <v>328</v>
      </c>
    </row>
    <row r="263" spans="1:10">
      <c r="A263" t="s">
        <v>878</v>
      </c>
      <c r="B263" t="s">
        <v>879</v>
      </c>
      <c r="C263" t="s">
        <v>49</v>
      </c>
      <c r="D263" t="s">
        <v>392</v>
      </c>
      <c r="E263" t="s">
        <v>403</v>
      </c>
      <c r="F263" s="4">
        <v>45935.455258773152</v>
      </c>
      <c r="G263" s="4">
        <v>45935.730582881937</v>
      </c>
      <c r="H263">
        <v>6.6</v>
      </c>
      <c r="I263" t="s">
        <v>12</v>
      </c>
      <c r="J263" t="s">
        <v>323</v>
      </c>
    </row>
    <row r="264" spans="1:10">
      <c r="A264" t="s">
        <v>880</v>
      </c>
      <c r="B264" t="s">
        <v>439</v>
      </c>
      <c r="C264" t="s">
        <v>208</v>
      </c>
      <c r="D264" t="s">
        <v>399</v>
      </c>
      <c r="E264" t="s">
        <v>440</v>
      </c>
      <c r="F264" s="4">
        <v>45961.412383425923</v>
      </c>
      <c r="G264" s="4">
        <v>45961.686085081019</v>
      </c>
      <c r="H264">
        <v>6.6</v>
      </c>
      <c r="I264" t="s">
        <v>12</v>
      </c>
      <c r="J264" t="s">
        <v>328</v>
      </c>
    </row>
    <row r="265" spans="1:10">
      <c r="A265" t="s">
        <v>881</v>
      </c>
      <c r="B265" t="s">
        <v>376</v>
      </c>
      <c r="C265" t="s">
        <v>202</v>
      </c>
      <c r="D265" t="s">
        <v>377</v>
      </c>
      <c r="E265" t="s">
        <v>378</v>
      </c>
      <c r="F265" s="4">
        <v>45968.151155543979</v>
      </c>
      <c r="G265" s="4">
        <v>45968.45729244213</v>
      </c>
      <c r="H265">
        <v>7.3</v>
      </c>
      <c r="I265" t="s">
        <v>12</v>
      </c>
      <c r="J265" t="s">
        <v>323</v>
      </c>
    </row>
    <row r="266" spans="1:10">
      <c r="A266" t="s">
        <v>882</v>
      </c>
      <c r="B266" t="s">
        <v>622</v>
      </c>
      <c r="C266" t="s">
        <v>69</v>
      </c>
      <c r="D266" t="s">
        <v>381</v>
      </c>
      <c r="E266" t="s">
        <v>370</v>
      </c>
      <c r="F266" s="4">
        <v>45902.617537534723</v>
      </c>
      <c r="G266" s="4">
        <v>45902.729972615743</v>
      </c>
      <c r="H266">
        <v>2.7</v>
      </c>
      <c r="I266" t="s">
        <v>9</v>
      </c>
      <c r="J266" t="s">
        <v>323</v>
      </c>
    </row>
    <row r="267" spans="1:10">
      <c r="A267" t="s">
        <v>883</v>
      </c>
      <c r="B267" t="s">
        <v>884</v>
      </c>
      <c r="C267" t="s">
        <v>99</v>
      </c>
      <c r="D267" t="s">
        <v>392</v>
      </c>
      <c r="E267" t="s">
        <v>440</v>
      </c>
      <c r="F267" s="4">
        <v>45863.997530231478</v>
      </c>
      <c r="G267" s="4">
        <v>45864.027634386577</v>
      </c>
      <c r="H267">
        <v>0.7</v>
      </c>
      <c r="I267" t="s">
        <v>9</v>
      </c>
      <c r="J267" t="s">
        <v>323</v>
      </c>
    </row>
    <row r="268" spans="1:10">
      <c r="A268" t="s">
        <v>885</v>
      </c>
      <c r="B268" t="s">
        <v>886</v>
      </c>
      <c r="C268" t="s">
        <v>71</v>
      </c>
      <c r="D268" t="s">
        <v>392</v>
      </c>
      <c r="E268" t="s">
        <v>414</v>
      </c>
      <c r="F268" s="4">
        <v>46064.145331874999</v>
      </c>
      <c r="G268" s="4">
        <v>46064.197668067129</v>
      </c>
      <c r="H268">
        <v>1.3</v>
      </c>
      <c r="I268" t="s">
        <v>12</v>
      </c>
      <c r="J268" t="s">
        <v>335</v>
      </c>
    </row>
    <row r="269" spans="1:10">
      <c r="A269" t="s">
        <v>887</v>
      </c>
      <c r="B269" t="s">
        <v>511</v>
      </c>
      <c r="C269" t="s">
        <v>260</v>
      </c>
      <c r="D269" t="s">
        <v>369</v>
      </c>
      <c r="E269" t="s">
        <v>393</v>
      </c>
      <c r="F269" s="4">
        <v>45910.118110000003</v>
      </c>
      <c r="G269" s="4">
        <v>45910.385570578706</v>
      </c>
      <c r="H269">
        <v>6.4</v>
      </c>
      <c r="I269" t="s">
        <v>12</v>
      </c>
      <c r="J269" t="s">
        <v>335</v>
      </c>
    </row>
    <row r="270" spans="1:10">
      <c r="A270" t="s">
        <v>888</v>
      </c>
      <c r="B270" t="s">
        <v>889</v>
      </c>
      <c r="C270" t="s">
        <v>232</v>
      </c>
      <c r="D270" t="s">
        <v>417</v>
      </c>
      <c r="E270" t="s">
        <v>374</v>
      </c>
      <c r="F270" s="4">
        <v>45884.636933530091</v>
      </c>
      <c r="G270" s="4">
        <v>45884.660036226851</v>
      </c>
      <c r="H270">
        <v>0.6</v>
      </c>
      <c r="I270" t="s">
        <v>9</v>
      </c>
      <c r="J270" t="s">
        <v>323</v>
      </c>
    </row>
    <row r="271" spans="1:10">
      <c r="A271" t="s">
        <v>890</v>
      </c>
      <c r="B271" t="s">
        <v>891</v>
      </c>
      <c r="C271" t="s">
        <v>61</v>
      </c>
      <c r="D271" t="s">
        <v>476</v>
      </c>
      <c r="E271" t="s">
        <v>393</v>
      </c>
      <c r="F271" s="4">
        <v>45933.585747881953</v>
      </c>
      <c r="G271" s="4">
        <v>45933.754466145831</v>
      </c>
      <c r="H271">
        <v>4</v>
      </c>
      <c r="I271" t="s">
        <v>9</v>
      </c>
      <c r="J271" t="s">
        <v>335</v>
      </c>
    </row>
    <row r="272" spans="1:10">
      <c r="A272" t="s">
        <v>892</v>
      </c>
      <c r="B272" t="s">
        <v>893</v>
      </c>
      <c r="C272" t="s">
        <v>80</v>
      </c>
      <c r="D272" t="s">
        <v>369</v>
      </c>
      <c r="E272" t="s">
        <v>414</v>
      </c>
      <c r="F272" s="4">
        <v>45890.43753560185</v>
      </c>
      <c r="G272" s="4">
        <v>45890.671450185182</v>
      </c>
      <c r="H272">
        <v>5.6</v>
      </c>
      <c r="I272" t="s">
        <v>9</v>
      </c>
      <c r="J272" t="s">
        <v>335</v>
      </c>
    </row>
    <row r="273" spans="1:10">
      <c r="A273" t="s">
        <v>894</v>
      </c>
      <c r="B273" t="s">
        <v>895</v>
      </c>
      <c r="C273" t="s">
        <v>215</v>
      </c>
      <c r="D273" t="s">
        <v>399</v>
      </c>
      <c r="E273" t="s">
        <v>414</v>
      </c>
      <c r="F273" s="4">
        <v>46118.368032546299</v>
      </c>
      <c r="G273" s="4">
        <v>46118.682925578702</v>
      </c>
      <c r="H273">
        <v>7.6</v>
      </c>
      <c r="I273" t="s">
        <v>9</v>
      </c>
      <c r="J273" t="s">
        <v>323</v>
      </c>
    </row>
    <row r="274" spans="1:10">
      <c r="A274" t="s">
        <v>896</v>
      </c>
      <c r="B274" t="s">
        <v>897</v>
      </c>
      <c r="C274" t="s">
        <v>245</v>
      </c>
      <c r="D274" t="s">
        <v>443</v>
      </c>
      <c r="E274" t="s">
        <v>370</v>
      </c>
      <c r="F274" s="4">
        <v>45876.205694976852</v>
      </c>
      <c r="G274" s="4">
        <v>45876.531311134262</v>
      </c>
      <c r="H274">
        <v>7.8</v>
      </c>
      <c r="I274" t="s">
        <v>9</v>
      </c>
      <c r="J274" t="s">
        <v>335</v>
      </c>
    </row>
    <row r="275" spans="1:10">
      <c r="A275" t="s">
        <v>898</v>
      </c>
      <c r="B275" t="s">
        <v>899</v>
      </c>
      <c r="C275" t="s">
        <v>183</v>
      </c>
      <c r="D275" t="s">
        <v>381</v>
      </c>
      <c r="E275" t="s">
        <v>393</v>
      </c>
      <c r="F275" s="4">
        <v>46086.255411006947</v>
      </c>
      <c r="G275" s="4">
        <v>46086.548288564823</v>
      </c>
      <c r="H275">
        <v>7</v>
      </c>
      <c r="I275" t="s">
        <v>9</v>
      </c>
      <c r="J275" t="s">
        <v>335</v>
      </c>
    </row>
    <row r="276" spans="1:10">
      <c r="A276" t="s">
        <v>900</v>
      </c>
      <c r="B276" t="s">
        <v>901</v>
      </c>
      <c r="C276" t="s">
        <v>301</v>
      </c>
      <c r="D276" t="s">
        <v>476</v>
      </c>
      <c r="E276" t="s">
        <v>414</v>
      </c>
      <c r="F276" s="4">
        <v>45869.887540254633</v>
      </c>
      <c r="G276" s="4">
        <v>45869.946778136567</v>
      </c>
      <c r="H276">
        <v>1.4</v>
      </c>
      <c r="I276" t="s">
        <v>9</v>
      </c>
      <c r="J276" t="s">
        <v>323</v>
      </c>
    </row>
    <row r="277" spans="1:10">
      <c r="A277" t="s">
        <v>902</v>
      </c>
      <c r="B277" t="s">
        <v>903</v>
      </c>
      <c r="C277" t="s">
        <v>127</v>
      </c>
      <c r="D277" t="s">
        <v>369</v>
      </c>
      <c r="E277" t="s">
        <v>456</v>
      </c>
      <c r="F277" s="4">
        <v>45916.741704467589</v>
      </c>
      <c r="G277" s="4">
        <v>45916.955772696761</v>
      </c>
      <c r="H277">
        <v>5.0999999999999996</v>
      </c>
      <c r="I277" t="s">
        <v>9</v>
      </c>
      <c r="J277" t="s">
        <v>323</v>
      </c>
    </row>
    <row r="278" spans="1:10">
      <c r="A278" t="s">
        <v>904</v>
      </c>
      <c r="B278" t="s">
        <v>905</v>
      </c>
      <c r="C278" t="s">
        <v>151</v>
      </c>
      <c r="D278" t="s">
        <v>467</v>
      </c>
      <c r="E278" t="s">
        <v>374</v>
      </c>
      <c r="F278" s="4">
        <v>45943.581346620369</v>
      </c>
      <c r="G278" s="4">
        <v>45943.808501331019</v>
      </c>
      <c r="H278">
        <v>5.5</v>
      </c>
      <c r="I278" t="s">
        <v>12</v>
      </c>
      <c r="J278" t="s">
        <v>328</v>
      </c>
    </row>
    <row r="279" spans="1:10">
      <c r="A279" t="s">
        <v>906</v>
      </c>
      <c r="B279" t="s">
        <v>907</v>
      </c>
      <c r="C279" t="s">
        <v>215</v>
      </c>
      <c r="D279" t="s">
        <v>399</v>
      </c>
      <c r="E279" t="s">
        <v>378</v>
      </c>
      <c r="F279" s="4">
        <v>46095.122366342592</v>
      </c>
      <c r="G279" s="4">
        <v>46095.397143125003</v>
      </c>
      <c r="H279">
        <v>6.6</v>
      </c>
      <c r="I279" t="s">
        <v>12</v>
      </c>
      <c r="J279" t="s">
        <v>328</v>
      </c>
    </row>
    <row r="280" spans="1:10">
      <c r="A280" t="s">
        <v>908</v>
      </c>
      <c r="B280" t="s">
        <v>602</v>
      </c>
      <c r="C280" t="s">
        <v>7</v>
      </c>
      <c r="D280" t="s">
        <v>467</v>
      </c>
      <c r="E280" t="s">
        <v>414</v>
      </c>
      <c r="F280" s="4">
        <v>46099.63531380787</v>
      </c>
      <c r="G280" s="4">
        <v>46099.959146377318</v>
      </c>
      <c r="H280">
        <v>7.8</v>
      </c>
      <c r="I280" t="s">
        <v>9</v>
      </c>
      <c r="J280" t="s">
        <v>335</v>
      </c>
    </row>
    <row r="281" spans="1:10">
      <c r="A281" t="s">
        <v>909</v>
      </c>
      <c r="B281" t="s">
        <v>523</v>
      </c>
      <c r="C281" t="s">
        <v>140</v>
      </c>
      <c r="D281" t="s">
        <v>476</v>
      </c>
      <c r="E281" t="s">
        <v>396</v>
      </c>
      <c r="F281" s="4">
        <v>45865.279179618054</v>
      </c>
      <c r="G281" s="4">
        <v>45865.489626400456</v>
      </c>
      <c r="H281">
        <v>5.0999999999999996</v>
      </c>
      <c r="I281" t="s">
        <v>9</v>
      </c>
      <c r="J281" t="s">
        <v>328</v>
      </c>
    </row>
    <row r="282" spans="1:10">
      <c r="A282" t="s">
        <v>910</v>
      </c>
      <c r="B282" t="s">
        <v>911</v>
      </c>
      <c r="C282" t="s">
        <v>56</v>
      </c>
      <c r="D282" t="s">
        <v>369</v>
      </c>
      <c r="E282" t="s">
        <v>374</v>
      </c>
      <c r="F282" s="4">
        <v>45895.213083287039</v>
      </c>
      <c r="G282" s="4">
        <v>45895.342770972216</v>
      </c>
      <c r="H282">
        <v>3.1</v>
      </c>
      <c r="I282" t="s">
        <v>9</v>
      </c>
      <c r="J282" t="s">
        <v>328</v>
      </c>
    </row>
    <row r="283" spans="1:10">
      <c r="A283" t="s">
        <v>912</v>
      </c>
      <c r="B283" t="s">
        <v>913</v>
      </c>
      <c r="C283" t="s">
        <v>283</v>
      </c>
      <c r="D283" t="s">
        <v>381</v>
      </c>
      <c r="E283" t="s">
        <v>374</v>
      </c>
      <c r="F283" s="4">
        <v>46077.617754641207</v>
      </c>
      <c r="G283" s="4">
        <v>46077.906431724543</v>
      </c>
      <c r="H283">
        <v>6.9</v>
      </c>
      <c r="I283" t="s">
        <v>9</v>
      </c>
      <c r="J283" t="s">
        <v>335</v>
      </c>
    </row>
    <row r="284" spans="1:10">
      <c r="A284" t="s">
        <v>914</v>
      </c>
      <c r="B284" t="s">
        <v>915</v>
      </c>
      <c r="C284" t="s">
        <v>80</v>
      </c>
      <c r="D284" t="s">
        <v>399</v>
      </c>
      <c r="E284" t="s">
        <v>403</v>
      </c>
      <c r="F284" s="4">
        <v>46026.593092685187</v>
      </c>
      <c r="G284" s="4">
        <v>46026.674887557871</v>
      </c>
      <c r="H284">
        <v>2</v>
      </c>
      <c r="I284" t="s">
        <v>12</v>
      </c>
      <c r="J284" t="s">
        <v>335</v>
      </c>
    </row>
    <row r="285" spans="1:10">
      <c r="A285" t="s">
        <v>916</v>
      </c>
      <c r="B285" t="s">
        <v>917</v>
      </c>
      <c r="C285" t="s">
        <v>185</v>
      </c>
      <c r="D285" t="s">
        <v>476</v>
      </c>
      <c r="E285" t="s">
        <v>440</v>
      </c>
      <c r="F285" s="4">
        <v>46136.072975312498</v>
      </c>
      <c r="G285" s="4">
        <v>46136.33907800926</v>
      </c>
      <c r="H285">
        <v>6.4</v>
      </c>
      <c r="I285" t="s">
        <v>9</v>
      </c>
      <c r="J285" t="s">
        <v>323</v>
      </c>
    </row>
    <row r="286" spans="1:10">
      <c r="A286" t="s">
        <v>918</v>
      </c>
      <c r="B286" t="s">
        <v>688</v>
      </c>
      <c r="C286" t="s">
        <v>105</v>
      </c>
      <c r="D286" t="s">
        <v>467</v>
      </c>
      <c r="E286" t="s">
        <v>456</v>
      </c>
      <c r="F286" s="4">
        <v>46056.831176423613</v>
      </c>
      <c r="G286" s="4">
        <v>46057.101016250002</v>
      </c>
      <c r="H286">
        <v>6.5</v>
      </c>
      <c r="I286" t="s">
        <v>9</v>
      </c>
      <c r="J286" t="s">
        <v>335</v>
      </c>
    </row>
    <row r="287" spans="1:10">
      <c r="A287" t="s">
        <v>919</v>
      </c>
      <c r="B287" t="s">
        <v>920</v>
      </c>
      <c r="C287" t="s">
        <v>227</v>
      </c>
      <c r="D287" t="s">
        <v>467</v>
      </c>
      <c r="E287" t="s">
        <v>403</v>
      </c>
      <c r="F287" s="4">
        <v>46002.335163263888</v>
      </c>
      <c r="G287" s="4">
        <v>46002.664502719897</v>
      </c>
      <c r="H287">
        <v>7.9</v>
      </c>
      <c r="I287" t="s">
        <v>9</v>
      </c>
      <c r="J287" t="s">
        <v>323</v>
      </c>
    </row>
    <row r="288" spans="1:10">
      <c r="A288" t="s">
        <v>921</v>
      </c>
      <c r="B288" t="s">
        <v>922</v>
      </c>
      <c r="C288" t="s">
        <v>25</v>
      </c>
      <c r="D288" t="s">
        <v>399</v>
      </c>
      <c r="E288" t="s">
        <v>403</v>
      </c>
      <c r="F288" s="4">
        <v>46141.192872071762</v>
      </c>
      <c r="G288" s="4">
        <v>46141.364383078697</v>
      </c>
      <c r="H288">
        <v>4.0999999999999996</v>
      </c>
      <c r="I288" t="s">
        <v>9</v>
      </c>
      <c r="J288" t="s">
        <v>335</v>
      </c>
    </row>
    <row r="289" spans="1:10">
      <c r="A289" t="s">
        <v>923</v>
      </c>
      <c r="B289" t="s">
        <v>924</v>
      </c>
      <c r="C289" t="s">
        <v>180</v>
      </c>
      <c r="D289" t="s">
        <v>373</v>
      </c>
      <c r="E289" t="s">
        <v>366</v>
      </c>
      <c r="F289" s="4">
        <v>46107.176589120369</v>
      </c>
      <c r="G289" s="4">
        <v>46107.432813865737</v>
      </c>
      <c r="H289">
        <v>6.1</v>
      </c>
      <c r="I289" t="s">
        <v>9</v>
      </c>
      <c r="J289" t="s">
        <v>335</v>
      </c>
    </row>
    <row r="290" spans="1:10">
      <c r="A290" t="s">
        <v>925</v>
      </c>
      <c r="B290" t="s">
        <v>437</v>
      </c>
      <c r="C290" t="s">
        <v>225</v>
      </c>
      <c r="D290" t="s">
        <v>365</v>
      </c>
      <c r="E290" t="s">
        <v>393</v>
      </c>
      <c r="F290" s="4">
        <v>46079.417627326387</v>
      </c>
      <c r="G290" s="4">
        <v>46079.748886111112</v>
      </c>
      <c r="H290">
        <v>8</v>
      </c>
      <c r="I290" t="s">
        <v>12</v>
      </c>
      <c r="J290" t="s">
        <v>323</v>
      </c>
    </row>
    <row r="291" spans="1:10">
      <c r="A291" t="s">
        <v>926</v>
      </c>
      <c r="B291" t="s">
        <v>706</v>
      </c>
      <c r="C291" t="s">
        <v>147</v>
      </c>
      <c r="D291" t="s">
        <v>392</v>
      </c>
      <c r="E291" t="s">
        <v>374</v>
      </c>
      <c r="F291" s="4">
        <v>45986.469088495367</v>
      </c>
      <c r="G291" s="4">
        <v>45986.729393333328</v>
      </c>
      <c r="H291">
        <v>6.2</v>
      </c>
      <c r="I291" t="s">
        <v>9</v>
      </c>
      <c r="J291" t="s">
        <v>323</v>
      </c>
    </row>
    <row r="292" spans="1:10">
      <c r="A292" t="s">
        <v>927</v>
      </c>
      <c r="B292" t="s">
        <v>835</v>
      </c>
      <c r="C292" t="s">
        <v>190</v>
      </c>
      <c r="D292" t="s">
        <v>381</v>
      </c>
      <c r="E292" t="s">
        <v>366</v>
      </c>
      <c r="F292" s="4">
        <v>45855.667055925929</v>
      </c>
      <c r="G292" s="4">
        <v>45855.985234224543</v>
      </c>
      <c r="H292">
        <v>7.6</v>
      </c>
      <c r="I292" t="s">
        <v>9</v>
      </c>
      <c r="J292" t="s">
        <v>323</v>
      </c>
    </row>
    <row r="293" spans="1:10">
      <c r="A293" t="s">
        <v>928</v>
      </c>
      <c r="B293" t="s">
        <v>929</v>
      </c>
      <c r="C293" t="s">
        <v>227</v>
      </c>
      <c r="D293" t="s">
        <v>476</v>
      </c>
      <c r="E293" t="s">
        <v>456</v>
      </c>
      <c r="F293" s="4">
        <v>45893.11181652778</v>
      </c>
      <c r="G293" s="4">
        <v>45893.299694652778</v>
      </c>
      <c r="H293">
        <v>4.5</v>
      </c>
      <c r="I293" t="s">
        <v>9</v>
      </c>
      <c r="J293" t="s">
        <v>328</v>
      </c>
    </row>
    <row r="294" spans="1:10">
      <c r="A294" t="s">
        <v>930</v>
      </c>
      <c r="B294" t="s">
        <v>931</v>
      </c>
      <c r="C294" t="s">
        <v>351</v>
      </c>
      <c r="D294" t="s">
        <v>369</v>
      </c>
      <c r="E294" t="s">
        <v>400</v>
      </c>
      <c r="F294" s="4">
        <v>46045.715616388887</v>
      </c>
      <c r="G294" s="4">
        <v>46045.840450069452</v>
      </c>
      <c r="H294">
        <v>3</v>
      </c>
      <c r="I294" t="s">
        <v>9</v>
      </c>
      <c r="J294" t="s">
        <v>323</v>
      </c>
    </row>
    <row r="295" spans="1:10">
      <c r="A295" t="s">
        <v>932</v>
      </c>
      <c r="B295" t="s">
        <v>933</v>
      </c>
      <c r="C295" t="s">
        <v>101</v>
      </c>
      <c r="D295" t="s">
        <v>467</v>
      </c>
      <c r="E295" t="s">
        <v>403</v>
      </c>
      <c r="F295" s="4">
        <v>45899.978177233803</v>
      </c>
      <c r="G295" s="4">
        <v>45900.186722893523</v>
      </c>
      <c r="H295">
        <v>5</v>
      </c>
      <c r="I295" t="s">
        <v>9</v>
      </c>
      <c r="J295" t="s">
        <v>328</v>
      </c>
    </row>
    <row r="296" spans="1:10">
      <c r="A296" t="s">
        <v>934</v>
      </c>
      <c r="B296" t="s">
        <v>398</v>
      </c>
      <c r="C296" t="s">
        <v>112</v>
      </c>
      <c r="D296" t="s">
        <v>399</v>
      </c>
      <c r="E296" t="s">
        <v>400</v>
      </c>
      <c r="F296" s="4">
        <v>45988.886481516201</v>
      </c>
      <c r="G296" s="4">
        <v>45989.139492303242</v>
      </c>
      <c r="H296">
        <v>6.1</v>
      </c>
      <c r="I296" t="s">
        <v>9</v>
      </c>
      <c r="J296" t="s">
        <v>323</v>
      </c>
    </row>
    <row r="297" spans="1:10">
      <c r="A297" t="s">
        <v>935</v>
      </c>
      <c r="B297" t="s">
        <v>936</v>
      </c>
      <c r="C297" t="s">
        <v>202</v>
      </c>
      <c r="D297" t="s">
        <v>373</v>
      </c>
      <c r="E297" t="s">
        <v>366</v>
      </c>
      <c r="F297" s="4">
        <v>45916.112796145833</v>
      </c>
      <c r="G297" s="4">
        <v>45916.309223217591</v>
      </c>
      <c r="H297">
        <v>4.7</v>
      </c>
      <c r="I297" t="s">
        <v>9</v>
      </c>
      <c r="J297" t="s">
        <v>328</v>
      </c>
    </row>
    <row r="298" spans="1:10">
      <c r="A298" t="s">
        <v>937</v>
      </c>
      <c r="B298" t="s">
        <v>938</v>
      </c>
      <c r="C298" t="s">
        <v>133</v>
      </c>
      <c r="D298" t="s">
        <v>443</v>
      </c>
      <c r="E298" t="s">
        <v>456</v>
      </c>
      <c r="F298" s="4">
        <v>45953.467658819442</v>
      </c>
      <c r="G298" s="4">
        <v>45953.524645266203</v>
      </c>
      <c r="H298">
        <v>1.4</v>
      </c>
      <c r="I298" t="s">
        <v>12</v>
      </c>
      <c r="J298" t="s">
        <v>328</v>
      </c>
    </row>
    <row r="299" spans="1:10">
      <c r="A299" t="s">
        <v>939</v>
      </c>
      <c r="B299" t="s">
        <v>437</v>
      </c>
      <c r="C299" t="s">
        <v>225</v>
      </c>
      <c r="D299" t="s">
        <v>365</v>
      </c>
      <c r="E299" t="s">
        <v>393</v>
      </c>
      <c r="F299" s="4">
        <v>46079.512512789363</v>
      </c>
      <c r="G299" s="4">
        <v>46079.71840878472</v>
      </c>
      <c r="H299">
        <v>4.9000000000000004</v>
      </c>
      <c r="I299" t="s">
        <v>12</v>
      </c>
      <c r="J299" t="s">
        <v>323</v>
      </c>
    </row>
    <row r="300" spans="1:10">
      <c r="A300" t="s">
        <v>940</v>
      </c>
      <c r="B300" t="s">
        <v>941</v>
      </c>
      <c r="C300" t="s">
        <v>227</v>
      </c>
      <c r="D300" t="s">
        <v>399</v>
      </c>
      <c r="E300" t="s">
        <v>414</v>
      </c>
      <c r="F300" s="4">
        <v>46111.754525150463</v>
      </c>
      <c r="G300" s="4">
        <v>46111.815176446762</v>
      </c>
      <c r="H300">
        <v>1.5</v>
      </c>
      <c r="I300" t="s">
        <v>9</v>
      </c>
      <c r="J300" t="s">
        <v>323</v>
      </c>
    </row>
    <row r="301" spans="1:10">
      <c r="A301" t="s">
        <v>942</v>
      </c>
      <c r="B301" t="s">
        <v>943</v>
      </c>
      <c r="C301" t="s">
        <v>298</v>
      </c>
      <c r="D301" t="s">
        <v>377</v>
      </c>
      <c r="E301" t="s">
        <v>440</v>
      </c>
      <c r="F301" s="4">
        <v>45879.461536168979</v>
      </c>
      <c r="G301" s="4">
        <v>45879.48289402778</v>
      </c>
      <c r="H301">
        <v>0.5</v>
      </c>
      <c r="I301" t="s">
        <v>12</v>
      </c>
      <c r="J301" t="s">
        <v>323</v>
      </c>
    </row>
    <row r="302" spans="1:10">
      <c r="A302" t="s">
        <v>944</v>
      </c>
      <c r="B302" t="s">
        <v>945</v>
      </c>
      <c r="C302" t="s">
        <v>49</v>
      </c>
      <c r="D302" t="s">
        <v>369</v>
      </c>
      <c r="E302" t="s">
        <v>374</v>
      </c>
      <c r="F302" s="4">
        <v>46015.135742245373</v>
      </c>
      <c r="G302" s="4">
        <v>46015.277871053237</v>
      </c>
      <c r="H302">
        <v>3.4</v>
      </c>
      <c r="I302" t="s">
        <v>9</v>
      </c>
      <c r="J302" t="s">
        <v>328</v>
      </c>
    </row>
    <row r="303" spans="1:10">
      <c r="A303" t="s">
        <v>946</v>
      </c>
      <c r="B303" t="s">
        <v>947</v>
      </c>
      <c r="C303" t="s">
        <v>133</v>
      </c>
      <c r="D303" t="s">
        <v>381</v>
      </c>
      <c r="E303" t="s">
        <v>366</v>
      </c>
      <c r="F303" s="4">
        <v>45937.282952453701</v>
      </c>
      <c r="G303" s="4">
        <v>45937.595637407409</v>
      </c>
      <c r="H303">
        <v>7.5</v>
      </c>
      <c r="I303" t="s">
        <v>12</v>
      </c>
      <c r="J303" t="s">
        <v>328</v>
      </c>
    </row>
    <row r="304" spans="1:10">
      <c r="A304" t="s">
        <v>948</v>
      </c>
      <c r="B304" t="s">
        <v>949</v>
      </c>
      <c r="C304" t="s">
        <v>164</v>
      </c>
      <c r="D304" t="s">
        <v>467</v>
      </c>
      <c r="E304" t="s">
        <v>374</v>
      </c>
      <c r="F304" s="4">
        <v>45920.489088229173</v>
      </c>
      <c r="G304" s="4">
        <v>45920.579340798613</v>
      </c>
      <c r="H304">
        <v>2.2000000000000002</v>
      </c>
      <c r="I304" t="s">
        <v>9</v>
      </c>
      <c r="J304" t="s">
        <v>328</v>
      </c>
    </row>
    <row r="305" spans="1:10">
      <c r="A305" t="s">
        <v>950</v>
      </c>
      <c r="B305" t="s">
        <v>951</v>
      </c>
      <c r="C305" t="s">
        <v>155</v>
      </c>
      <c r="D305" t="s">
        <v>373</v>
      </c>
      <c r="E305" t="s">
        <v>400</v>
      </c>
      <c r="F305" s="4">
        <v>45863.499310497682</v>
      </c>
      <c r="G305" s="4">
        <v>45863.618870775463</v>
      </c>
      <c r="H305">
        <v>2.9</v>
      </c>
      <c r="I305" t="s">
        <v>9</v>
      </c>
      <c r="J305" t="s">
        <v>335</v>
      </c>
    </row>
    <row r="306" spans="1:10">
      <c r="A306" t="s">
        <v>952</v>
      </c>
      <c r="B306" t="s">
        <v>953</v>
      </c>
      <c r="C306" t="s">
        <v>73</v>
      </c>
      <c r="D306" t="s">
        <v>381</v>
      </c>
      <c r="E306" t="s">
        <v>400</v>
      </c>
      <c r="F306" s="4">
        <v>46048.672679224539</v>
      </c>
      <c r="G306" s="4">
        <v>46048.8497102662</v>
      </c>
      <c r="H306">
        <v>4.2</v>
      </c>
      <c r="I306" t="s">
        <v>9</v>
      </c>
      <c r="J306" t="s">
        <v>328</v>
      </c>
    </row>
    <row r="307" spans="1:10">
      <c r="A307" t="s">
        <v>954</v>
      </c>
      <c r="B307" t="s">
        <v>955</v>
      </c>
      <c r="C307" t="s">
        <v>29</v>
      </c>
      <c r="D307" t="s">
        <v>399</v>
      </c>
      <c r="E307" t="s">
        <v>366</v>
      </c>
      <c r="F307" s="4">
        <v>46113.533392824073</v>
      </c>
      <c r="G307" s="4">
        <v>46113.78768238426</v>
      </c>
      <c r="H307">
        <v>6.1</v>
      </c>
      <c r="I307" t="s">
        <v>9</v>
      </c>
      <c r="J307" t="s">
        <v>323</v>
      </c>
    </row>
    <row r="308" spans="1:10">
      <c r="A308" t="s">
        <v>956</v>
      </c>
      <c r="B308" t="s">
        <v>957</v>
      </c>
      <c r="C308" t="s">
        <v>53</v>
      </c>
      <c r="D308" t="s">
        <v>369</v>
      </c>
      <c r="E308" t="s">
        <v>370</v>
      </c>
      <c r="F308" s="4">
        <v>45959.384086064812</v>
      </c>
      <c r="G308" s="4">
        <v>45959.501447962961</v>
      </c>
      <c r="H308">
        <v>2.8</v>
      </c>
      <c r="I308" t="s">
        <v>9</v>
      </c>
      <c r="J308" t="s">
        <v>328</v>
      </c>
    </row>
    <row r="309" spans="1:10">
      <c r="A309" t="s">
        <v>958</v>
      </c>
      <c r="B309" t="s">
        <v>959</v>
      </c>
      <c r="C309" t="s">
        <v>56</v>
      </c>
      <c r="D309" t="s">
        <v>381</v>
      </c>
      <c r="E309" t="s">
        <v>366</v>
      </c>
      <c r="F309" s="4">
        <v>45856.695357627323</v>
      </c>
      <c r="G309" s="4">
        <v>45856.981087604167</v>
      </c>
      <c r="H309">
        <v>6.9</v>
      </c>
      <c r="I309" t="s">
        <v>9</v>
      </c>
      <c r="J309" t="s">
        <v>328</v>
      </c>
    </row>
    <row r="310" spans="1:10">
      <c r="A310" t="s">
        <v>960</v>
      </c>
      <c r="B310" t="s">
        <v>961</v>
      </c>
      <c r="C310" t="s">
        <v>53</v>
      </c>
      <c r="D310" t="s">
        <v>476</v>
      </c>
      <c r="E310" t="s">
        <v>403</v>
      </c>
      <c r="F310" s="4">
        <v>45934.656318761583</v>
      </c>
      <c r="G310" s="4">
        <v>45934.831847581023</v>
      </c>
      <c r="H310">
        <v>4.2</v>
      </c>
      <c r="I310" t="s">
        <v>9</v>
      </c>
      <c r="J310" t="s">
        <v>328</v>
      </c>
    </row>
    <row r="311" spans="1:10">
      <c r="A311" t="s">
        <v>962</v>
      </c>
      <c r="B311" t="s">
        <v>500</v>
      </c>
      <c r="C311" t="s">
        <v>66</v>
      </c>
      <c r="D311" t="s">
        <v>443</v>
      </c>
      <c r="E311" t="s">
        <v>370</v>
      </c>
      <c r="F311" s="4">
        <v>46114.336250706023</v>
      </c>
      <c r="G311" s="4">
        <v>46114.610274722218</v>
      </c>
      <c r="H311">
        <v>6.6</v>
      </c>
      <c r="I311" t="s">
        <v>12</v>
      </c>
      <c r="J311" t="s">
        <v>335</v>
      </c>
    </row>
    <row r="312" spans="1:10">
      <c r="A312" t="s">
        <v>963</v>
      </c>
      <c r="B312" t="s">
        <v>612</v>
      </c>
      <c r="C312" t="s">
        <v>247</v>
      </c>
      <c r="D312" t="s">
        <v>365</v>
      </c>
      <c r="E312" t="s">
        <v>414</v>
      </c>
      <c r="F312" s="4">
        <v>45914.422006631947</v>
      </c>
      <c r="G312" s="4">
        <v>45914.73485025463</v>
      </c>
      <c r="H312">
        <v>7.5</v>
      </c>
      <c r="I312" t="s">
        <v>9</v>
      </c>
      <c r="J312" t="s">
        <v>335</v>
      </c>
    </row>
    <row r="313" spans="1:10">
      <c r="A313" t="s">
        <v>964</v>
      </c>
      <c r="B313" t="s">
        <v>447</v>
      </c>
      <c r="C313" t="s">
        <v>127</v>
      </c>
      <c r="D313" t="s">
        <v>365</v>
      </c>
      <c r="E313" t="s">
        <v>374</v>
      </c>
      <c r="F313" s="4">
        <v>45962.463556967603</v>
      </c>
      <c r="G313" s="4">
        <v>45962.726902407398</v>
      </c>
      <c r="H313">
        <v>6.3</v>
      </c>
      <c r="I313" t="s">
        <v>9</v>
      </c>
      <c r="J313" t="s">
        <v>335</v>
      </c>
    </row>
    <row r="314" spans="1:10">
      <c r="A314" t="s">
        <v>965</v>
      </c>
      <c r="B314" t="s">
        <v>966</v>
      </c>
      <c r="C314" t="s">
        <v>91</v>
      </c>
      <c r="D314" t="s">
        <v>365</v>
      </c>
      <c r="E314" t="s">
        <v>400</v>
      </c>
      <c r="F314" s="4">
        <v>45856.328927083327</v>
      </c>
      <c r="G314" s="4">
        <v>45856.604451712963</v>
      </c>
      <c r="H314">
        <v>6.6</v>
      </c>
      <c r="I314" t="s">
        <v>9</v>
      </c>
      <c r="J314" t="s">
        <v>328</v>
      </c>
    </row>
    <row r="315" spans="1:10">
      <c r="A315" t="s">
        <v>967</v>
      </c>
      <c r="B315" t="s">
        <v>968</v>
      </c>
      <c r="C315" t="s">
        <v>29</v>
      </c>
      <c r="D315" t="s">
        <v>467</v>
      </c>
      <c r="E315" t="s">
        <v>440</v>
      </c>
      <c r="F315" s="4">
        <v>45918.432845416668</v>
      </c>
      <c r="G315" s="4">
        <v>45918.624910914346</v>
      </c>
      <c r="H315">
        <v>4.5999999999999996</v>
      </c>
      <c r="I315" t="s">
        <v>9</v>
      </c>
      <c r="J315" t="s">
        <v>323</v>
      </c>
    </row>
    <row r="316" spans="1:10">
      <c r="A316" t="s">
        <v>969</v>
      </c>
      <c r="B316" t="s">
        <v>523</v>
      </c>
      <c r="C316" t="s">
        <v>140</v>
      </c>
      <c r="D316" t="s">
        <v>476</v>
      </c>
      <c r="E316" t="s">
        <v>396</v>
      </c>
      <c r="F316" s="4">
        <v>45865.373926180553</v>
      </c>
      <c r="G316" s="4">
        <v>45865.503605497688</v>
      </c>
      <c r="H316">
        <v>3.1</v>
      </c>
      <c r="I316" t="s">
        <v>9</v>
      </c>
      <c r="J316" t="s">
        <v>328</v>
      </c>
    </row>
    <row r="317" spans="1:10">
      <c r="A317" t="s">
        <v>970</v>
      </c>
      <c r="B317" t="s">
        <v>659</v>
      </c>
      <c r="C317" t="s">
        <v>123</v>
      </c>
      <c r="D317" t="s">
        <v>392</v>
      </c>
      <c r="E317" t="s">
        <v>396</v>
      </c>
      <c r="F317" s="4">
        <v>46037.77780236111</v>
      </c>
      <c r="G317" s="4">
        <v>46037.88708565972</v>
      </c>
      <c r="H317">
        <v>2.6</v>
      </c>
      <c r="I317" t="s">
        <v>9</v>
      </c>
      <c r="J317" t="s">
        <v>335</v>
      </c>
    </row>
    <row r="318" spans="1:10">
      <c r="A318" t="s">
        <v>971</v>
      </c>
      <c r="B318" t="s">
        <v>972</v>
      </c>
      <c r="C318" t="s">
        <v>127</v>
      </c>
      <c r="D318" t="s">
        <v>377</v>
      </c>
      <c r="E318" t="s">
        <v>387</v>
      </c>
      <c r="F318" s="4">
        <v>45896.645142280089</v>
      </c>
      <c r="G318" s="4">
        <v>45896.837228750002</v>
      </c>
      <c r="H318">
        <v>4.5999999999999996</v>
      </c>
      <c r="I318" t="s">
        <v>12</v>
      </c>
      <c r="J318" t="s">
        <v>335</v>
      </c>
    </row>
    <row r="319" spans="1:10">
      <c r="A319" t="s">
        <v>973</v>
      </c>
      <c r="B319" t="s">
        <v>445</v>
      </c>
      <c r="C319" t="s">
        <v>295</v>
      </c>
      <c r="D319" t="s">
        <v>377</v>
      </c>
      <c r="E319" t="s">
        <v>403</v>
      </c>
      <c r="F319" s="4">
        <v>46017.306195034733</v>
      </c>
      <c r="G319" s="4">
        <v>46017.508398275473</v>
      </c>
      <c r="H319">
        <v>4.9000000000000004</v>
      </c>
      <c r="I319" t="s">
        <v>9</v>
      </c>
      <c r="J319" t="s">
        <v>328</v>
      </c>
    </row>
    <row r="320" spans="1:10">
      <c r="A320" t="s">
        <v>974</v>
      </c>
      <c r="B320" t="s">
        <v>975</v>
      </c>
      <c r="C320" t="s">
        <v>247</v>
      </c>
      <c r="D320" t="s">
        <v>392</v>
      </c>
      <c r="E320" t="s">
        <v>403</v>
      </c>
      <c r="F320" s="4">
        <v>46113.154711631942</v>
      </c>
      <c r="G320" s="4">
        <v>46113.226699479157</v>
      </c>
      <c r="H320">
        <v>1.7</v>
      </c>
      <c r="I320" t="s">
        <v>12</v>
      </c>
      <c r="J320" t="s">
        <v>328</v>
      </c>
    </row>
    <row r="321" spans="1:10">
      <c r="A321" t="s">
        <v>976</v>
      </c>
      <c r="B321" t="s">
        <v>977</v>
      </c>
      <c r="C321" t="s">
        <v>87</v>
      </c>
      <c r="D321" t="s">
        <v>392</v>
      </c>
      <c r="E321" t="s">
        <v>387</v>
      </c>
      <c r="F321" s="4">
        <v>45886.092923703713</v>
      </c>
      <c r="G321" s="4">
        <v>45886.159014189812</v>
      </c>
      <c r="H321">
        <v>1.6</v>
      </c>
      <c r="I321" t="s">
        <v>12</v>
      </c>
      <c r="J321" t="s">
        <v>328</v>
      </c>
    </row>
    <row r="322" spans="1:10">
      <c r="A322" t="s">
        <v>978</v>
      </c>
      <c r="B322" t="s">
        <v>979</v>
      </c>
      <c r="C322" t="s">
        <v>56</v>
      </c>
      <c r="D322" t="s">
        <v>417</v>
      </c>
      <c r="E322" t="s">
        <v>456</v>
      </c>
      <c r="F322" s="4">
        <v>46131.322942986109</v>
      </c>
      <c r="G322" s="4">
        <v>46131.346630231477</v>
      </c>
      <c r="H322">
        <v>0.6</v>
      </c>
      <c r="I322" t="s">
        <v>9</v>
      </c>
      <c r="J322" t="s">
        <v>328</v>
      </c>
    </row>
    <row r="323" spans="1:10">
      <c r="A323" t="s">
        <v>980</v>
      </c>
      <c r="B323" t="s">
        <v>933</v>
      </c>
      <c r="C323" t="s">
        <v>101</v>
      </c>
      <c r="D323" t="s">
        <v>467</v>
      </c>
      <c r="E323" t="s">
        <v>403</v>
      </c>
      <c r="F323" s="4">
        <v>45899.382994930558</v>
      </c>
      <c r="G323" s="4">
        <v>45899.649296782409</v>
      </c>
      <c r="H323">
        <v>6.4</v>
      </c>
      <c r="I323" t="s">
        <v>9</v>
      </c>
      <c r="J323" t="s">
        <v>328</v>
      </c>
    </row>
    <row r="324" spans="1:10">
      <c r="A324" t="s">
        <v>981</v>
      </c>
      <c r="B324" t="s">
        <v>500</v>
      </c>
      <c r="C324" t="s">
        <v>66</v>
      </c>
      <c r="D324" t="s">
        <v>443</v>
      </c>
      <c r="E324" t="s">
        <v>370</v>
      </c>
      <c r="F324" s="4">
        <v>46116.275449317131</v>
      </c>
      <c r="G324" s="4">
        <v>46116.429754849538</v>
      </c>
      <c r="H324">
        <v>3.7</v>
      </c>
      <c r="I324" t="s">
        <v>9</v>
      </c>
      <c r="J324" t="s">
        <v>335</v>
      </c>
    </row>
    <row r="325" spans="1:10">
      <c r="A325" t="s">
        <v>982</v>
      </c>
      <c r="B325" t="s">
        <v>983</v>
      </c>
      <c r="C325" t="s">
        <v>247</v>
      </c>
      <c r="D325" t="s">
        <v>373</v>
      </c>
      <c r="E325" t="s">
        <v>456</v>
      </c>
      <c r="F325" s="4">
        <v>46030.500170277781</v>
      </c>
      <c r="G325" s="4">
        <v>46030.825428229167</v>
      </c>
      <c r="H325">
        <v>7.8</v>
      </c>
      <c r="I325" t="s">
        <v>12</v>
      </c>
      <c r="J325" t="s">
        <v>323</v>
      </c>
    </row>
    <row r="326" spans="1:10">
      <c r="A326" t="s">
        <v>984</v>
      </c>
      <c r="B326" t="s">
        <v>447</v>
      </c>
      <c r="C326" t="s">
        <v>127</v>
      </c>
      <c r="D326" t="s">
        <v>365</v>
      </c>
      <c r="E326" t="s">
        <v>374</v>
      </c>
      <c r="F326" s="4">
        <v>45961.51337148148</v>
      </c>
      <c r="G326" s="4">
        <v>45961.695278310188</v>
      </c>
      <c r="H326">
        <v>4.4000000000000004</v>
      </c>
      <c r="I326" t="s">
        <v>9</v>
      </c>
      <c r="J326" t="s">
        <v>335</v>
      </c>
    </row>
    <row r="327" spans="1:10">
      <c r="A327" t="s">
        <v>985</v>
      </c>
      <c r="B327" t="s">
        <v>986</v>
      </c>
      <c r="C327" t="s">
        <v>192</v>
      </c>
      <c r="D327" t="s">
        <v>392</v>
      </c>
      <c r="E327" t="s">
        <v>414</v>
      </c>
      <c r="F327" s="4">
        <v>46118.632630138891</v>
      </c>
      <c r="G327" s="4">
        <v>46118.849392384262</v>
      </c>
      <c r="H327">
        <v>5.2</v>
      </c>
      <c r="I327" t="s">
        <v>9</v>
      </c>
      <c r="J327" t="s">
        <v>328</v>
      </c>
    </row>
    <row r="328" spans="1:10">
      <c r="A328" t="s">
        <v>987</v>
      </c>
      <c r="B328" t="s">
        <v>552</v>
      </c>
      <c r="C328" t="s">
        <v>7</v>
      </c>
      <c r="D328" t="s">
        <v>377</v>
      </c>
      <c r="E328" t="s">
        <v>400</v>
      </c>
      <c r="F328" s="4">
        <v>45947.258738634257</v>
      </c>
      <c r="G328" s="4">
        <v>45947.403523460649</v>
      </c>
      <c r="H328">
        <v>3.5</v>
      </c>
      <c r="I328" t="s">
        <v>9</v>
      </c>
      <c r="J328" t="s">
        <v>328</v>
      </c>
    </row>
    <row r="329" spans="1:10">
      <c r="A329" t="s">
        <v>988</v>
      </c>
      <c r="B329" t="s">
        <v>989</v>
      </c>
      <c r="C329" t="s">
        <v>53</v>
      </c>
      <c r="D329" t="s">
        <v>417</v>
      </c>
      <c r="E329" t="s">
        <v>400</v>
      </c>
      <c r="F329" s="4">
        <v>46139.350592581017</v>
      </c>
      <c r="G329" s="4">
        <v>46139.575424965267</v>
      </c>
      <c r="H329">
        <v>5.4</v>
      </c>
      <c r="I329" t="s">
        <v>9</v>
      </c>
      <c r="J329" t="s">
        <v>335</v>
      </c>
    </row>
    <row r="330" spans="1:10">
      <c r="A330" t="s">
        <v>990</v>
      </c>
      <c r="B330" t="s">
        <v>991</v>
      </c>
      <c r="C330" t="s">
        <v>183</v>
      </c>
      <c r="D330" t="s">
        <v>369</v>
      </c>
      <c r="E330" t="s">
        <v>403</v>
      </c>
      <c r="F330" s="4">
        <v>46049.966222916657</v>
      </c>
      <c r="G330" s="4">
        <v>46050.230097129628</v>
      </c>
      <c r="H330">
        <v>6.3</v>
      </c>
      <c r="I330" t="s">
        <v>9</v>
      </c>
      <c r="J330" t="s">
        <v>328</v>
      </c>
    </row>
    <row r="331" spans="1:10">
      <c r="A331" t="s">
        <v>992</v>
      </c>
      <c r="B331" t="s">
        <v>527</v>
      </c>
      <c r="C331" t="s">
        <v>105</v>
      </c>
      <c r="D331" t="s">
        <v>369</v>
      </c>
      <c r="E331" t="s">
        <v>393</v>
      </c>
      <c r="F331" s="4">
        <v>45992.349629733799</v>
      </c>
      <c r="G331" s="4">
        <v>45992.568067291657</v>
      </c>
      <c r="H331">
        <v>5.2</v>
      </c>
      <c r="I331" t="s">
        <v>9</v>
      </c>
      <c r="J331" t="s">
        <v>335</v>
      </c>
    </row>
    <row r="332" spans="1:10">
      <c r="A332" t="s">
        <v>993</v>
      </c>
      <c r="B332" t="s">
        <v>758</v>
      </c>
      <c r="C332" t="s">
        <v>215</v>
      </c>
      <c r="D332" t="s">
        <v>443</v>
      </c>
      <c r="E332" t="s">
        <v>403</v>
      </c>
      <c r="F332" s="4">
        <v>45872.046334016202</v>
      </c>
      <c r="G332" s="4">
        <v>45872.092991400466</v>
      </c>
      <c r="H332">
        <v>1.1000000000000001</v>
      </c>
      <c r="I332" t="s">
        <v>9</v>
      </c>
      <c r="J332" t="s">
        <v>328</v>
      </c>
    </row>
    <row r="333" spans="1:10">
      <c r="A333" t="s">
        <v>994</v>
      </c>
      <c r="B333" t="s">
        <v>995</v>
      </c>
      <c r="C333" t="s">
        <v>121</v>
      </c>
      <c r="D333" t="s">
        <v>377</v>
      </c>
      <c r="E333" t="s">
        <v>403</v>
      </c>
      <c r="F333" s="4">
        <v>46053.46424778935</v>
      </c>
      <c r="G333" s="4">
        <v>46053.55537332176</v>
      </c>
      <c r="H333">
        <v>2.2000000000000002</v>
      </c>
      <c r="I333" t="s">
        <v>9</v>
      </c>
      <c r="J333" t="s">
        <v>328</v>
      </c>
    </row>
    <row r="334" spans="1:10">
      <c r="A334" t="s">
        <v>996</v>
      </c>
      <c r="B334" t="s">
        <v>997</v>
      </c>
      <c r="C334" t="s">
        <v>91</v>
      </c>
      <c r="D334" t="s">
        <v>365</v>
      </c>
      <c r="E334" t="s">
        <v>414</v>
      </c>
      <c r="F334" s="4">
        <v>45922.762333240738</v>
      </c>
      <c r="G334" s="4">
        <v>45922.999955902778</v>
      </c>
      <c r="H334">
        <v>5.7</v>
      </c>
      <c r="I334" t="s">
        <v>12</v>
      </c>
      <c r="J334" t="s">
        <v>323</v>
      </c>
    </row>
    <row r="335" spans="1:10">
      <c r="A335" t="s">
        <v>998</v>
      </c>
      <c r="B335" t="s">
        <v>568</v>
      </c>
      <c r="C335" t="s">
        <v>162</v>
      </c>
      <c r="D335" t="s">
        <v>392</v>
      </c>
      <c r="E335" t="s">
        <v>440</v>
      </c>
      <c r="F335" s="4">
        <v>45995.004951249997</v>
      </c>
      <c r="G335" s="4">
        <v>45995.177094421299</v>
      </c>
      <c r="H335">
        <v>4.0999999999999996</v>
      </c>
      <c r="I335" t="s">
        <v>9</v>
      </c>
      <c r="J335" t="s">
        <v>328</v>
      </c>
    </row>
    <row r="336" spans="1:10">
      <c r="A336" t="s">
        <v>999</v>
      </c>
      <c r="B336" t="s">
        <v>986</v>
      </c>
      <c r="C336" t="s">
        <v>192</v>
      </c>
      <c r="D336" t="s">
        <v>392</v>
      </c>
      <c r="E336" t="s">
        <v>414</v>
      </c>
      <c r="F336" s="4">
        <v>46117.415783564807</v>
      </c>
      <c r="G336" s="4">
        <v>46117.475753275467</v>
      </c>
      <c r="H336">
        <v>1.4</v>
      </c>
      <c r="I336" t="s">
        <v>9</v>
      </c>
      <c r="J336" t="s">
        <v>328</v>
      </c>
    </row>
    <row r="337" spans="1:10">
      <c r="A337" t="s">
        <v>1000</v>
      </c>
      <c r="B337" t="s">
        <v>686</v>
      </c>
      <c r="C337" t="s">
        <v>97</v>
      </c>
      <c r="D337" t="s">
        <v>381</v>
      </c>
      <c r="E337" t="s">
        <v>403</v>
      </c>
      <c r="F337" s="4">
        <v>45965.538956828706</v>
      </c>
      <c r="G337" s="4">
        <v>45965.813811400461</v>
      </c>
      <c r="H337">
        <v>6.6</v>
      </c>
      <c r="I337" t="s">
        <v>12</v>
      </c>
      <c r="J337" t="s">
        <v>323</v>
      </c>
    </row>
    <row r="338" spans="1:10">
      <c r="A338" t="s">
        <v>1001</v>
      </c>
      <c r="B338" t="s">
        <v>480</v>
      </c>
      <c r="C338" t="s">
        <v>285</v>
      </c>
      <c r="D338" t="s">
        <v>476</v>
      </c>
      <c r="E338" t="s">
        <v>403</v>
      </c>
      <c r="F338" s="4">
        <v>45855.842771354168</v>
      </c>
      <c r="G338" s="4">
        <v>45856.10844048611</v>
      </c>
      <c r="H338">
        <v>6.4</v>
      </c>
      <c r="I338" t="s">
        <v>9</v>
      </c>
      <c r="J338" t="s">
        <v>328</v>
      </c>
    </row>
    <row r="339" spans="1:10">
      <c r="A339" t="s">
        <v>1002</v>
      </c>
      <c r="B339" t="s">
        <v>1003</v>
      </c>
      <c r="C339" t="s">
        <v>190</v>
      </c>
      <c r="D339" t="s">
        <v>392</v>
      </c>
      <c r="E339" t="s">
        <v>440</v>
      </c>
      <c r="F339" s="4">
        <v>46085.073325092591</v>
      </c>
      <c r="G339" s="4">
        <v>46085.27688391204</v>
      </c>
      <c r="H339">
        <v>4.9000000000000004</v>
      </c>
      <c r="I339" t="s">
        <v>9</v>
      </c>
      <c r="J339" t="s">
        <v>328</v>
      </c>
    </row>
    <row r="340" spans="1:10">
      <c r="A340" t="s">
        <v>1004</v>
      </c>
      <c r="B340" t="s">
        <v>575</v>
      </c>
      <c r="C340" t="s">
        <v>21</v>
      </c>
      <c r="D340" t="s">
        <v>399</v>
      </c>
      <c r="E340" t="s">
        <v>440</v>
      </c>
      <c r="F340" s="4">
        <v>46084.254966817127</v>
      </c>
      <c r="G340" s="4">
        <v>46084.51110895833</v>
      </c>
      <c r="H340">
        <v>6.1</v>
      </c>
      <c r="I340" t="s">
        <v>9</v>
      </c>
      <c r="J340" t="s">
        <v>335</v>
      </c>
    </row>
    <row r="341" spans="1:10">
      <c r="A341" t="s">
        <v>1005</v>
      </c>
      <c r="B341" t="s">
        <v>1006</v>
      </c>
      <c r="C341" t="s">
        <v>38</v>
      </c>
      <c r="D341" t="s">
        <v>476</v>
      </c>
      <c r="E341" t="s">
        <v>440</v>
      </c>
      <c r="F341" s="4">
        <v>45868.056824016203</v>
      </c>
      <c r="G341" s="4">
        <v>45868.264876909721</v>
      </c>
      <c r="H341">
        <v>5</v>
      </c>
      <c r="I341" t="s">
        <v>12</v>
      </c>
      <c r="J341" t="s">
        <v>323</v>
      </c>
    </row>
    <row r="342" spans="1:10">
      <c r="A342" t="s">
        <v>1007</v>
      </c>
      <c r="B342" t="s">
        <v>466</v>
      </c>
      <c r="C342" t="s">
        <v>142</v>
      </c>
      <c r="D342" t="s">
        <v>467</v>
      </c>
      <c r="E342" t="s">
        <v>440</v>
      </c>
      <c r="F342" s="4">
        <v>45947.158796805546</v>
      </c>
      <c r="G342" s="4">
        <v>45947.277847662037</v>
      </c>
      <c r="H342">
        <v>2.9</v>
      </c>
      <c r="I342" t="s">
        <v>12</v>
      </c>
      <c r="J342" t="s">
        <v>323</v>
      </c>
    </row>
    <row r="343" spans="1:10">
      <c r="A343" t="s">
        <v>1008</v>
      </c>
      <c r="B343" t="s">
        <v>1009</v>
      </c>
      <c r="C343" t="s">
        <v>212</v>
      </c>
      <c r="D343" t="s">
        <v>417</v>
      </c>
      <c r="E343" t="s">
        <v>396</v>
      </c>
      <c r="F343" s="4">
        <v>46024.866989027767</v>
      </c>
      <c r="G343" s="4">
        <v>46024.938200567129</v>
      </c>
      <c r="H343">
        <v>1.7</v>
      </c>
      <c r="I343" t="s">
        <v>9</v>
      </c>
      <c r="J343" t="s">
        <v>328</v>
      </c>
    </row>
    <row r="344" spans="1:10">
      <c r="A344" t="s">
        <v>1010</v>
      </c>
      <c r="B344" t="s">
        <v>957</v>
      </c>
      <c r="C344" t="s">
        <v>53</v>
      </c>
      <c r="D344" t="s">
        <v>369</v>
      </c>
      <c r="E344" t="s">
        <v>370</v>
      </c>
      <c r="F344" s="4">
        <v>45957.050586018522</v>
      </c>
      <c r="G344" s="4">
        <v>45957.110393460651</v>
      </c>
      <c r="H344">
        <v>1.4</v>
      </c>
      <c r="I344" t="s">
        <v>9</v>
      </c>
      <c r="J344" t="s">
        <v>328</v>
      </c>
    </row>
    <row r="345" spans="1:10">
      <c r="A345" t="s">
        <v>1011</v>
      </c>
      <c r="B345" t="s">
        <v>1012</v>
      </c>
      <c r="C345" t="s">
        <v>112</v>
      </c>
      <c r="D345" t="s">
        <v>373</v>
      </c>
      <c r="E345" t="s">
        <v>370</v>
      </c>
      <c r="F345" s="4">
        <v>46026.947990127323</v>
      </c>
      <c r="G345" s="4">
        <v>46027.274168171287</v>
      </c>
      <c r="H345">
        <v>7.8</v>
      </c>
      <c r="I345" t="s">
        <v>9</v>
      </c>
      <c r="J345" t="s">
        <v>328</v>
      </c>
    </row>
    <row r="346" spans="1:10">
      <c r="A346" t="s">
        <v>1013</v>
      </c>
      <c r="B346" t="s">
        <v>903</v>
      </c>
      <c r="C346" t="s">
        <v>127</v>
      </c>
      <c r="D346" t="s">
        <v>369</v>
      </c>
      <c r="E346" t="s">
        <v>456</v>
      </c>
      <c r="F346" s="4">
        <v>45916.451731562498</v>
      </c>
      <c r="G346" s="4">
        <v>45916.768256967589</v>
      </c>
      <c r="H346">
        <v>7.6</v>
      </c>
      <c r="I346" t="s">
        <v>9</v>
      </c>
      <c r="J346" t="s">
        <v>323</v>
      </c>
    </row>
    <row r="347" spans="1:10">
      <c r="A347" t="s">
        <v>1014</v>
      </c>
      <c r="B347" t="s">
        <v>1015</v>
      </c>
      <c r="C347" t="s">
        <v>89</v>
      </c>
      <c r="D347" t="s">
        <v>392</v>
      </c>
      <c r="E347" t="s">
        <v>387</v>
      </c>
      <c r="F347" s="4">
        <v>46101.433128993063</v>
      </c>
      <c r="G347" s="4">
        <v>46101.592999918983</v>
      </c>
      <c r="H347">
        <v>3.8</v>
      </c>
      <c r="I347" t="s">
        <v>9</v>
      </c>
      <c r="J347" t="s">
        <v>328</v>
      </c>
    </row>
    <row r="348" spans="1:10">
      <c r="A348" t="s">
        <v>1016</v>
      </c>
      <c r="B348" t="s">
        <v>677</v>
      </c>
      <c r="C348" t="s">
        <v>11</v>
      </c>
      <c r="D348" t="s">
        <v>417</v>
      </c>
      <c r="E348" t="s">
        <v>378</v>
      </c>
      <c r="F348" s="4">
        <v>45952.462020914347</v>
      </c>
      <c r="G348" s="4">
        <v>45952.790985347223</v>
      </c>
      <c r="H348">
        <v>7.9</v>
      </c>
      <c r="I348" t="s">
        <v>9</v>
      </c>
      <c r="J348" t="s">
        <v>328</v>
      </c>
    </row>
    <row r="349" spans="1:10">
      <c r="A349" t="s">
        <v>1017</v>
      </c>
      <c r="B349" t="s">
        <v>951</v>
      </c>
      <c r="C349" t="s">
        <v>155</v>
      </c>
      <c r="D349" t="s">
        <v>373</v>
      </c>
      <c r="E349" t="s">
        <v>400</v>
      </c>
      <c r="F349" s="4">
        <v>45862.513868831018</v>
      </c>
      <c r="G349" s="4">
        <v>45862.749680381938</v>
      </c>
      <c r="H349">
        <v>5.7</v>
      </c>
      <c r="I349" t="s">
        <v>9</v>
      </c>
      <c r="J349" t="s">
        <v>335</v>
      </c>
    </row>
    <row r="350" spans="1:10">
      <c r="A350" t="s">
        <v>1018</v>
      </c>
      <c r="B350" t="s">
        <v>742</v>
      </c>
      <c r="C350" t="s">
        <v>105</v>
      </c>
      <c r="D350" t="s">
        <v>476</v>
      </c>
      <c r="E350" t="s">
        <v>396</v>
      </c>
      <c r="F350" s="4">
        <v>45859.696713101846</v>
      </c>
      <c r="G350" s="4">
        <v>45859.776319456018</v>
      </c>
      <c r="H350">
        <v>1.9</v>
      </c>
      <c r="I350" t="s">
        <v>9</v>
      </c>
      <c r="J350" t="s">
        <v>335</v>
      </c>
    </row>
    <row r="351" spans="1:10">
      <c r="A351" t="s">
        <v>1019</v>
      </c>
      <c r="B351" t="s">
        <v>1020</v>
      </c>
      <c r="C351" t="s">
        <v>283</v>
      </c>
      <c r="D351" t="s">
        <v>384</v>
      </c>
      <c r="E351" t="s">
        <v>456</v>
      </c>
      <c r="F351" s="4">
        <v>45997.489740775462</v>
      </c>
      <c r="G351" s="4">
        <v>45997.698744236113</v>
      </c>
      <c r="H351">
        <v>5</v>
      </c>
      <c r="I351" t="s">
        <v>12</v>
      </c>
      <c r="J351" t="s">
        <v>323</v>
      </c>
    </row>
    <row r="352" spans="1:10">
      <c r="A352" t="s">
        <v>1021</v>
      </c>
      <c r="B352" t="s">
        <v>1022</v>
      </c>
      <c r="C352" t="s">
        <v>190</v>
      </c>
      <c r="D352" t="s">
        <v>476</v>
      </c>
      <c r="E352" t="s">
        <v>400</v>
      </c>
      <c r="F352" s="4">
        <v>46018.313636793981</v>
      </c>
      <c r="G352" s="4">
        <v>46018.562315254632</v>
      </c>
      <c r="H352">
        <v>6</v>
      </c>
      <c r="I352" t="s">
        <v>9</v>
      </c>
      <c r="J352" t="s">
        <v>323</v>
      </c>
    </row>
    <row r="353" spans="1:10">
      <c r="A353" t="s">
        <v>1023</v>
      </c>
      <c r="B353" t="s">
        <v>645</v>
      </c>
      <c r="C353" t="s">
        <v>226</v>
      </c>
      <c r="D353" t="s">
        <v>476</v>
      </c>
      <c r="E353" t="s">
        <v>456</v>
      </c>
      <c r="F353" s="4">
        <v>46081.990577719909</v>
      </c>
      <c r="G353" s="4">
        <v>46082.130718020831</v>
      </c>
      <c r="H353">
        <v>3.4</v>
      </c>
      <c r="I353" t="s">
        <v>9</v>
      </c>
      <c r="J353" t="s">
        <v>328</v>
      </c>
    </row>
    <row r="354" spans="1:10">
      <c r="A354" t="s">
        <v>1024</v>
      </c>
      <c r="B354" t="s">
        <v>1025</v>
      </c>
      <c r="C354" t="s">
        <v>194</v>
      </c>
      <c r="D354" t="s">
        <v>381</v>
      </c>
      <c r="E354" t="s">
        <v>370</v>
      </c>
      <c r="F354" s="4">
        <v>45990.229010671297</v>
      </c>
      <c r="G354" s="4">
        <v>45990.545075405091</v>
      </c>
      <c r="H354">
        <v>7.6</v>
      </c>
      <c r="I354" t="s">
        <v>9</v>
      </c>
      <c r="J354" t="s">
        <v>335</v>
      </c>
    </row>
    <row r="355" spans="1:10">
      <c r="A355" t="s">
        <v>1026</v>
      </c>
      <c r="B355" t="s">
        <v>718</v>
      </c>
      <c r="C355" t="s">
        <v>283</v>
      </c>
      <c r="D355" t="s">
        <v>369</v>
      </c>
      <c r="E355" t="s">
        <v>400</v>
      </c>
      <c r="F355" s="4">
        <v>46123.752986724539</v>
      </c>
      <c r="G355" s="4">
        <v>46123.795869456022</v>
      </c>
      <c r="H355">
        <v>1</v>
      </c>
      <c r="I355" t="s">
        <v>9</v>
      </c>
      <c r="J355" t="s">
        <v>323</v>
      </c>
    </row>
    <row r="356" spans="1:10">
      <c r="A356" t="s">
        <v>1027</v>
      </c>
      <c r="B356" t="s">
        <v>1028</v>
      </c>
      <c r="C356" t="s">
        <v>351</v>
      </c>
      <c r="D356" t="s">
        <v>369</v>
      </c>
      <c r="E356" t="s">
        <v>370</v>
      </c>
      <c r="F356" s="4">
        <v>45975.53657733796</v>
      </c>
      <c r="G356" s="4">
        <v>45975.617606747677</v>
      </c>
      <c r="H356">
        <v>1.9</v>
      </c>
      <c r="I356" t="s">
        <v>9</v>
      </c>
      <c r="J356" t="s">
        <v>335</v>
      </c>
    </row>
    <row r="357" spans="1:10">
      <c r="A357" t="s">
        <v>1029</v>
      </c>
      <c r="B357" t="s">
        <v>1030</v>
      </c>
      <c r="C357" t="s">
        <v>194</v>
      </c>
      <c r="D357" t="s">
        <v>476</v>
      </c>
      <c r="E357" t="s">
        <v>456</v>
      </c>
      <c r="F357" s="4">
        <v>46089.190449074071</v>
      </c>
      <c r="G357" s="4">
        <v>46089.371103483798</v>
      </c>
      <c r="H357">
        <v>4.3</v>
      </c>
      <c r="I357" t="s">
        <v>12</v>
      </c>
      <c r="J357" t="s">
        <v>335</v>
      </c>
    </row>
    <row r="358" spans="1:10">
      <c r="A358" t="s">
        <v>1031</v>
      </c>
      <c r="B358" t="s">
        <v>1032</v>
      </c>
      <c r="C358" t="s">
        <v>131</v>
      </c>
      <c r="D358" t="s">
        <v>365</v>
      </c>
      <c r="E358" t="s">
        <v>393</v>
      </c>
      <c r="F358" s="4">
        <v>45925.418248437498</v>
      </c>
      <c r="G358" s="4">
        <v>45925.685264293978</v>
      </c>
      <c r="H358">
        <v>6.4</v>
      </c>
      <c r="I358" t="s">
        <v>9</v>
      </c>
      <c r="J358" t="s">
        <v>328</v>
      </c>
    </row>
    <row r="359" spans="1:10">
      <c r="A359" t="s">
        <v>1033</v>
      </c>
      <c r="B359" t="s">
        <v>1034</v>
      </c>
      <c r="C359" t="s">
        <v>89</v>
      </c>
      <c r="D359" t="s">
        <v>476</v>
      </c>
      <c r="E359" t="s">
        <v>440</v>
      </c>
      <c r="F359" s="4">
        <v>46119.937420254631</v>
      </c>
      <c r="G359" s="4">
        <v>46120.042667731483</v>
      </c>
      <c r="H359">
        <v>2.5</v>
      </c>
      <c r="I359" t="s">
        <v>9</v>
      </c>
      <c r="J359" t="s">
        <v>328</v>
      </c>
    </row>
    <row r="360" spans="1:10">
      <c r="A360" t="s">
        <v>1035</v>
      </c>
      <c r="B360" t="s">
        <v>1036</v>
      </c>
      <c r="C360" t="s">
        <v>183</v>
      </c>
      <c r="D360" t="s">
        <v>392</v>
      </c>
      <c r="E360" t="s">
        <v>456</v>
      </c>
      <c r="F360" s="4">
        <v>45872.775425798609</v>
      </c>
      <c r="G360" s="4">
        <v>45872.899183344911</v>
      </c>
      <c r="H360">
        <v>3</v>
      </c>
      <c r="I360" t="s">
        <v>12</v>
      </c>
      <c r="J360" t="s">
        <v>328</v>
      </c>
    </row>
    <row r="361" spans="1:10">
      <c r="A361" t="s">
        <v>1037</v>
      </c>
      <c r="B361" t="s">
        <v>1038</v>
      </c>
      <c r="C361" t="s">
        <v>97</v>
      </c>
      <c r="D361" t="s">
        <v>392</v>
      </c>
      <c r="E361" t="s">
        <v>378</v>
      </c>
      <c r="F361" s="4">
        <v>45924.52254471065</v>
      </c>
      <c r="G361" s="4">
        <v>45924.589106053238</v>
      </c>
      <c r="H361">
        <v>1.6</v>
      </c>
      <c r="I361" t="s">
        <v>9</v>
      </c>
      <c r="J361" t="s">
        <v>328</v>
      </c>
    </row>
    <row r="362" spans="1:10">
      <c r="A362" t="s">
        <v>1039</v>
      </c>
      <c r="B362" t="s">
        <v>521</v>
      </c>
      <c r="C362" t="s">
        <v>49</v>
      </c>
      <c r="D362" t="s">
        <v>381</v>
      </c>
      <c r="E362" t="s">
        <v>440</v>
      </c>
      <c r="F362" s="4">
        <v>46107.471654745372</v>
      </c>
      <c r="G362" s="4">
        <v>46107.610349317132</v>
      </c>
      <c r="H362">
        <v>3.3</v>
      </c>
      <c r="I362" t="s">
        <v>9</v>
      </c>
      <c r="J362" t="s">
        <v>335</v>
      </c>
    </row>
    <row r="363" spans="1:10">
      <c r="A363" t="s">
        <v>1040</v>
      </c>
      <c r="B363" t="s">
        <v>897</v>
      </c>
      <c r="C363" t="s">
        <v>245</v>
      </c>
      <c r="D363" t="s">
        <v>443</v>
      </c>
      <c r="E363" t="s">
        <v>370</v>
      </c>
      <c r="F363" s="4">
        <v>45876.832234328707</v>
      </c>
      <c r="G363" s="4">
        <v>45877.097671921299</v>
      </c>
      <c r="H363">
        <v>6.4</v>
      </c>
      <c r="I363" t="s">
        <v>12</v>
      </c>
      <c r="J363" t="s">
        <v>335</v>
      </c>
    </row>
    <row r="364" spans="1:10">
      <c r="A364" t="s">
        <v>1041</v>
      </c>
      <c r="B364" t="s">
        <v>1042</v>
      </c>
      <c r="C364" t="s">
        <v>74</v>
      </c>
      <c r="D364" t="s">
        <v>392</v>
      </c>
      <c r="E364" t="s">
        <v>403</v>
      </c>
      <c r="F364" s="4">
        <v>46072.063500335651</v>
      </c>
      <c r="G364" s="4">
        <v>46072.18013040509</v>
      </c>
      <c r="H364">
        <v>2.8</v>
      </c>
      <c r="I364" t="s">
        <v>9</v>
      </c>
      <c r="J364" t="s">
        <v>323</v>
      </c>
    </row>
    <row r="365" spans="1:10">
      <c r="A365" t="s">
        <v>1043</v>
      </c>
      <c r="B365" t="s">
        <v>844</v>
      </c>
      <c r="C365" t="s">
        <v>16</v>
      </c>
      <c r="D365" t="s">
        <v>392</v>
      </c>
      <c r="E365" t="s">
        <v>400</v>
      </c>
      <c r="F365" s="4">
        <v>46073.109738206018</v>
      </c>
      <c r="G365" s="4">
        <v>46073.239602858797</v>
      </c>
      <c r="H365">
        <v>3.1</v>
      </c>
      <c r="I365" t="s">
        <v>9</v>
      </c>
      <c r="J365" t="s">
        <v>323</v>
      </c>
    </row>
    <row r="366" spans="1:10">
      <c r="A366" t="s">
        <v>1044</v>
      </c>
      <c r="B366" t="s">
        <v>475</v>
      </c>
      <c r="C366" t="s">
        <v>40</v>
      </c>
      <c r="D366" t="s">
        <v>476</v>
      </c>
      <c r="E366" t="s">
        <v>387</v>
      </c>
      <c r="F366" s="4">
        <v>45893.353027048608</v>
      </c>
      <c r="G366" s="4">
        <v>45893.563693796299</v>
      </c>
      <c r="H366">
        <v>5.0999999999999996</v>
      </c>
      <c r="I366" t="s">
        <v>9</v>
      </c>
      <c r="J366" t="s">
        <v>328</v>
      </c>
    </row>
    <row r="367" spans="1:10">
      <c r="A367" t="s">
        <v>1045</v>
      </c>
      <c r="B367" t="s">
        <v>754</v>
      </c>
      <c r="C367" t="s">
        <v>29</v>
      </c>
      <c r="D367" t="s">
        <v>417</v>
      </c>
      <c r="E367" t="s">
        <v>378</v>
      </c>
      <c r="F367" s="4">
        <v>46040.613890185188</v>
      </c>
      <c r="G367" s="4">
        <v>46040.869683807869</v>
      </c>
      <c r="H367">
        <v>6.1</v>
      </c>
      <c r="I367" t="s">
        <v>12</v>
      </c>
      <c r="J367" t="s">
        <v>323</v>
      </c>
    </row>
    <row r="368" spans="1:10">
      <c r="A368" t="s">
        <v>1046</v>
      </c>
      <c r="B368" t="s">
        <v>523</v>
      </c>
      <c r="C368" t="s">
        <v>140</v>
      </c>
      <c r="D368" t="s">
        <v>476</v>
      </c>
      <c r="E368" t="s">
        <v>396</v>
      </c>
      <c r="F368" s="4">
        <v>45866.983367581022</v>
      </c>
      <c r="G368" s="4">
        <v>45867.17035158565</v>
      </c>
      <c r="H368">
        <v>4.5</v>
      </c>
      <c r="I368" t="s">
        <v>9</v>
      </c>
      <c r="J368" t="s">
        <v>328</v>
      </c>
    </row>
    <row r="369" spans="1:10">
      <c r="A369" t="s">
        <v>1047</v>
      </c>
      <c r="B369" t="s">
        <v>1048</v>
      </c>
      <c r="C369" t="s">
        <v>171</v>
      </c>
      <c r="D369" t="s">
        <v>381</v>
      </c>
      <c r="E369" t="s">
        <v>374</v>
      </c>
      <c r="F369" s="4">
        <v>46115.857069398153</v>
      </c>
      <c r="G369" s="4">
        <v>46115.917769039363</v>
      </c>
      <c r="H369">
        <v>1.5</v>
      </c>
      <c r="I369" t="s">
        <v>12</v>
      </c>
      <c r="J369" t="s">
        <v>335</v>
      </c>
    </row>
    <row r="370" spans="1:10">
      <c r="A370" t="s">
        <v>1049</v>
      </c>
      <c r="B370" t="s">
        <v>1050</v>
      </c>
      <c r="C370" t="s">
        <v>159</v>
      </c>
      <c r="D370" t="s">
        <v>467</v>
      </c>
      <c r="E370" t="s">
        <v>440</v>
      </c>
      <c r="F370" s="4">
        <v>46010.349918877313</v>
      </c>
      <c r="G370" s="4">
        <v>46010.576240625</v>
      </c>
      <c r="H370">
        <v>5.4</v>
      </c>
      <c r="I370" t="s">
        <v>12</v>
      </c>
      <c r="J370" t="s">
        <v>335</v>
      </c>
    </row>
    <row r="371" spans="1:10">
      <c r="A371" t="s">
        <v>1051</v>
      </c>
      <c r="B371" t="s">
        <v>460</v>
      </c>
      <c r="C371" t="s">
        <v>87</v>
      </c>
      <c r="D371" t="s">
        <v>399</v>
      </c>
      <c r="E371" t="s">
        <v>440</v>
      </c>
      <c r="F371" s="4">
        <v>46026.799989861109</v>
      </c>
      <c r="G371" s="4">
        <v>46026.837343391213</v>
      </c>
      <c r="H371">
        <v>0.9</v>
      </c>
      <c r="I371" t="s">
        <v>9</v>
      </c>
      <c r="J371" t="s">
        <v>323</v>
      </c>
    </row>
    <row r="372" spans="1:10">
      <c r="A372" t="s">
        <v>1052</v>
      </c>
      <c r="B372" t="s">
        <v>1053</v>
      </c>
      <c r="C372" t="s">
        <v>123</v>
      </c>
      <c r="D372" t="s">
        <v>467</v>
      </c>
      <c r="E372" t="s">
        <v>396</v>
      </c>
      <c r="F372" s="4">
        <v>46015.357450983793</v>
      </c>
      <c r="G372" s="4">
        <v>46015.456131701387</v>
      </c>
      <c r="H372">
        <v>2.4</v>
      </c>
      <c r="I372" t="s">
        <v>9</v>
      </c>
      <c r="J372" t="s">
        <v>335</v>
      </c>
    </row>
    <row r="373" spans="1:10">
      <c r="A373" t="s">
        <v>1054</v>
      </c>
      <c r="B373" t="s">
        <v>729</v>
      </c>
      <c r="C373" t="s">
        <v>170</v>
      </c>
      <c r="D373" t="s">
        <v>381</v>
      </c>
      <c r="E373" t="s">
        <v>374</v>
      </c>
      <c r="F373" s="4">
        <v>45986.702646053243</v>
      </c>
      <c r="G373" s="4">
        <v>45987.031681354158</v>
      </c>
      <c r="H373">
        <v>7.9</v>
      </c>
      <c r="I373" t="s">
        <v>9</v>
      </c>
      <c r="J373" t="s">
        <v>335</v>
      </c>
    </row>
    <row r="374" spans="1:10">
      <c r="A374" t="s">
        <v>1055</v>
      </c>
      <c r="B374" t="s">
        <v>716</v>
      </c>
      <c r="C374" t="s">
        <v>67</v>
      </c>
      <c r="D374" t="s">
        <v>392</v>
      </c>
      <c r="E374" t="s">
        <v>440</v>
      </c>
      <c r="F374" s="4">
        <v>46081.743246423612</v>
      </c>
      <c r="G374" s="4">
        <v>46082.061772361107</v>
      </c>
      <c r="H374">
        <v>7.6</v>
      </c>
      <c r="I374" t="s">
        <v>9</v>
      </c>
      <c r="J374" t="s">
        <v>335</v>
      </c>
    </row>
    <row r="375" spans="1:10">
      <c r="A375" t="s">
        <v>1056</v>
      </c>
      <c r="B375" t="s">
        <v>1057</v>
      </c>
      <c r="C375" t="s">
        <v>116</v>
      </c>
      <c r="D375" t="s">
        <v>384</v>
      </c>
      <c r="E375" t="s">
        <v>378</v>
      </c>
      <c r="F375" s="4">
        <v>45912.06345134259</v>
      </c>
      <c r="G375" s="4">
        <v>45912.352385138889</v>
      </c>
      <c r="H375">
        <v>6.9</v>
      </c>
      <c r="I375" t="s">
        <v>9</v>
      </c>
      <c r="J375" t="s">
        <v>335</v>
      </c>
    </row>
    <row r="376" spans="1:10">
      <c r="A376" t="s">
        <v>1058</v>
      </c>
      <c r="B376" t="s">
        <v>529</v>
      </c>
      <c r="C376" t="s">
        <v>183</v>
      </c>
      <c r="D376" t="s">
        <v>392</v>
      </c>
      <c r="E376" t="s">
        <v>374</v>
      </c>
      <c r="F376" s="4">
        <v>46128.403460925932</v>
      </c>
      <c r="G376" s="4">
        <v>46128.688433518517</v>
      </c>
      <c r="H376">
        <v>6.8</v>
      </c>
      <c r="I376" t="s">
        <v>9</v>
      </c>
      <c r="J376" t="s">
        <v>335</v>
      </c>
    </row>
    <row r="377" spans="1:10">
      <c r="A377" t="s">
        <v>1059</v>
      </c>
      <c r="B377" t="s">
        <v>1060</v>
      </c>
      <c r="C377" t="s">
        <v>63</v>
      </c>
      <c r="D377" t="s">
        <v>417</v>
      </c>
      <c r="E377" t="s">
        <v>374</v>
      </c>
      <c r="F377" s="4">
        <v>45903.312117303241</v>
      </c>
      <c r="G377" s="4">
        <v>45903.628221562503</v>
      </c>
      <c r="H377">
        <v>7.6</v>
      </c>
      <c r="I377" t="s">
        <v>12</v>
      </c>
      <c r="J377" t="s">
        <v>335</v>
      </c>
    </row>
    <row r="378" spans="1:10">
      <c r="A378" t="s">
        <v>1061</v>
      </c>
      <c r="B378" t="s">
        <v>1062</v>
      </c>
      <c r="C378" t="s">
        <v>173</v>
      </c>
      <c r="D378" t="s">
        <v>417</v>
      </c>
      <c r="E378" t="s">
        <v>370</v>
      </c>
      <c r="F378" s="4">
        <v>45909.172421157411</v>
      </c>
      <c r="G378" s="4">
        <v>45909.282582893517</v>
      </c>
      <c r="H378">
        <v>2.6</v>
      </c>
      <c r="I378" t="s">
        <v>9</v>
      </c>
      <c r="J378" t="s">
        <v>335</v>
      </c>
    </row>
    <row r="379" spans="1:10">
      <c r="A379" t="s">
        <v>1063</v>
      </c>
      <c r="B379" t="s">
        <v>1064</v>
      </c>
      <c r="C379" t="s">
        <v>185</v>
      </c>
      <c r="D379" t="s">
        <v>381</v>
      </c>
      <c r="E379" t="s">
        <v>414</v>
      </c>
      <c r="F379" s="4">
        <v>46139.269733055553</v>
      </c>
      <c r="G379" s="4">
        <v>46139.423061273148</v>
      </c>
      <c r="H379">
        <v>3.7</v>
      </c>
      <c r="I379" t="s">
        <v>9</v>
      </c>
      <c r="J379" t="s">
        <v>335</v>
      </c>
    </row>
    <row r="380" spans="1:10">
      <c r="A380" t="s">
        <v>1065</v>
      </c>
      <c r="B380" t="s">
        <v>748</v>
      </c>
      <c r="C380" t="s">
        <v>87</v>
      </c>
      <c r="D380" t="s">
        <v>476</v>
      </c>
      <c r="E380" t="s">
        <v>403</v>
      </c>
      <c r="F380" s="4">
        <v>46012.33061798611</v>
      </c>
      <c r="G380" s="4">
        <v>46012.512392407407</v>
      </c>
      <c r="H380">
        <v>4.4000000000000004</v>
      </c>
      <c r="I380" t="s">
        <v>9</v>
      </c>
      <c r="J380" t="s">
        <v>323</v>
      </c>
    </row>
    <row r="381" spans="1:10">
      <c r="A381" t="s">
        <v>1066</v>
      </c>
      <c r="B381" t="s">
        <v>620</v>
      </c>
      <c r="C381" t="s">
        <v>80</v>
      </c>
      <c r="D381" t="s">
        <v>399</v>
      </c>
      <c r="E381" t="s">
        <v>440</v>
      </c>
      <c r="F381" s="4">
        <v>45890.809559907408</v>
      </c>
      <c r="G381" s="4">
        <v>45890.957103067129</v>
      </c>
      <c r="H381">
        <v>3.5</v>
      </c>
      <c r="I381" t="s">
        <v>9</v>
      </c>
      <c r="J381" t="s">
        <v>323</v>
      </c>
    </row>
    <row r="382" spans="1:10">
      <c r="A382" t="s">
        <v>1067</v>
      </c>
      <c r="B382" t="s">
        <v>511</v>
      </c>
      <c r="C382" t="s">
        <v>260</v>
      </c>
      <c r="D382" t="s">
        <v>369</v>
      </c>
      <c r="E382" t="s">
        <v>393</v>
      </c>
      <c r="F382" s="4">
        <v>45910.368403703702</v>
      </c>
      <c r="G382" s="4">
        <v>45910.608796944442</v>
      </c>
      <c r="H382">
        <v>5.8</v>
      </c>
      <c r="I382" t="s">
        <v>9</v>
      </c>
      <c r="J382" t="s">
        <v>335</v>
      </c>
    </row>
    <row r="383" spans="1:10">
      <c r="A383" t="s">
        <v>1068</v>
      </c>
      <c r="B383" t="s">
        <v>1069</v>
      </c>
      <c r="C383" t="s">
        <v>196</v>
      </c>
      <c r="D383" t="s">
        <v>399</v>
      </c>
      <c r="E383" t="s">
        <v>374</v>
      </c>
      <c r="F383" s="4">
        <v>45861.14480800926</v>
      </c>
      <c r="G383" s="4">
        <v>45861.372258252311</v>
      </c>
      <c r="H383">
        <v>5.5</v>
      </c>
      <c r="I383" t="s">
        <v>9</v>
      </c>
      <c r="J383" t="s">
        <v>328</v>
      </c>
    </row>
    <row r="384" spans="1:10">
      <c r="A384" t="s">
        <v>1070</v>
      </c>
      <c r="B384" t="s">
        <v>1071</v>
      </c>
      <c r="C384" t="s">
        <v>87</v>
      </c>
      <c r="D384" t="s">
        <v>443</v>
      </c>
      <c r="E384" t="s">
        <v>414</v>
      </c>
      <c r="F384" s="4">
        <v>45994.008446134263</v>
      </c>
      <c r="G384" s="4">
        <v>45994.042515717592</v>
      </c>
      <c r="H384">
        <v>0.8</v>
      </c>
      <c r="I384" t="s">
        <v>9</v>
      </c>
      <c r="J384" t="s">
        <v>328</v>
      </c>
    </row>
    <row r="385" spans="1:10">
      <c r="A385" t="s">
        <v>1072</v>
      </c>
      <c r="B385" t="s">
        <v>464</v>
      </c>
      <c r="C385" t="s">
        <v>286</v>
      </c>
      <c r="D385" t="s">
        <v>369</v>
      </c>
      <c r="E385" t="s">
        <v>393</v>
      </c>
      <c r="F385" s="4">
        <v>45940.678890636576</v>
      </c>
      <c r="G385" s="4">
        <v>45940.975327268519</v>
      </c>
      <c r="H385">
        <v>7.1</v>
      </c>
      <c r="I385" t="s">
        <v>9</v>
      </c>
      <c r="J385" t="s">
        <v>323</v>
      </c>
    </row>
    <row r="386" spans="1:10">
      <c r="A386" t="s">
        <v>1073</v>
      </c>
      <c r="B386" t="s">
        <v>684</v>
      </c>
      <c r="C386" t="s">
        <v>249</v>
      </c>
      <c r="D386" t="s">
        <v>377</v>
      </c>
      <c r="E386" t="s">
        <v>403</v>
      </c>
      <c r="F386" s="4">
        <v>45868.076145358798</v>
      </c>
      <c r="G386" s="4">
        <v>45868.211682106477</v>
      </c>
      <c r="H386">
        <v>3.3</v>
      </c>
      <c r="I386" t="s">
        <v>12</v>
      </c>
      <c r="J386" t="s">
        <v>328</v>
      </c>
    </row>
    <row r="387" spans="1:10">
      <c r="A387" t="s">
        <v>1074</v>
      </c>
      <c r="B387" t="s">
        <v>1075</v>
      </c>
      <c r="C387" t="s">
        <v>285</v>
      </c>
      <c r="D387" t="s">
        <v>399</v>
      </c>
      <c r="E387" t="s">
        <v>400</v>
      </c>
      <c r="F387" s="4">
        <v>46048.103571932872</v>
      </c>
      <c r="G387" s="4">
        <v>46048.256505983787</v>
      </c>
      <c r="H387">
        <v>3.7</v>
      </c>
      <c r="I387" t="s">
        <v>9</v>
      </c>
      <c r="J387" t="s">
        <v>323</v>
      </c>
    </row>
    <row r="388" spans="1:10">
      <c r="A388" t="s">
        <v>1076</v>
      </c>
      <c r="B388" t="s">
        <v>636</v>
      </c>
      <c r="C388" t="s">
        <v>247</v>
      </c>
      <c r="D388" t="s">
        <v>365</v>
      </c>
      <c r="E388" t="s">
        <v>374</v>
      </c>
      <c r="F388" s="4">
        <v>46105.417479641197</v>
      </c>
      <c r="G388" s="4">
        <v>46105.543925034719</v>
      </c>
      <c r="H388">
        <v>3</v>
      </c>
      <c r="I388" t="s">
        <v>9</v>
      </c>
      <c r="J388" t="s">
        <v>328</v>
      </c>
    </row>
    <row r="389" spans="1:10">
      <c r="A389" t="s">
        <v>1077</v>
      </c>
      <c r="B389" t="s">
        <v>1078</v>
      </c>
      <c r="C389" t="s">
        <v>61</v>
      </c>
      <c r="D389" t="s">
        <v>381</v>
      </c>
      <c r="E389" t="s">
        <v>400</v>
      </c>
      <c r="F389" s="4">
        <v>46072.688134340278</v>
      </c>
      <c r="G389" s="4">
        <v>46072.977032106479</v>
      </c>
      <c r="H389">
        <v>6.9</v>
      </c>
      <c r="I389" t="s">
        <v>9</v>
      </c>
      <c r="J389" t="s">
        <v>328</v>
      </c>
    </row>
    <row r="390" spans="1:10">
      <c r="A390" t="s">
        <v>1079</v>
      </c>
      <c r="B390" t="s">
        <v>977</v>
      </c>
      <c r="C390" t="s">
        <v>87</v>
      </c>
      <c r="D390" t="s">
        <v>392</v>
      </c>
      <c r="E390" t="s">
        <v>387</v>
      </c>
      <c r="F390" s="4">
        <v>45886.1000575</v>
      </c>
      <c r="G390" s="4">
        <v>45886.18747394676</v>
      </c>
      <c r="H390">
        <v>2.1</v>
      </c>
      <c r="I390" t="s">
        <v>9</v>
      </c>
      <c r="J390" t="s">
        <v>328</v>
      </c>
    </row>
    <row r="391" spans="1:10">
      <c r="A391" t="s">
        <v>1080</v>
      </c>
      <c r="B391" t="s">
        <v>1081</v>
      </c>
      <c r="C391" t="s">
        <v>211</v>
      </c>
      <c r="D391" t="s">
        <v>399</v>
      </c>
      <c r="E391" t="s">
        <v>370</v>
      </c>
      <c r="F391" s="4">
        <v>46133.172209386583</v>
      </c>
      <c r="G391" s="4">
        <v>46133.481497835652</v>
      </c>
      <c r="H391">
        <v>7.4</v>
      </c>
      <c r="I391" t="s">
        <v>9</v>
      </c>
      <c r="J391" t="s">
        <v>328</v>
      </c>
    </row>
    <row r="392" spans="1:10">
      <c r="A392" t="s">
        <v>1082</v>
      </c>
      <c r="B392" t="s">
        <v>1083</v>
      </c>
      <c r="C392" t="s">
        <v>34</v>
      </c>
      <c r="D392" t="s">
        <v>392</v>
      </c>
      <c r="E392" t="s">
        <v>374</v>
      </c>
      <c r="F392" s="4">
        <v>45994.290714594907</v>
      </c>
      <c r="G392" s="4">
        <v>45994.590741006941</v>
      </c>
      <c r="H392">
        <v>7.2</v>
      </c>
      <c r="I392" t="s">
        <v>9</v>
      </c>
      <c r="J392" t="s">
        <v>328</v>
      </c>
    </row>
    <row r="393" spans="1:10">
      <c r="A393" t="s">
        <v>1084</v>
      </c>
      <c r="B393" t="s">
        <v>559</v>
      </c>
      <c r="C393" t="s">
        <v>192</v>
      </c>
      <c r="D393" t="s">
        <v>384</v>
      </c>
      <c r="E393" t="s">
        <v>440</v>
      </c>
      <c r="F393" s="4">
        <v>46002.618058726854</v>
      </c>
      <c r="G393" s="4">
        <v>46002.656859780087</v>
      </c>
      <c r="H393">
        <v>0.9</v>
      </c>
      <c r="I393" t="s">
        <v>12</v>
      </c>
      <c r="J393" t="s">
        <v>335</v>
      </c>
    </row>
    <row r="394" spans="1:10">
      <c r="A394" t="s">
        <v>1085</v>
      </c>
      <c r="B394" t="s">
        <v>721</v>
      </c>
      <c r="C394" t="s">
        <v>273</v>
      </c>
      <c r="D394" t="s">
        <v>417</v>
      </c>
      <c r="E394" t="s">
        <v>393</v>
      </c>
      <c r="F394" s="4">
        <v>45947.496934594907</v>
      </c>
      <c r="G394" s="4">
        <v>45947.628359409733</v>
      </c>
      <c r="H394">
        <v>3.2</v>
      </c>
      <c r="I394" t="s">
        <v>12</v>
      </c>
      <c r="J394" t="s">
        <v>323</v>
      </c>
    </row>
    <row r="395" spans="1:10">
      <c r="A395" t="s">
        <v>1086</v>
      </c>
      <c r="B395" t="s">
        <v>877</v>
      </c>
      <c r="C395" t="s">
        <v>118</v>
      </c>
      <c r="D395" t="s">
        <v>392</v>
      </c>
      <c r="E395" t="s">
        <v>400</v>
      </c>
      <c r="F395" s="4">
        <v>46074.226163298612</v>
      </c>
      <c r="G395" s="4">
        <v>46074.249766539353</v>
      </c>
      <c r="H395">
        <v>0.6</v>
      </c>
      <c r="I395" t="s">
        <v>9</v>
      </c>
      <c r="J395" t="s">
        <v>328</v>
      </c>
    </row>
    <row r="396" spans="1:10">
      <c r="A396" t="s">
        <v>1087</v>
      </c>
      <c r="B396" t="s">
        <v>1088</v>
      </c>
      <c r="C396" t="s">
        <v>269</v>
      </c>
      <c r="D396" t="s">
        <v>369</v>
      </c>
      <c r="E396" t="s">
        <v>456</v>
      </c>
      <c r="F396" s="4">
        <v>46044.164193020843</v>
      </c>
      <c r="G396" s="4">
        <v>46044.345750914363</v>
      </c>
      <c r="H396">
        <v>4.4000000000000004</v>
      </c>
      <c r="I396" t="s">
        <v>12</v>
      </c>
      <c r="J396" t="s">
        <v>323</v>
      </c>
    </row>
    <row r="397" spans="1:10">
      <c r="A397" t="s">
        <v>1089</v>
      </c>
      <c r="B397" t="s">
        <v>959</v>
      </c>
      <c r="C397" t="s">
        <v>56</v>
      </c>
      <c r="D397" t="s">
        <v>381</v>
      </c>
      <c r="E397" t="s">
        <v>366</v>
      </c>
      <c r="F397" s="4">
        <v>45858.614327326388</v>
      </c>
      <c r="G397" s="4">
        <v>45858.637320185182</v>
      </c>
      <c r="H397">
        <v>0.6</v>
      </c>
      <c r="I397" t="s">
        <v>9</v>
      </c>
      <c r="J397" t="s">
        <v>328</v>
      </c>
    </row>
    <row r="398" spans="1:10">
      <c r="A398" t="s">
        <v>1090</v>
      </c>
      <c r="B398" t="s">
        <v>544</v>
      </c>
      <c r="C398" t="s">
        <v>63</v>
      </c>
      <c r="D398" t="s">
        <v>467</v>
      </c>
      <c r="E398" t="s">
        <v>370</v>
      </c>
      <c r="F398" s="4">
        <v>46044.478784108796</v>
      </c>
      <c r="G398" s="4">
        <v>46044.623167083337</v>
      </c>
      <c r="H398">
        <v>3.5</v>
      </c>
      <c r="I398" t="s">
        <v>9</v>
      </c>
      <c r="J398" t="s">
        <v>335</v>
      </c>
    </row>
    <row r="399" spans="1:10">
      <c r="A399" t="s">
        <v>1091</v>
      </c>
      <c r="B399" t="s">
        <v>562</v>
      </c>
      <c r="C399" t="s">
        <v>173</v>
      </c>
      <c r="D399" t="s">
        <v>373</v>
      </c>
      <c r="E399" t="s">
        <v>378</v>
      </c>
      <c r="F399" s="4">
        <v>45978.072026030102</v>
      </c>
      <c r="G399" s="4">
        <v>45978.260492928239</v>
      </c>
      <c r="H399">
        <v>4.5</v>
      </c>
      <c r="I399" t="s">
        <v>9</v>
      </c>
      <c r="J399" t="s">
        <v>335</v>
      </c>
    </row>
    <row r="400" spans="1:10">
      <c r="A400" t="s">
        <v>1092</v>
      </c>
      <c r="B400" t="s">
        <v>1093</v>
      </c>
      <c r="C400" t="s">
        <v>45</v>
      </c>
      <c r="D400" t="s">
        <v>381</v>
      </c>
      <c r="E400" t="s">
        <v>400</v>
      </c>
      <c r="F400" s="4">
        <v>45933.880095289351</v>
      </c>
      <c r="G400" s="4">
        <v>45934.038227592588</v>
      </c>
      <c r="H400">
        <v>3.8</v>
      </c>
      <c r="I400" t="s">
        <v>12</v>
      </c>
      <c r="J400" t="s">
        <v>328</v>
      </c>
    </row>
    <row r="401" spans="1:10">
      <c r="A401" t="s">
        <v>1094</v>
      </c>
      <c r="B401" t="s">
        <v>986</v>
      </c>
      <c r="C401" t="s">
        <v>192</v>
      </c>
      <c r="D401" t="s">
        <v>392</v>
      </c>
      <c r="E401" t="s">
        <v>414</v>
      </c>
      <c r="F401" s="4">
        <v>46116.885531018517</v>
      </c>
      <c r="G401" s="4">
        <v>46117.182481932869</v>
      </c>
      <c r="H401">
        <v>7.1</v>
      </c>
      <c r="I401" t="s">
        <v>9</v>
      </c>
      <c r="J401" t="s">
        <v>328</v>
      </c>
    </row>
    <row r="402" spans="1:10">
      <c r="A402" t="s">
        <v>1095</v>
      </c>
      <c r="B402" t="s">
        <v>708</v>
      </c>
      <c r="C402" t="s">
        <v>204</v>
      </c>
      <c r="D402" t="s">
        <v>392</v>
      </c>
      <c r="E402" t="s">
        <v>403</v>
      </c>
      <c r="F402" s="4">
        <v>46058.076605451388</v>
      </c>
      <c r="G402" s="4">
        <v>46058.110018877313</v>
      </c>
      <c r="H402">
        <v>0.8</v>
      </c>
      <c r="I402" t="s">
        <v>9</v>
      </c>
      <c r="J402" t="s">
        <v>335</v>
      </c>
    </row>
    <row r="403" spans="1:10">
      <c r="A403" t="s">
        <v>1096</v>
      </c>
      <c r="B403" t="s">
        <v>596</v>
      </c>
      <c r="C403" t="s">
        <v>110</v>
      </c>
      <c r="D403" t="s">
        <v>443</v>
      </c>
      <c r="E403" t="s">
        <v>403</v>
      </c>
      <c r="F403" s="4">
        <v>45862.746412754626</v>
      </c>
      <c r="G403" s="4">
        <v>45862.817343738418</v>
      </c>
      <c r="H403">
        <v>1.7</v>
      </c>
      <c r="I403" t="s">
        <v>12</v>
      </c>
      <c r="J403" t="s">
        <v>335</v>
      </c>
    </row>
    <row r="404" spans="1:10">
      <c r="A404" t="s">
        <v>1097</v>
      </c>
      <c r="B404" t="s">
        <v>1098</v>
      </c>
      <c r="C404" t="s">
        <v>162</v>
      </c>
      <c r="D404" t="s">
        <v>392</v>
      </c>
      <c r="E404" t="s">
        <v>414</v>
      </c>
      <c r="F404" s="4">
        <v>45995.995615590276</v>
      </c>
      <c r="G404" s="4">
        <v>45996.323614143519</v>
      </c>
      <c r="H404">
        <v>7.9</v>
      </c>
      <c r="I404" t="s">
        <v>12</v>
      </c>
      <c r="J404" t="s">
        <v>328</v>
      </c>
    </row>
    <row r="405" spans="1:10">
      <c r="A405" t="s">
        <v>1099</v>
      </c>
      <c r="B405" t="s">
        <v>494</v>
      </c>
      <c r="C405" t="s">
        <v>225</v>
      </c>
      <c r="D405" t="s">
        <v>392</v>
      </c>
      <c r="E405" t="s">
        <v>403</v>
      </c>
      <c r="F405" s="4">
        <v>45846.81790642361</v>
      </c>
      <c r="G405" s="4">
        <v>45847.088683530092</v>
      </c>
      <c r="H405">
        <v>6.5</v>
      </c>
      <c r="I405" t="s">
        <v>9</v>
      </c>
      <c r="J405" t="s">
        <v>328</v>
      </c>
    </row>
    <row r="406" spans="1:10">
      <c r="A406" t="s">
        <v>1100</v>
      </c>
      <c r="B406" t="s">
        <v>1101</v>
      </c>
      <c r="C406" t="s">
        <v>245</v>
      </c>
      <c r="D406" t="s">
        <v>467</v>
      </c>
      <c r="E406" t="s">
        <v>414</v>
      </c>
      <c r="F406" s="4">
        <v>45935.467713379629</v>
      </c>
      <c r="G406" s="4">
        <v>45935.732402175927</v>
      </c>
      <c r="H406">
        <v>6.4</v>
      </c>
      <c r="I406" t="s">
        <v>9</v>
      </c>
      <c r="J406" t="s">
        <v>335</v>
      </c>
    </row>
    <row r="407" spans="1:10">
      <c r="A407" t="s">
        <v>1102</v>
      </c>
      <c r="B407" t="s">
        <v>710</v>
      </c>
      <c r="C407" t="s">
        <v>61</v>
      </c>
      <c r="D407" t="s">
        <v>467</v>
      </c>
      <c r="E407" t="s">
        <v>393</v>
      </c>
      <c r="F407" s="4">
        <v>45874.68253208333</v>
      </c>
      <c r="G407" s="4">
        <v>45875.002639976847</v>
      </c>
      <c r="H407">
        <v>7.7</v>
      </c>
      <c r="I407" t="s">
        <v>9</v>
      </c>
      <c r="J407" t="s">
        <v>323</v>
      </c>
    </row>
    <row r="408" spans="1:10">
      <c r="A408" t="s">
        <v>1103</v>
      </c>
      <c r="B408" t="s">
        <v>1104</v>
      </c>
      <c r="C408" t="s">
        <v>196</v>
      </c>
      <c r="D408" t="s">
        <v>384</v>
      </c>
      <c r="E408" t="s">
        <v>370</v>
      </c>
      <c r="F408" s="4">
        <v>46105.331848344897</v>
      </c>
      <c r="G408" s="4">
        <v>46105.50893196759</v>
      </c>
      <c r="H408">
        <v>4.3</v>
      </c>
      <c r="I408" t="s">
        <v>9</v>
      </c>
      <c r="J408" t="s">
        <v>328</v>
      </c>
    </row>
    <row r="409" spans="1:10">
      <c r="A409" t="s">
        <v>1105</v>
      </c>
      <c r="B409" t="s">
        <v>1106</v>
      </c>
      <c r="C409" t="s">
        <v>199</v>
      </c>
      <c r="D409" t="s">
        <v>467</v>
      </c>
      <c r="E409" t="s">
        <v>456</v>
      </c>
      <c r="F409" s="4">
        <v>45876.44637273148</v>
      </c>
      <c r="G409" s="4">
        <v>45876.72652974537</v>
      </c>
      <c r="H409">
        <v>6.7</v>
      </c>
      <c r="I409" t="s">
        <v>9</v>
      </c>
      <c r="J409" t="s">
        <v>335</v>
      </c>
    </row>
    <row r="410" spans="1:10">
      <c r="A410" t="s">
        <v>1107</v>
      </c>
      <c r="B410" t="s">
        <v>1108</v>
      </c>
      <c r="C410" t="s">
        <v>43</v>
      </c>
      <c r="D410" t="s">
        <v>392</v>
      </c>
      <c r="E410" t="s">
        <v>393</v>
      </c>
      <c r="F410" s="4">
        <v>45963.600379525473</v>
      </c>
      <c r="G410" s="4">
        <v>45963.756940520827</v>
      </c>
      <c r="H410">
        <v>3.8</v>
      </c>
      <c r="I410" t="s">
        <v>9</v>
      </c>
      <c r="J410" t="s">
        <v>328</v>
      </c>
    </row>
    <row r="411" spans="1:10">
      <c r="A411" t="s">
        <v>1109</v>
      </c>
      <c r="B411" t="s">
        <v>1110</v>
      </c>
      <c r="C411" t="s">
        <v>69</v>
      </c>
      <c r="D411" t="s">
        <v>384</v>
      </c>
      <c r="E411" t="s">
        <v>396</v>
      </c>
      <c r="F411" s="4">
        <v>45870.464185219913</v>
      </c>
      <c r="G411" s="4">
        <v>45870.619066030093</v>
      </c>
      <c r="H411">
        <v>3.7</v>
      </c>
      <c r="I411" t="s">
        <v>9</v>
      </c>
      <c r="J411" t="s">
        <v>328</v>
      </c>
    </row>
    <row r="412" spans="1:10">
      <c r="A412" t="s">
        <v>1111</v>
      </c>
      <c r="B412" t="s">
        <v>1112</v>
      </c>
      <c r="C412" t="s">
        <v>34</v>
      </c>
      <c r="D412" t="s">
        <v>365</v>
      </c>
      <c r="E412" t="s">
        <v>393</v>
      </c>
      <c r="F412" s="4">
        <v>46115.672468831021</v>
      </c>
      <c r="G412" s="4">
        <v>46115.781158043981</v>
      </c>
      <c r="H412">
        <v>2.6</v>
      </c>
      <c r="I412" t="s">
        <v>12</v>
      </c>
      <c r="J412" t="s">
        <v>328</v>
      </c>
    </row>
    <row r="413" spans="1:10">
      <c r="A413" t="s">
        <v>1113</v>
      </c>
      <c r="B413" t="s">
        <v>1114</v>
      </c>
      <c r="C413" t="s">
        <v>110</v>
      </c>
      <c r="D413" t="s">
        <v>392</v>
      </c>
      <c r="E413" t="s">
        <v>400</v>
      </c>
      <c r="F413" s="4">
        <v>45916.513744652781</v>
      </c>
      <c r="G413" s="4">
        <v>45916.611876226852</v>
      </c>
      <c r="H413">
        <v>2.4</v>
      </c>
      <c r="I413" t="s">
        <v>9</v>
      </c>
      <c r="J413" t="s">
        <v>335</v>
      </c>
    </row>
    <row r="414" spans="1:10">
      <c r="A414" t="s">
        <v>1115</v>
      </c>
      <c r="B414" t="s">
        <v>1116</v>
      </c>
      <c r="C414" t="s">
        <v>215</v>
      </c>
      <c r="D414" t="s">
        <v>377</v>
      </c>
      <c r="E414" t="s">
        <v>378</v>
      </c>
      <c r="F414" s="4">
        <v>45919.681788182868</v>
      </c>
      <c r="G414" s="4">
        <v>45919.947220555558</v>
      </c>
      <c r="H414">
        <v>6.4</v>
      </c>
      <c r="I414" t="s">
        <v>12</v>
      </c>
      <c r="J414" t="s">
        <v>323</v>
      </c>
    </row>
    <row r="415" spans="1:10">
      <c r="A415" t="s">
        <v>1117</v>
      </c>
      <c r="B415" t="s">
        <v>716</v>
      </c>
      <c r="C415" t="s">
        <v>67</v>
      </c>
      <c r="D415" t="s">
        <v>392</v>
      </c>
      <c r="E415" t="s">
        <v>440</v>
      </c>
      <c r="F415" s="4">
        <v>46082.20669770833</v>
      </c>
      <c r="G415" s="4">
        <v>46082.286490104168</v>
      </c>
      <c r="H415">
        <v>1.9</v>
      </c>
      <c r="I415" t="s">
        <v>9</v>
      </c>
      <c r="J415" t="s">
        <v>335</v>
      </c>
    </row>
    <row r="416" spans="1:10">
      <c r="A416" t="s">
        <v>1118</v>
      </c>
      <c r="B416" t="s">
        <v>1119</v>
      </c>
      <c r="C416" t="s">
        <v>208</v>
      </c>
      <c r="D416" t="s">
        <v>381</v>
      </c>
      <c r="E416" t="s">
        <v>396</v>
      </c>
      <c r="F416" s="4">
        <v>45876.828212210647</v>
      </c>
      <c r="G416" s="4">
        <v>45876.92072811343</v>
      </c>
      <c r="H416">
        <v>2.2000000000000002</v>
      </c>
      <c r="I416" t="s">
        <v>12</v>
      </c>
      <c r="J416" t="s">
        <v>323</v>
      </c>
    </row>
    <row r="417" spans="1:10">
      <c r="A417" t="s">
        <v>1120</v>
      </c>
      <c r="B417" t="s">
        <v>846</v>
      </c>
      <c r="C417" t="s">
        <v>29</v>
      </c>
      <c r="D417" t="s">
        <v>399</v>
      </c>
      <c r="E417" t="s">
        <v>366</v>
      </c>
      <c r="F417" s="4">
        <v>45939.720379050923</v>
      </c>
      <c r="G417" s="4">
        <v>45939.801267812501</v>
      </c>
      <c r="H417">
        <v>1.9</v>
      </c>
      <c r="I417" t="s">
        <v>12</v>
      </c>
      <c r="J417" t="s">
        <v>328</v>
      </c>
    </row>
    <row r="418" spans="1:10">
      <c r="A418" t="s">
        <v>1121</v>
      </c>
      <c r="B418" t="s">
        <v>1122</v>
      </c>
      <c r="C418" t="s">
        <v>36</v>
      </c>
      <c r="D418" t="s">
        <v>392</v>
      </c>
      <c r="E418" t="s">
        <v>403</v>
      </c>
      <c r="F418" s="4">
        <v>45906.500879722233</v>
      </c>
      <c r="G418" s="4">
        <v>45906.550130381947</v>
      </c>
      <c r="H418">
        <v>1.2</v>
      </c>
      <c r="I418" t="s">
        <v>12</v>
      </c>
      <c r="J418" t="s">
        <v>335</v>
      </c>
    </row>
    <row r="419" spans="1:10">
      <c r="A419" t="s">
        <v>1123</v>
      </c>
      <c r="B419" t="s">
        <v>1124</v>
      </c>
      <c r="C419" t="s">
        <v>84</v>
      </c>
      <c r="D419" t="s">
        <v>373</v>
      </c>
      <c r="E419" t="s">
        <v>414</v>
      </c>
      <c r="F419" s="4">
        <v>45994.278010138893</v>
      </c>
      <c r="G419" s="4">
        <v>45994.517643113417</v>
      </c>
      <c r="H419">
        <v>5.8</v>
      </c>
      <c r="I419" t="s">
        <v>9</v>
      </c>
      <c r="J419" t="s">
        <v>335</v>
      </c>
    </row>
    <row r="420" spans="1:10">
      <c r="A420" t="s">
        <v>1125</v>
      </c>
      <c r="B420" t="s">
        <v>816</v>
      </c>
      <c r="C420" t="s">
        <v>159</v>
      </c>
      <c r="D420" t="s">
        <v>384</v>
      </c>
      <c r="E420" t="s">
        <v>396</v>
      </c>
      <c r="F420" s="4">
        <v>46110.154652256948</v>
      </c>
      <c r="G420" s="4">
        <v>46110.325234097218</v>
      </c>
      <c r="H420">
        <v>4.0999999999999996</v>
      </c>
      <c r="I420" t="s">
        <v>9</v>
      </c>
      <c r="J420" t="s">
        <v>335</v>
      </c>
    </row>
    <row r="421" spans="1:10">
      <c r="A421" t="s">
        <v>1126</v>
      </c>
      <c r="B421" t="s">
        <v>810</v>
      </c>
      <c r="C421" t="s">
        <v>151</v>
      </c>
      <c r="D421" t="s">
        <v>392</v>
      </c>
      <c r="E421" t="s">
        <v>374</v>
      </c>
      <c r="F421" s="4">
        <v>46027.923437488433</v>
      </c>
      <c r="G421" s="4">
        <v>46027.978662986112</v>
      </c>
      <c r="H421">
        <v>1.3</v>
      </c>
      <c r="I421" t="s">
        <v>9</v>
      </c>
      <c r="J421" t="s">
        <v>323</v>
      </c>
    </row>
    <row r="422" spans="1:10">
      <c r="A422" t="s">
        <v>1127</v>
      </c>
      <c r="B422" t="s">
        <v>473</v>
      </c>
      <c r="C422" t="s">
        <v>106</v>
      </c>
      <c r="D422" t="s">
        <v>392</v>
      </c>
      <c r="E422" t="s">
        <v>414</v>
      </c>
      <c r="F422" s="4">
        <v>45945.507421875001</v>
      </c>
      <c r="G422" s="4">
        <v>45945.605432916673</v>
      </c>
      <c r="H422">
        <v>2.4</v>
      </c>
      <c r="I422" t="s">
        <v>9</v>
      </c>
      <c r="J422" t="s">
        <v>335</v>
      </c>
    </row>
    <row r="423" spans="1:10">
      <c r="A423" t="s">
        <v>1128</v>
      </c>
      <c r="B423" t="s">
        <v>1129</v>
      </c>
      <c r="C423" t="s">
        <v>294</v>
      </c>
      <c r="D423" t="s">
        <v>417</v>
      </c>
      <c r="E423" t="s">
        <v>440</v>
      </c>
      <c r="F423" s="4">
        <v>46040.662140949084</v>
      </c>
      <c r="G423" s="4">
        <v>46040.699265115742</v>
      </c>
      <c r="H423">
        <v>0.9</v>
      </c>
      <c r="I423" t="s">
        <v>9</v>
      </c>
      <c r="J423" t="s">
        <v>328</v>
      </c>
    </row>
    <row r="424" spans="1:10">
      <c r="A424" t="s">
        <v>1130</v>
      </c>
      <c r="B424" t="s">
        <v>368</v>
      </c>
      <c r="C424" t="s">
        <v>43</v>
      </c>
      <c r="D424" t="s">
        <v>369</v>
      </c>
      <c r="E424" t="s">
        <v>370</v>
      </c>
      <c r="F424" s="4">
        <v>45905.592438298612</v>
      </c>
      <c r="G424" s="4">
        <v>45905.700821435188</v>
      </c>
      <c r="H424">
        <v>2.6</v>
      </c>
      <c r="I424" t="s">
        <v>9</v>
      </c>
      <c r="J424" t="s">
        <v>323</v>
      </c>
    </row>
    <row r="425" spans="1:10">
      <c r="A425" t="s">
        <v>1131</v>
      </c>
      <c r="B425" t="s">
        <v>1132</v>
      </c>
      <c r="C425" t="s">
        <v>151</v>
      </c>
      <c r="D425" t="s">
        <v>417</v>
      </c>
      <c r="E425" t="s">
        <v>387</v>
      </c>
      <c r="F425" s="4">
        <v>45960.041737835651</v>
      </c>
      <c r="G425" s="4">
        <v>45960.358923726853</v>
      </c>
      <c r="H425">
        <v>7.6</v>
      </c>
      <c r="I425" t="s">
        <v>9</v>
      </c>
      <c r="J425" t="s">
        <v>323</v>
      </c>
    </row>
    <row r="426" spans="1:10">
      <c r="A426" t="s">
        <v>1133</v>
      </c>
      <c r="B426" t="s">
        <v>975</v>
      </c>
      <c r="C426" t="s">
        <v>247</v>
      </c>
      <c r="D426" t="s">
        <v>392</v>
      </c>
      <c r="E426" t="s">
        <v>403</v>
      </c>
      <c r="F426" s="4">
        <v>46112.565063344897</v>
      </c>
      <c r="G426" s="4">
        <v>46112.794942777778</v>
      </c>
      <c r="H426">
        <v>5.5</v>
      </c>
      <c r="I426" t="s">
        <v>9</v>
      </c>
      <c r="J426" t="s">
        <v>328</v>
      </c>
    </row>
    <row r="427" spans="1:10">
      <c r="A427" t="s">
        <v>1134</v>
      </c>
      <c r="B427" t="s">
        <v>1135</v>
      </c>
      <c r="C427" t="s">
        <v>34</v>
      </c>
      <c r="D427" t="s">
        <v>399</v>
      </c>
      <c r="E427" t="s">
        <v>378</v>
      </c>
      <c r="F427" s="4">
        <v>46028.302761099527</v>
      </c>
      <c r="G427" s="4">
        <v>46028.555248217592</v>
      </c>
      <c r="H427">
        <v>6.1</v>
      </c>
      <c r="I427" t="s">
        <v>9</v>
      </c>
      <c r="J427" t="s">
        <v>323</v>
      </c>
    </row>
    <row r="428" spans="1:10">
      <c r="A428" t="s">
        <v>1136</v>
      </c>
      <c r="B428" t="s">
        <v>386</v>
      </c>
      <c r="C428" t="s">
        <v>87</v>
      </c>
      <c r="D428" t="s">
        <v>377</v>
      </c>
      <c r="E428" t="s">
        <v>387</v>
      </c>
      <c r="F428" s="4">
        <v>45908.410298831019</v>
      </c>
      <c r="G428" s="4">
        <v>45908.547254756937</v>
      </c>
      <c r="H428">
        <v>3.3</v>
      </c>
      <c r="I428" t="s">
        <v>9</v>
      </c>
      <c r="J428" t="s">
        <v>328</v>
      </c>
    </row>
    <row r="429" spans="1:10">
      <c r="A429" t="s">
        <v>1137</v>
      </c>
      <c r="B429" t="s">
        <v>612</v>
      </c>
      <c r="C429" t="s">
        <v>247</v>
      </c>
      <c r="D429" t="s">
        <v>365</v>
      </c>
      <c r="E429" t="s">
        <v>414</v>
      </c>
      <c r="F429" s="4">
        <v>45913.642866643517</v>
      </c>
      <c r="G429" s="4">
        <v>45913.690959722233</v>
      </c>
      <c r="H429">
        <v>1.2</v>
      </c>
      <c r="I429" t="s">
        <v>12</v>
      </c>
      <c r="J429" t="s">
        <v>335</v>
      </c>
    </row>
    <row r="430" spans="1:10">
      <c r="A430" t="s">
        <v>1138</v>
      </c>
      <c r="B430" t="s">
        <v>1119</v>
      </c>
      <c r="C430" t="s">
        <v>208</v>
      </c>
      <c r="D430" t="s">
        <v>381</v>
      </c>
      <c r="E430" t="s">
        <v>396</v>
      </c>
      <c r="F430" s="4">
        <v>45876.948034398149</v>
      </c>
      <c r="G430" s="4">
        <v>45877.00647847222</v>
      </c>
      <c r="H430">
        <v>1.4</v>
      </c>
      <c r="I430" t="s">
        <v>9</v>
      </c>
      <c r="J430" t="s">
        <v>323</v>
      </c>
    </row>
    <row r="431" spans="1:10">
      <c r="A431" t="s">
        <v>1139</v>
      </c>
      <c r="B431" t="s">
        <v>875</v>
      </c>
      <c r="C431" t="s">
        <v>196</v>
      </c>
      <c r="D431" t="s">
        <v>365</v>
      </c>
      <c r="E431" t="s">
        <v>440</v>
      </c>
      <c r="F431" s="4">
        <v>46055.779944560178</v>
      </c>
      <c r="G431" s="4">
        <v>46055.861067743062</v>
      </c>
      <c r="H431">
        <v>1.9</v>
      </c>
      <c r="I431" t="s">
        <v>9</v>
      </c>
      <c r="J431" t="s">
        <v>335</v>
      </c>
    </row>
    <row r="432" spans="1:10">
      <c r="A432" t="s">
        <v>1140</v>
      </c>
      <c r="B432" t="s">
        <v>1141</v>
      </c>
      <c r="C432" t="s">
        <v>67</v>
      </c>
      <c r="D432" t="s">
        <v>417</v>
      </c>
      <c r="E432" t="s">
        <v>378</v>
      </c>
      <c r="F432" s="4">
        <v>46074.871820451393</v>
      </c>
      <c r="G432" s="4">
        <v>46075.063459733799</v>
      </c>
      <c r="H432">
        <v>4.5999999999999996</v>
      </c>
      <c r="I432" t="s">
        <v>9</v>
      </c>
      <c r="J432" t="s">
        <v>323</v>
      </c>
    </row>
    <row r="433" spans="1:10">
      <c r="A433" t="s">
        <v>1142</v>
      </c>
      <c r="B433" t="s">
        <v>638</v>
      </c>
      <c r="C433" t="s">
        <v>159</v>
      </c>
      <c r="D433" t="s">
        <v>373</v>
      </c>
      <c r="E433" t="s">
        <v>440</v>
      </c>
      <c r="F433" s="4">
        <v>46042.738065787038</v>
      </c>
      <c r="G433" s="4">
        <v>46042.822023842593</v>
      </c>
      <c r="H433">
        <v>2</v>
      </c>
      <c r="I433" t="s">
        <v>9</v>
      </c>
      <c r="J433" t="s">
        <v>323</v>
      </c>
    </row>
    <row r="434" spans="1:10">
      <c r="A434" t="s">
        <v>1143</v>
      </c>
      <c r="B434" t="s">
        <v>1144</v>
      </c>
      <c r="C434" t="s">
        <v>103</v>
      </c>
      <c r="D434" t="s">
        <v>443</v>
      </c>
      <c r="E434" t="s">
        <v>396</v>
      </c>
      <c r="F434" s="4">
        <v>46004.183684629628</v>
      </c>
      <c r="G434" s="4">
        <v>46004.335209386583</v>
      </c>
      <c r="H434">
        <v>3.6</v>
      </c>
      <c r="I434" t="s">
        <v>9</v>
      </c>
      <c r="J434" t="s">
        <v>323</v>
      </c>
    </row>
    <row r="435" spans="1:10">
      <c r="A435" t="s">
        <v>1145</v>
      </c>
      <c r="B435" t="s">
        <v>1146</v>
      </c>
      <c r="C435" t="s">
        <v>235</v>
      </c>
      <c r="D435" t="s">
        <v>467</v>
      </c>
      <c r="E435" t="s">
        <v>400</v>
      </c>
      <c r="F435" s="4">
        <v>45886.941510370372</v>
      </c>
      <c r="G435" s="4">
        <v>45887.242004027779</v>
      </c>
      <c r="H435">
        <v>7.2</v>
      </c>
      <c r="I435" t="s">
        <v>9</v>
      </c>
      <c r="J435" t="s">
        <v>328</v>
      </c>
    </row>
    <row r="436" spans="1:10">
      <c r="A436" t="s">
        <v>1147</v>
      </c>
      <c r="B436" t="s">
        <v>1006</v>
      </c>
      <c r="C436" t="s">
        <v>38</v>
      </c>
      <c r="D436" t="s">
        <v>476</v>
      </c>
      <c r="E436" t="s">
        <v>440</v>
      </c>
      <c r="F436" s="4">
        <v>45869.970517222217</v>
      </c>
      <c r="G436" s="4">
        <v>45870.012509456021</v>
      </c>
      <c r="H436">
        <v>1</v>
      </c>
      <c r="I436" t="s">
        <v>9</v>
      </c>
      <c r="J436" t="s">
        <v>323</v>
      </c>
    </row>
    <row r="437" spans="1:10">
      <c r="A437" t="s">
        <v>1148</v>
      </c>
      <c r="B437" t="s">
        <v>800</v>
      </c>
      <c r="C437" t="s">
        <v>185</v>
      </c>
      <c r="D437" t="s">
        <v>417</v>
      </c>
      <c r="E437" t="s">
        <v>378</v>
      </c>
      <c r="F437" s="4">
        <v>45862.547085833343</v>
      </c>
      <c r="G437" s="4">
        <v>45862.620086400457</v>
      </c>
      <c r="H437">
        <v>1.8</v>
      </c>
      <c r="I437" t="s">
        <v>9</v>
      </c>
      <c r="J437" t="s">
        <v>335</v>
      </c>
    </row>
    <row r="438" spans="1:10">
      <c r="A438" t="s">
        <v>1149</v>
      </c>
      <c r="B438" t="s">
        <v>364</v>
      </c>
      <c r="C438" t="s">
        <v>61</v>
      </c>
      <c r="D438" t="s">
        <v>365</v>
      </c>
      <c r="E438" t="s">
        <v>366</v>
      </c>
      <c r="F438" s="4">
        <v>46126.682874131948</v>
      </c>
      <c r="G438" s="4">
        <v>46127.00239587963</v>
      </c>
      <c r="H438">
        <v>7.7</v>
      </c>
      <c r="I438" t="s">
        <v>12</v>
      </c>
      <c r="J438" t="s">
        <v>335</v>
      </c>
    </row>
    <row r="439" spans="1:10">
      <c r="A439" t="s">
        <v>1150</v>
      </c>
      <c r="B439" t="s">
        <v>1151</v>
      </c>
      <c r="C439" t="s">
        <v>53</v>
      </c>
      <c r="D439" t="s">
        <v>365</v>
      </c>
      <c r="E439" t="s">
        <v>400</v>
      </c>
      <c r="F439" s="4">
        <v>46036.663525752323</v>
      </c>
      <c r="G439" s="4">
        <v>46036.808575902767</v>
      </c>
      <c r="H439">
        <v>3.5</v>
      </c>
      <c r="I439" t="s">
        <v>9</v>
      </c>
      <c r="J439" t="s">
        <v>328</v>
      </c>
    </row>
    <row r="440" spans="1:10">
      <c r="A440" t="s">
        <v>1152</v>
      </c>
      <c r="B440" t="s">
        <v>1050</v>
      </c>
      <c r="C440" t="s">
        <v>159</v>
      </c>
      <c r="D440" t="s">
        <v>467</v>
      </c>
      <c r="E440" t="s">
        <v>440</v>
      </c>
      <c r="F440" s="4">
        <v>46011.382105590281</v>
      </c>
      <c r="G440" s="4">
        <v>46011.454663368058</v>
      </c>
      <c r="H440">
        <v>1.7</v>
      </c>
      <c r="I440" t="s">
        <v>9</v>
      </c>
      <c r="J440" t="s">
        <v>335</v>
      </c>
    </row>
    <row r="441" spans="1:10">
      <c r="A441" t="s">
        <v>1153</v>
      </c>
      <c r="B441" t="s">
        <v>1154</v>
      </c>
      <c r="C441" t="s">
        <v>168</v>
      </c>
      <c r="D441" t="s">
        <v>443</v>
      </c>
      <c r="E441" t="s">
        <v>440</v>
      </c>
      <c r="F441" s="4">
        <v>46129.252599872692</v>
      </c>
      <c r="G441" s="4">
        <v>46129.395385358803</v>
      </c>
      <c r="H441">
        <v>3.4</v>
      </c>
      <c r="I441" t="s">
        <v>9</v>
      </c>
      <c r="J441" t="s">
        <v>323</v>
      </c>
    </row>
    <row r="442" spans="1:10">
      <c r="A442" t="s">
        <v>1155</v>
      </c>
      <c r="B442" t="s">
        <v>1156</v>
      </c>
      <c r="C442" t="s">
        <v>235</v>
      </c>
      <c r="D442" t="s">
        <v>476</v>
      </c>
      <c r="E442" t="s">
        <v>456</v>
      </c>
      <c r="F442" s="4">
        <v>46044.541965289347</v>
      </c>
      <c r="G442" s="4">
        <v>46044.61279958333</v>
      </c>
      <c r="H442">
        <v>1.7</v>
      </c>
      <c r="I442" t="s">
        <v>12</v>
      </c>
      <c r="J442" t="s">
        <v>323</v>
      </c>
    </row>
    <row r="443" spans="1:10">
      <c r="A443" t="s">
        <v>1157</v>
      </c>
      <c r="B443" t="s">
        <v>492</v>
      </c>
      <c r="C443" t="s">
        <v>185</v>
      </c>
      <c r="D443" t="s">
        <v>369</v>
      </c>
      <c r="E443" t="s">
        <v>440</v>
      </c>
      <c r="F443" s="4">
        <v>46124.553575115737</v>
      </c>
      <c r="G443" s="4">
        <v>46124.821485601853</v>
      </c>
      <c r="H443">
        <v>6.4</v>
      </c>
      <c r="I443" t="s">
        <v>9</v>
      </c>
      <c r="J443" t="s">
        <v>335</v>
      </c>
    </row>
    <row r="444" spans="1:10">
      <c r="A444" t="s">
        <v>1158</v>
      </c>
      <c r="B444" t="s">
        <v>1159</v>
      </c>
      <c r="C444" t="s">
        <v>186</v>
      </c>
      <c r="D444" t="s">
        <v>443</v>
      </c>
      <c r="E444" t="s">
        <v>456</v>
      </c>
      <c r="F444" s="4">
        <v>45891.087854039353</v>
      </c>
      <c r="G444" s="4">
        <v>45891.375085833337</v>
      </c>
      <c r="H444">
        <v>6.9</v>
      </c>
      <c r="I444" t="s">
        <v>9</v>
      </c>
      <c r="J444" t="s">
        <v>328</v>
      </c>
    </row>
    <row r="445" spans="1:10">
      <c r="A445" t="s">
        <v>1160</v>
      </c>
      <c r="B445" t="s">
        <v>1161</v>
      </c>
      <c r="C445" t="s">
        <v>89</v>
      </c>
      <c r="D445" t="s">
        <v>399</v>
      </c>
      <c r="E445" t="s">
        <v>387</v>
      </c>
      <c r="F445" s="4">
        <v>45939.885999942133</v>
      </c>
      <c r="G445" s="4">
        <v>45939.960304872693</v>
      </c>
      <c r="H445">
        <v>1.8</v>
      </c>
      <c r="I445" t="s">
        <v>12</v>
      </c>
      <c r="J445" t="s">
        <v>328</v>
      </c>
    </row>
    <row r="446" spans="1:10">
      <c r="A446" t="s">
        <v>1162</v>
      </c>
      <c r="B446" t="s">
        <v>1163</v>
      </c>
      <c r="C446" t="s">
        <v>108</v>
      </c>
      <c r="D446" t="s">
        <v>443</v>
      </c>
      <c r="E446" t="s">
        <v>396</v>
      </c>
      <c r="F446" s="4">
        <v>45854.958759374997</v>
      </c>
      <c r="G446" s="4">
        <v>45855.1794725</v>
      </c>
      <c r="H446">
        <v>5.3</v>
      </c>
      <c r="I446" t="s">
        <v>9</v>
      </c>
      <c r="J446" t="s">
        <v>328</v>
      </c>
    </row>
    <row r="447" spans="1:10">
      <c r="A447" t="s">
        <v>1164</v>
      </c>
      <c r="B447" t="s">
        <v>513</v>
      </c>
      <c r="C447" t="s">
        <v>18</v>
      </c>
      <c r="D447" t="s">
        <v>377</v>
      </c>
      <c r="E447" t="s">
        <v>374</v>
      </c>
      <c r="F447" s="4">
        <v>45845.360856041669</v>
      </c>
      <c r="G447" s="4">
        <v>45845.466200266201</v>
      </c>
      <c r="H447">
        <v>2.5</v>
      </c>
      <c r="I447" t="s">
        <v>9</v>
      </c>
      <c r="J447" t="s">
        <v>323</v>
      </c>
    </row>
    <row r="448" spans="1:10">
      <c r="A448" t="s">
        <v>1165</v>
      </c>
      <c r="B448" t="s">
        <v>806</v>
      </c>
      <c r="C448" t="s">
        <v>283</v>
      </c>
      <c r="D448" t="s">
        <v>369</v>
      </c>
      <c r="E448" t="s">
        <v>400</v>
      </c>
      <c r="F448" s="4">
        <v>45962.733196435183</v>
      </c>
      <c r="G448" s="4">
        <v>45963.063259849543</v>
      </c>
      <c r="H448">
        <v>7.9</v>
      </c>
      <c r="I448" t="s">
        <v>12</v>
      </c>
      <c r="J448" t="s">
        <v>335</v>
      </c>
    </row>
    <row r="449" spans="1:10">
      <c r="A449" t="s">
        <v>1166</v>
      </c>
      <c r="B449" t="s">
        <v>941</v>
      </c>
      <c r="C449" t="s">
        <v>227</v>
      </c>
      <c r="D449" t="s">
        <v>399</v>
      </c>
      <c r="E449" t="s">
        <v>414</v>
      </c>
      <c r="F449" s="4">
        <v>46109.921158206023</v>
      </c>
      <c r="G449" s="4">
        <v>46110.050573379631</v>
      </c>
      <c r="H449">
        <v>3.1</v>
      </c>
      <c r="I449" t="s">
        <v>9</v>
      </c>
      <c r="J449" t="s">
        <v>323</v>
      </c>
    </row>
    <row r="450" spans="1:10">
      <c r="A450" t="s">
        <v>1167</v>
      </c>
      <c r="B450" t="s">
        <v>579</v>
      </c>
      <c r="C450" t="s">
        <v>76</v>
      </c>
      <c r="D450" t="s">
        <v>373</v>
      </c>
      <c r="E450" t="s">
        <v>396</v>
      </c>
      <c r="F450" s="4">
        <v>46041.126535439813</v>
      </c>
      <c r="G450" s="4">
        <v>46041.44312747685</v>
      </c>
      <c r="H450">
        <v>7.6</v>
      </c>
      <c r="I450" t="s">
        <v>9</v>
      </c>
      <c r="J450" t="s">
        <v>323</v>
      </c>
    </row>
    <row r="451" spans="1:10">
      <c r="A451" t="s">
        <v>1168</v>
      </c>
      <c r="B451" t="s">
        <v>1169</v>
      </c>
      <c r="C451" t="s">
        <v>159</v>
      </c>
      <c r="D451" t="s">
        <v>381</v>
      </c>
      <c r="E451" t="s">
        <v>440</v>
      </c>
      <c r="F451" s="4">
        <v>46132.215781446757</v>
      </c>
      <c r="G451" s="4">
        <v>46132.364221932869</v>
      </c>
      <c r="H451">
        <v>3.6</v>
      </c>
      <c r="I451" t="s">
        <v>9</v>
      </c>
      <c r="J451" t="s">
        <v>323</v>
      </c>
    </row>
    <row r="452" spans="1:10">
      <c r="A452" t="s">
        <v>1170</v>
      </c>
      <c r="B452" t="s">
        <v>1101</v>
      </c>
      <c r="C452" t="s">
        <v>245</v>
      </c>
      <c r="D452" t="s">
        <v>467</v>
      </c>
      <c r="E452" t="s">
        <v>414</v>
      </c>
      <c r="F452" s="4">
        <v>45936.587833136567</v>
      </c>
      <c r="G452" s="4">
        <v>45936.804277499999</v>
      </c>
      <c r="H452">
        <v>5.2</v>
      </c>
      <c r="I452" t="s">
        <v>12</v>
      </c>
      <c r="J452" t="s">
        <v>335</v>
      </c>
    </row>
    <row r="453" spans="1:10">
      <c r="A453" t="s">
        <v>1171</v>
      </c>
      <c r="B453" t="s">
        <v>1172</v>
      </c>
      <c r="C453" t="s">
        <v>87</v>
      </c>
      <c r="D453" t="s">
        <v>365</v>
      </c>
      <c r="E453" t="s">
        <v>366</v>
      </c>
      <c r="F453" s="4">
        <v>46105.121464270836</v>
      </c>
      <c r="G453" s="4">
        <v>46105.443931192131</v>
      </c>
      <c r="H453">
        <v>7.7</v>
      </c>
      <c r="I453" t="s">
        <v>12</v>
      </c>
      <c r="J453" t="s">
        <v>323</v>
      </c>
    </row>
    <row r="454" spans="1:10">
      <c r="A454" t="s">
        <v>1173</v>
      </c>
      <c r="B454" t="s">
        <v>1174</v>
      </c>
      <c r="C454" t="s">
        <v>127</v>
      </c>
      <c r="D454" t="s">
        <v>417</v>
      </c>
      <c r="E454" t="s">
        <v>366</v>
      </c>
      <c r="F454" s="4">
        <v>45906.067488738423</v>
      </c>
      <c r="G454" s="4">
        <v>45906.394185324083</v>
      </c>
      <c r="H454">
        <v>7.8</v>
      </c>
      <c r="I454" t="s">
        <v>9</v>
      </c>
      <c r="J454" t="s">
        <v>328</v>
      </c>
    </row>
    <row r="455" spans="1:10">
      <c r="A455" t="s">
        <v>1175</v>
      </c>
      <c r="B455" t="s">
        <v>640</v>
      </c>
      <c r="C455" t="s">
        <v>162</v>
      </c>
      <c r="D455" t="s">
        <v>381</v>
      </c>
      <c r="E455" t="s">
        <v>378</v>
      </c>
      <c r="F455" s="4">
        <v>46006.903968657411</v>
      </c>
      <c r="G455" s="4">
        <v>46007.157855046287</v>
      </c>
      <c r="H455">
        <v>6.1</v>
      </c>
      <c r="I455" t="s">
        <v>9</v>
      </c>
      <c r="J455" t="s">
        <v>335</v>
      </c>
    </row>
    <row r="456" spans="1:10">
      <c r="A456" t="s">
        <v>1176</v>
      </c>
      <c r="B456" t="s">
        <v>936</v>
      </c>
      <c r="C456" t="s">
        <v>202</v>
      </c>
      <c r="D456" t="s">
        <v>373</v>
      </c>
      <c r="E456" t="s">
        <v>366</v>
      </c>
      <c r="F456" s="4">
        <v>45914.746908680558</v>
      </c>
      <c r="G456" s="4">
        <v>45914.963438773149</v>
      </c>
      <c r="H456">
        <v>5.2</v>
      </c>
      <c r="I456" t="s">
        <v>9</v>
      </c>
      <c r="J456" t="s">
        <v>328</v>
      </c>
    </row>
    <row r="457" spans="1:10">
      <c r="A457" t="s">
        <v>1177</v>
      </c>
      <c r="B457" t="s">
        <v>1156</v>
      </c>
      <c r="C457" t="s">
        <v>235</v>
      </c>
      <c r="D457" t="s">
        <v>476</v>
      </c>
      <c r="E457" t="s">
        <v>456</v>
      </c>
      <c r="F457" s="4">
        <v>46046.118643842587</v>
      </c>
      <c r="G457" s="4">
        <v>46046.208426874997</v>
      </c>
      <c r="H457">
        <v>2.2000000000000002</v>
      </c>
      <c r="I457" t="s">
        <v>9</v>
      </c>
      <c r="J457" t="s">
        <v>323</v>
      </c>
    </row>
    <row r="458" spans="1:10">
      <c r="A458" t="s">
        <v>1178</v>
      </c>
      <c r="B458" t="s">
        <v>1179</v>
      </c>
      <c r="C458" t="s">
        <v>45</v>
      </c>
      <c r="D458" t="s">
        <v>417</v>
      </c>
      <c r="E458" t="s">
        <v>366</v>
      </c>
      <c r="F458" s="4">
        <v>45934.32597327546</v>
      </c>
      <c r="G458" s="4">
        <v>45934.615000775462</v>
      </c>
      <c r="H458">
        <v>6.9</v>
      </c>
      <c r="I458" t="s">
        <v>9</v>
      </c>
      <c r="J458" t="s">
        <v>323</v>
      </c>
    </row>
    <row r="459" spans="1:10">
      <c r="A459" t="s">
        <v>1180</v>
      </c>
      <c r="B459" t="s">
        <v>922</v>
      </c>
      <c r="C459" t="s">
        <v>25</v>
      </c>
      <c r="D459" t="s">
        <v>399</v>
      </c>
      <c r="E459" t="s">
        <v>403</v>
      </c>
      <c r="F459" s="4">
        <v>46139.468940150473</v>
      </c>
      <c r="G459" s="4">
        <v>46139.716737893519</v>
      </c>
      <c r="H459">
        <v>5.9</v>
      </c>
      <c r="I459" t="s">
        <v>9</v>
      </c>
      <c r="J459" t="s">
        <v>335</v>
      </c>
    </row>
    <row r="460" spans="1:10">
      <c r="A460" t="s">
        <v>1181</v>
      </c>
      <c r="B460" t="s">
        <v>1098</v>
      </c>
      <c r="C460" t="s">
        <v>162</v>
      </c>
      <c r="D460" t="s">
        <v>392</v>
      </c>
      <c r="E460" t="s">
        <v>414</v>
      </c>
      <c r="F460" s="4">
        <v>45993.931630358798</v>
      </c>
      <c r="G460" s="4">
        <v>45994.009186678239</v>
      </c>
      <c r="H460">
        <v>1.9</v>
      </c>
      <c r="I460" t="s">
        <v>12</v>
      </c>
      <c r="J460" t="s">
        <v>328</v>
      </c>
    </row>
    <row r="461" spans="1:10">
      <c r="A461" t="s">
        <v>1182</v>
      </c>
      <c r="B461" t="s">
        <v>1183</v>
      </c>
      <c r="C461" t="s">
        <v>260</v>
      </c>
      <c r="D461" t="s">
        <v>365</v>
      </c>
      <c r="E461" t="s">
        <v>414</v>
      </c>
      <c r="F461" s="4">
        <v>45897.334678831023</v>
      </c>
      <c r="G461" s="4">
        <v>45897.508799166673</v>
      </c>
      <c r="H461">
        <v>4.2</v>
      </c>
      <c r="I461" t="s">
        <v>9</v>
      </c>
      <c r="J461" t="s">
        <v>328</v>
      </c>
    </row>
    <row r="462" spans="1:10">
      <c r="A462" t="s">
        <v>1184</v>
      </c>
      <c r="B462" t="s">
        <v>1185</v>
      </c>
      <c r="C462" t="s">
        <v>188</v>
      </c>
      <c r="D462" t="s">
        <v>373</v>
      </c>
      <c r="E462" t="s">
        <v>393</v>
      </c>
      <c r="F462" s="4">
        <v>46101.596982222232</v>
      </c>
      <c r="G462" s="4">
        <v>46101.714740625001</v>
      </c>
      <c r="H462">
        <v>2.8</v>
      </c>
      <c r="I462" t="s">
        <v>9</v>
      </c>
      <c r="J462" t="s">
        <v>335</v>
      </c>
    </row>
    <row r="463" spans="1:10">
      <c r="A463" t="s">
        <v>1186</v>
      </c>
      <c r="B463" t="s">
        <v>1187</v>
      </c>
      <c r="C463" t="s">
        <v>228</v>
      </c>
      <c r="D463" t="s">
        <v>373</v>
      </c>
      <c r="E463" t="s">
        <v>396</v>
      </c>
      <c r="F463" s="4">
        <v>45890.315892962957</v>
      </c>
      <c r="G463" s="4">
        <v>45890.395428807868</v>
      </c>
      <c r="H463">
        <v>1.9</v>
      </c>
      <c r="I463" t="s">
        <v>12</v>
      </c>
      <c r="J463" t="s">
        <v>328</v>
      </c>
    </row>
    <row r="464" spans="1:10">
      <c r="A464" t="s">
        <v>1188</v>
      </c>
      <c r="B464" t="s">
        <v>1189</v>
      </c>
      <c r="C464" t="s">
        <v>76</v>
      </c>
      <c r="D464" t="s">
        <v>476</v>
      </c>
      <c r="E464" t="s">
        <v>387</v>
      </c>
      <c r="F464" s="4">
        <v>46119.749670694437</v>
      </c>
      <c r="G464" s="4">
        <v>46120.05460747685</v>
      </c>
      <c r="H464">
        <v>7.3</v>
      </c>
      <c r="I464" t="s">
        <v>9</v>
      </c>
      <c r="J464" t="s">
        <v>335</v>
      </c>
    </row>
    <row r="465" spans="1:10">
      <c r="A465" t="s">
        <v>1190</v>
      </c>
      <c r="B465" t="s">
        <v>899</v>
      </c>
      <c r="C465" t="s">
        <v>183</v>
      </c>
      <c r="D465" t="s">
        <v>381</v>
      </c>
      <c r="E465" t="s">
        <v>393</v>
      </c>
      <c r="F465" s="4">
        <v>46087.520555057868</v>
      </c>
      <c r="G465" s="4">
        <v>46087.584291921303</v>
      </c>
      <c r="H465">
        <v>1.5</v>
      </c>
      <c r="I465" t="s">
        <v>9</v>
      </c>
      <c r="J465" t="s">
        <v>335</v>
      </c>
    </row>
    <row r="466" spans="1:10">
      <c r="A466" t="s">
        <v>1191</v>
      </c>
      <c r="B466" t="s">
        <v>669</v>
      </c>
      <c r="C466" t="s">
        <v>57</v>
      </c>
      <c r="D466" t="s">
        <v>467</v>
      </c>
      <c r="E466" t="s">
        <v>378</v>
      </c>
      <c r="F466" s="4">
        <v>45898.421619305547</v>
      </c>
      <c r="G466" s="4">
        <v>45898.560538622682</v>
      </c>
      <c r="H466">
        <v>3.3</v>
      </c>
      <c r="I466" t="s">
        <v>12</v>
      </c>
      <c r="J466" t="s">
        <v>323</v>
      </c>
    </row>
    <row r="467" spans="1:10">
      <c r="A467" t="s">
        <v>1192</v>
      </c>
      <c r="B467" t="s">
        <v>1193</v>
      </c>
      <c r="C467" t="s">
        <v>232</v>
      </c>
      <c r="D467" t="s">
        <v>476</v>
      </c>
      <c r="E467" t="s">
        <v>393</v>
      </c>
      <c r="F467" s="4">
        <v>45921.207364756941</v>
      </c>
      <c r="G467" s="4">
        <v>45921.429598750001</v>
      </c>
      <c r="H467">
        <v>5.3</v>
      </c>
      <c r="I467" t="s">
        <v>12</v>
      </c>
      <c r="J467" t="s">
        <v>328</v>
      </c>
    </row>
    <row r="468" spans="1:10">
      <c r="A468" t="s">
        <v>1194</v>
      </c>
      <c r="B468" t="s">
        <v>903</v>
      </c>
      <c r="C468" t="s">
        <v>127</v>
      </c>
      <c r="D468" t="s">
        <v>369</v>
      </c>
      <c r="E468" t="s">
        <v>456</v>
      </c>
      <c r="F468" s="4">
        <v>45918.458919513891</v>
      </c>
      <c r="G468" s="4">
        <v>45918.563395497687</v>
      </c>
      <c r="H468">
        <v>2.5</v>
      </c>
      <c r="I468" t="s">
        <v>9</v>
      </c>
      <c r="J468" t="s">
        <v>323</v>
      </c>
    </row>
    <row r="469" spans="1:10">
      <c r="A469" t="s">
        <v>1195</v>
      </c>
      <c r="B469" t="s">
        <v>1196</v>
      </c>
      <c r="C469" t="s">
        <v>27</v>
      </c>
      <c r="D469" t="s">
        <v>392</v>
      </c>
      <c r="E469" t="s">
        <v>366</v>
      </c>
      <c r="F469" s="4">
        <v>46093.690398715276</v>
      </c>
      <c r="G469" s="4">
        <v>46094.013219791668</v>
      </c>
      <c r="H469">
        <v>7.7</v>
      </c>
      <c r="I469" t="s">
        <v>9</v>
      </c>
      <c r="J469" t="s">
        <v>335</v>
      </c>
    </row>
    <row r="470" spans="1:10">
      <c r="A470" t="s">
        <v>1197</v>
      </c>
      <c r="B470" t="s">
        <v>1198</v>
      </c>
      <c r="C470" t="s">
        <v>56</v>
      </c>
      <c r="D470" t="s">
        <v>365</v>
      </c>
      <c r="E470" t="s">
        <v>378</v>
      </c>
      <c r="F470" s="4">
        <v>45941.614546817131</v>
      </c>
      <c r="G470" s="4">
        <v>45941.891084953713</v>
      </c>
      <c r="H470">
        <v>6.6</v>
      </c>
      <c r="I470" t="s">
        <v>9</v>
      </c>
      <c r="J470" t="s">
        <v>323</v>
      </c>
    </row>
    <row r="471" spans="1:10">
      <c r="A471" t="s">
        <v>1199</v>
      </c>
      <c r="B471" t="s">
        <v>1200</v>
      </c>
      <c r="C471" t="s">
        <v>192</v>
      </c>
      <c r="D471" t="s">
        <v>417</v>
      </c>
      <c r="E471" t="s">
        <v>403</v>
      </c>
      <c r="F471" s="4">
        <v>46000.475580196762</v>
      </c>
      <c r="G471" s="4">
        <v>46000.646546481483</v>
      </c>
      <c r="H471">
        <v>4.0999999999999996</v>
      </c>
      <c r="I471" t="s">
        <v>9</v>
      </c>
      <c r="J471" t="s">
        <v>335</v>
      </c>
    </row>
    <row r="472" spans="1:10">
      <c r="A472" t="s">
        <v>1201</v>
      </c>
      <c r="B472" t="s">
        <v>808</v>
      </c>
      <c r="C472" t="s">
        <v>96</v>
      </c>
      <c r="D472" t="s">
        <v>392</v>
      </c>
      <c r="E472" t="s">
        <v>440</v>
      </c>
      <c r="F472" s="4">
        <v>45937.207453773153</v>
      </c>
      <c r="G472" s="4">
        <v>45937.324344907407</v>
      </c>
      <c r="H472">
        <v>2.8</v>
      </c>
      <c r="I472" t="s">
        <v>9</v>
      </c>
      <c r="J472" t="s">
        <v>328</v>
      </c>
    </row>
    <row r="473" spans="1:10">
      <c r="A473" t="s">
        <v>1202</v>
      </c>
      <c r="B473" t="s">
        <v>924</v>
      </c>
      <c r="C473" t="s">
        <v>180</v>
      </c>
      <c r="D473" t="s">
        <v>373</v>
      </c>
      <c r="E473" t="s">
        <v>366</v>
      </c>
      <c r="F473" s="4">
        <v>46106.709293182867</v>
      </c>
      <c r="G473" s="4">
        <v>46106.946389386583</v>
      </c>
      <c r="H473">
        <v>5.7</v>
      </c>
      <c r="I473" t="s">
        <v>9</v>
      </c>
      <c r="J473" t="s">
        <v>335</v>
      </c>
    </row>
    <row r="474" spans="1:10">
      <c r="A474" t="s">
        <v>1203</v>
      </c>
      <c r="B474" t="s">
        <v>959</v>
      </c>
      <c r="C474" t="s">
        <v>56</v>
      </c>
      <c r="D474" t="s">
        <v>381</v>
      </c>
      <c r="E474" t="s">
        <v>366</v>
      </c>
      <c r="F474" s="4">
        <v>45855.938623703703</v>
      </c>
      <c r="G474" s="4">
        <v>45855.973371365741</v>
      </c>
      <c r="H474">
        <v>0.8</v>
      </c>
      <c r="I474" t="s">
        <v>9</v>
      </c>
      <c r="J474" t="s">
        <v>328</v>
      </c>
    </row>
    <row r="475" spans="1:10">
      <c r="A475" t="s">
        <v>1204</v>
      </c>
      <c r="B475" t="s">
        <v>1205</v>
      </c>
      <c r="C475" t="s">
        <v>105</v>
      </c>
      <c r="D475" t="s">
        <v>417</v>
      </c>
      <c r="E475" t="s">
        <v>414</v>
      </c>
      <c r="F475" s="4">
        <v>45972.320315011573</v>
      </c>
      <c r="G475" s="4">
        <v>45972.602549398151</v>
      </c>
      <c r="H475">
        <v>6.8</v>
      </c>
      <c r="I475" t="s">
        <v>12</v>
      </c>
      <c r="J475" t="s">
        <v>323</v>
      </c>
    </row>
    <row r="476" spans="1:10">
      <c r="A476" t="s">
        <v>1206</v>
      </c>
      <c r="B476" t="s">
        <v>1207</v>
      </c>
      <c r="C476" t="s">
        <v>155</v>
      </c>
      <c r="D476" t="s">
        <v>467</v>
      </c>
      <c r="E476" t="s">
        <v>456</v>
      </c>
      <c r="F476" s="4">
        <v>46080.80097152778</v>
      </c>
      <c r="G476" s="4">
        <v>46080.955284687501</v>
      </c>
      <c r="H476">
        <v>3.7</v>
      </c>
      <c r="I476" t="s">
        <v>12</v>
      </c>
      <c r="J476" t="s">
        <v>328</v>
      </c>
    </row>
    <row r="477" spans="1:10">
      <c r="A477" t="s">
        <v>1208</v>
      </c>
      <c r="B477" t="s">
        <v>1209</v>
      </c>
      <c r="C477" t="s">
        <v>116</v>
      </c>
      <c r="D477" t="s">
        <v>365</v>
      </c>
      <c r="E477" t="s">
        <v>456</v>
      </c>
      <c r="F477" s="4">
        <v>45942.746704872683</v>
      </c>
      <c r="G477" s="4">
        <v>45943.055566620373</v>
      </c>
      <c r="H477">
        <v>7.4</v>
      </c>
      <c r="I477" t="s">
        <v>9</v>
      </c>
      <c r="J477" t="s">
        <v>323</v>
      </c>
    </row>
    <row r="478" spans="1:10">
      <c r="A478" t="s">
        <v>1210</v>
      </c>
      <c r="B478" t="s">
        <v>1211</v>
      </c>
      <c r="C478" t="s">
        <v>97</v>
      </c>
      <c r="D478" t="s">
        <v>467</v>
      </c>
      <c r="E478" t="s">
        <v>370</v>
      </c>
      <c r="F478" s="4">
        <v>45959.320364988424</v>
      </c>
      <c r="G478" s="4">
        <v>45959.650813333326</v>
      </c>
      <c r="H478">
        <v>7.9</v>
      </c>
      <c r="I478" t="s">
        <v>9</v>
      </c>
      <c r="J478" t="s">
        <v>335</v>
      </c>
    </row>
    <row r="479" spans="1:10">
      <c r="A479" t="s">
        <v>1212</v>
      </c>
      <c r="B479" t="s">
        <v>475</v>
      </c>
      <c r="C479" t="s">
        <v>40</v>
      </c>
      <c r="D479" t="s">
        <v>476</v>
      </c>
      <c r="E479" t="s">
        <v>387</v>
      </c>
      <c r="F479" s="4">
        <v>45892.289594097223</v>
      </c>
      <c r="G479" s="4">
        <v>45892.502832673606</v>
      </c>
      <c r="H479">
        <v>5.0999999999999996</v>
      </c>
      <c r="I479" t="s">
        <v>12</v>
      </c>
      <c r="J479" t="s">
        <v>328</v>
      </c>
    </row>
    <row r="480" spans="1:10">
      <c r="A480" t="s">
        <v>1213</v>
      </c>
      <c r="B480" t="s">
        <v>1214</v>
      </c>
      <c r="C480" t="s">
        <v>196</v>
      </c>
      <c r="D480" t="s">
        <v>365</v>
      </c>
      <c r="E480" t="s">
        <v>440</v>
      </c>
      <c r="F480" s="4">
        <v>46046.774282303239</v>
      </c>
      <c r="G480" s="4">
        <v>46046.984023877318</v>
      </c>
      <c r="H480">
        <v>5</v>
      </c>
      <c r="I480" t="s">
        <v>12</v>
      </c>
      <c r="J480" t="s">
        <v>335</v>
      </c>
    </row>
    <row r="481" spans="1:10">
      <c r="A481" t="s">
        <v>1215</v>
      </c>
      <c r="B481" t="s">
        <v>1216</v>
      </c>
      <c r="C481" t="s">
        <v>192</v>
      </c>
      <c r="D481" t="s">
        <v>369</v>
      </c>
      <c r="E481" t="s">
        <v>387</v>
      </c>
      <c r="F481" s="4">
        <v>46072.778670243053</v>
      </c>
      <c r="G481" s="4">
        <v>46072.856180289353</v>
      </c>
      <c r="H481">
        <v>1.9</v>
      </c>
      <c r="I481" t="s">
        <v>9</v>
      </c>
      <c r="J481" t="s">
        <v>335</v>
      </c>
    </row>
    <row r="482" spans="1:10">
      <c r="A482" t="s">
        <v>1217</v>
      </c>
      <c r="B482" t="s">
        <v>1218</v>
      </c>
      <c r="C482" t="s">
        <v>285</v>
      </c>
      <c r="D482" t="s">
        <v>381</v>
      </c>
      <c r="E482" t="s">
        <v>396</v>
      </c>
      <c r="F482" s="4">
        <v>46066.121910636582</v>
      </c>
      <c r="G482" s="4">
        <v>46066.337980925928</v>
      </c>
      <c r="H482">
        <v>5.2</v>
      </c>
      <c r="I482" t="s">
        <v>9</v>
      </c>
      <c r="J482" t="s">
        <v>328</v>
      </c>
    </row>
    <row r="483" spans="1:10">
      <c r="A483" t="s">
        <v>1219</v>
      </c>
      <c r="B483" t="s">
        <v>1220</v>
      </c>
      <c r="C483" t="s">
        <v>131</v>
      </c>
      <c r="D483" t="s">
        <v>384</v>
      </c>
      <c r="E483" t="s">
        <v>366</v>
      </c>
      <c r="F483" s="4">
        <v>46140.668594606483</v>
      </c>
      <c r="G483" s="4">
        <v>46140.84544380787</v>
      </c>
      <c r="H483">
        <v>4.2</v>
      </c>
      <c r="I483" t="s">
        <v>9</v>
      </c>
      <c r="J483" t="s">
        <v>328</v>
      </c>
    </row>
    <row r="484" spans="1:10">
      <c r="A484" t="s">
        <v>1221</v>
      </c>
      <c r="B484" t="s">
        <v>1222</v>
      </c>
      <c r="C484" t="s">
        <v>151</v>
      </c>
      <c r="D484" t="s">
        <v>476</v>
      </c>
      <c r="E484" t="s">
        <v>393</v>
      </c>
      <c r="F484" s="4">
        <v>45927.40196761574</v>
      </c>
      <c r="G484" s="4">
        <v>45927.645084282412</v>
      </c>
      <c r="H484">
        <v>5.8</v>
      </c>
      <c r="I484" t="s">
        <v>12</v>
      </c>
      <c r="J484" t="s">
        <v>323</v>
      </c>
    </row>
    <row r="485" spans="1:10">
      <c r="A485" t="s">
        <v>1223</v>
      </c>
      <c r="B485" t="s">
        <v>1224</v>
      </c>
      <c r="C485" t="s">
        <v>185</v>
      </c>
      <c r="D485" t="s">
        <v>476</v>
      </c>
      <c r="E485" t="s">
        <v>440</v>
      </c>
      <c r="F485" s="4">
        <v>46070.104407847219</v>
      </c>
      <c r="G485" s="4">
        <v>46070.43088162037</v>
      </c>
      <c r="H485">
        <v>7.8</v>
      </c>
      <c r="I485" t="s">
        <v>9</v>
      </c>
      <c r="J485" t="s">
        <v>335</v>
      </c>
    </row>
    <row r="486" spans="1:10">
      <c r="A486" t="s">
        <v>1225</v>
      </c>
      <c r="B486" t="s">
        <v>1226</v>
      </c>
      <c r="C486" t="s">
        <v>155</v>
      </c>
      <c r="D486" t="s">
        <v>476</v>
      </c>
      <c r="E486" t="s">
        <v>400</v>
      </c>
      <c r="F486" s="4">
        <v>45912.664730682867</v>
      </c>
      <c r="G486" s="4">
        <v>45912.807626377318</v>
      </c>
      <c r="H486">
        <v>3.4</v>
      </c>
      <c r="I486" t="s">
        <v>9</v>
      </c>
      <c r="J486" t="s">
        <v>328</v>
      </c>
    </row>
    <row r="487" spans="1:10">
      <c r="A487" t="s">
        <v>1227</v>
      </c>
      <c r="B487" t="s">
        <v>1228</v>
      </c>
      <c r="C487" t="s">
        <v>69</v>
      </c>
      <c r="D487" t="s">
        <v>384</v>
      </c>
      <c r="E487" t="s">
        <v>456</v>
      </c>
      <c r="F487" s="4">
        <v>46018.344949618047</v>
      </c>
      <c r="G487" s="4">
        <v>46018.40114671296</v>
      </c>
      <c r="H487">
        <v>1.3</v>
      </c>
      <c r="I487" t="s">
        <v>9</v>
      </c>
      <c r="J487" t="s">
        <v>335</v>
      </c>
    </row>
    <row r="488" spans="1:10">
      <c r="A488" t="s">
        <v>1229</v>
      </c>
      <c r="B488" t="s">
        <v>1230</v>
      </c>
      <c r="C488" t="s">
        <v>16</v>
      </c>
      <c r="D488" t="s">
        <v>369</v>
      </c>
      <c r="E488" t="s">
        <v>366</v>
      </c>
      <c r="F488" s="4">
        <v>45892.728150486109</v>
      </c>
      <c r="G488" s="4">
        <v>45892.849938009262</v>
      </c>
      <c r="H488">
        <v>2.9</v>
      </c>
      <c r="I488" t="s">
        <v>12</v>
      </c>
      <c r="J488" t="s">
        <v>323</v>
      </c>
    </row>
    <row r="489" spans="1:10">
      <c r="A489" t="s">
        <v>1231</v>
      </c>
      <c r="B489" t="s">
        <v>915</v>
      </c>
      <c r="C489" t="s">
        <v>80</v>
      </c>
      <c r="D489" t="s">
        <v>399</v>
      </c>
      <c r="E489" t="s">
        <v>403</v>
      </c>
      <c r="F489" s="4">
        <v>46026.603373194448</v>
      </c>
      <c r="G489" s="4">
        <v>46026.778646053237</v>
      </c>
      <c r="H489">
        <v>4.2</v>
      </c>
      <c r="I489" t="s">
        <v>9</v>
      </c>
      <c r="J489" t="s">
        <v>335</v>
      </c>
    </row>
    <row r="490" spans="1:10">
      <c r="A490" t="s">
        <v>1232</v>
      </c>
      <c r="B490" t="s">
        <v>1233</v>
      </c>
      <c r="C490" t="s">
        <v>196</v>
      </c>
      <c r="D490" t="s">
        <v>377</v>
      </c>
      <c r="E490" t="s">
        <v>374</v>
      </c>
      <c r="F490" s="4">
        <v>46001.75759134259</v>
      </c>
      <c r="G490" s="4">
        <v>46001.977363483798</v>
      </c>
      <c r="H490">
        <v>5.3</v>
      </c>
      <c r="I490" t="s">
        <v>12</v>
      </c>
      <c r="J490" t="s">
        <v>328</v>
      </c>
    </row>
    <row r="491" spans="1:10">
      <c r="A491" t="s">
        <v>1234</v>
      </c>
      <c r="B491" t="s">
        <v>936</v>
      </c>
      <c r="C491" t="s">
        <v>202</v>
      </c>
      <c r="D491" t="s">
        <v>373</v>
      </c>
      <c r="E491" t="s">
        <v>366</v>
      </c>
      <c r="F491" s="4">
        <v>45917.105030729173</v>
      </c>
      <c r="G491" s="4">
        <v>45917.245609444442</v>
      </c>
      <c r="H491">
        <v>3.4</v>
      </c>
      <c r="I491" t="s">
        <v>9</v>
      </c>
      <c r="J491" t="s">
        <v>328</v>
      </c>
    </row>
    <row r="492" spans="1:10">
      <c r="A492" t="s">
        <v>1235</v>
      </c>
      <c r="B492" t="s">
        <v>951</v>
      </c>
      <c r="C492" t="s">
        <v>155</v>
      </c>
      <c r="D492" t="s">
        <v>373</v>
      </c>
      <c r="E492" t="s">
        <v>400</v>
      </c>
      <c r="F492" s="4">
        <v>45862.5807053588</v>
      </c>
      <c r="G492" s="4">
        <v>45862.767936956021</v>
      </c>
      <c r="H492">
        <v>4.5</v>
      </c>
      <c r="I492" t="s">
        <v>9</v>
      </c>
      <c r="J492" t="s">
        <v>335</v>
      </c>
    </row>
    <row r="493" spans="1:10">
      <c r="A493" t="s">
        <v>1236</v>
      </c>
      <c r="B493" t="s">
        <v>1154</v>
      </c>
      <c r="C493" t="s">
        <v>168</v>
      </c>
      <c r="D493" t="s">
        <v>443</v>
      </c>
      <c r="E493" t="s">
        <v>440</v>
      </c>
      <c r="F493" s="4">
        <v>46127.796003900461</v>
      </c>
      <c r="G493" s="4">
        <v>46128.040250057871</v>
      </c>
      <c r="H493">
        <v>5.9</v>
      </c>
      <c r="I493" t="s">
        <v>9</v>
      </c>
      <c r="J493" t="s">
        <v>323</v>
      </c>
    </row>
    <row r="494" spans="1:10">
      <c r="A494" t="s">
        <v>1237</v>
      </c>
      <c r="B494" t="s">
        <v>1238</v>
      </c>
      <c r="C494" t="s">
        <v>38</v>
      </c>
      <c r="D494" t="s">
        <v>392</v>
      </c>
      <c r="E494" t="s">
        <v>374</v>
      </c>
      <c r="F494" s="4">
        <v>45907.798009664351</v>
      </c>
      <c r="G494" s="4">
        <v>45907.892340833343</v>
      </c>
      <c r="H494">
        <v>2.2999999999999998</v>
      </c>
      <c r="I494" t="s">
        <v>12</v>
      </c>
      <c r="J494" t="s">
        <v>335</v>
      </c>
    </row>
    <row r="495" spans="1:10">
      <c r="A495" t="s">
        <v>1239</v>
      </c>
      <c r="B495" t="s">
        <v>1240</v>
      </c>
      <c r="C495" t="s">
        <v>11</v>
      </c>
      <c r="D495" t="s">
        <v>384</v>
      </c>
      <c r="E495" t="s">
        <v>393</v>
      </c>
      <c r="F495" s="4">
        <v>46144.18874917824</v>
      </c>
      <c r="G495" s="4">
        <v>46144.357684502313</v>
      </c>
      <c r="H495">
        <v>4.0999999999999996</v>
      </c>
      <c r="I495" t="s">
        <v>12</v>
      </c>
      <c r="J495" t="s">
        <v>328</v>
      </c>
    </row>
    <row r="496" spans="1:10">
      <c r="A496" t="s">
        <v>1241</v>
      </c>
      <c r="B496" t="s">
        <v>879</v>
      </c>
      <c r="C496" t="s">
        <v>49</v>
      </c>
      <c r="D496" t="s">
        <v>392</v>
      </c>
      <c r="E496" t="s">
        <v>403</v>
      </c>
      <c r="F496" s="4">
        <v>45934.192385312497</v>
      </c>
      <c r="G496" s="4">
        <v>45934.322389756948</v>
      </c>
      <c r="H496">
        <v>3.1</v>
      </c>
      <c r="I496" t="s">
        <v>9</v>
      </c>
      <c r="J496" t="s">
        <v>323</v>
      </c>
    </row>
    <row r="497" spans="1:10">
      <c r="A497" t="s">
        <v>1242</v>
      </c>
      <c r="B497" t="s">
        <v>901</v>
      </c>
      <c r="C497" t="s">
        <v>301</v>
      </c>
      <c r="D497" t="s">
        <v>476</v>
      </c>
      <c r="E497" t="s">
        <v>414</v>
      </c>
      <c r="F497" s="4">
        <v>45870.891869872677</v>
      </c>
      <c r="G497" s="4">
        <v>45870.957747025474</v>
      </c>
      <c r="H497">
        <v>1.6</v>
      </c>
      <c r="I497" t="s">
        <v>9</v>
      </c>
      <c r="J497" t="s">
        <v>323</v>
      </c>
    </row>
    <row r="498" spans="1:10">
      <c r="A498" t="s">
        <v>1243</v>
      </c>
      <c r="B498" t="s">
        <v>1244</v>
      </c>
      <c r="C498" t="s">
        <v>162</v>
      </c>
      <c r="D498" t="s">
        <v>377</v>
      </c>
      <c r="E498" t="s">
        <v>456</v>
      </c>
      <c r="F498" s="4">
        <v>46132.256364236113</v>
      </c>
      <c r="G498" s="4">
        <v>46132.535891886568</v>
      </c>
      <c r="H498">
        <v>6.7</v>
      </c>
      <c r="I498" t="s">
        <v>12</v>
      </c>
      <c r="J498" t="s">
        <v>335</v>
      </c>
    </row>
    <row r="499" spans="1:10">
      <c r="A499" t="s">
        <v>1245</v>
      </c>
      <c r="B499" t="s">
        <v>402</v>
      </c>
      <c r="C499" t="s">
        <v>57</v>
      </c>
      <c r="D499" t="s">
        <v>399</v>
      </c>
      <c r="E499" t="s">
        <v>403</v>
      </c>
      <c r="F499" s="4">
        <v>45863.239356435188</v>
      </c>
      <c r="G499" s="4">
        <v>45863.47762125</v>
      </c>
      <c r="H499">
        <v>5.7</v>
      </c>
      <c r="I499" t="s">
        <v>12</v>
      </c>
      <c r="J499" t="s">
        <v>328</v>
      </c>
    </row>
    <row r="500" spans="1:10">
      <c r="A500" t="s">
        <v>1246</v>
      </c>
      <c r="B500" t="s">
        <v>1247</v>
      </c>
      <c r="C500" t="s">
        <v>11</v>
      </c>
      <c r="D500" t="s">
        <v>392</v>
      </c>
      <c r="E500" t="s">
        <v>374</v>
      </c>
      <c r="F500" s="4">
        <v>46023.708798807871</v>
      </c>
      <c r="G500" s="4">
        <v>46023.862353622688</v>
      </c>
      <c r="H500">
        <v>3.7</v>
      </c>
      <c r="I500" t="s">
        <v>12</v>
      </c>
      <c r="J500" t="s">
        <v>335</v>
      </c>
    </row>
    <row r="501" spans="1:10">
      <c r="A501" t="s">
        <v>1248</v>
      </c>
      <c r="B501" t="s">
        <v>1198</v>
      </c>
      <c r="C501" t="s">
        <v>56</v>
      </c>
      <c r="D501" t="s">
        <v>365</v>
      </c>
      <c r="E501" t="s">
        <v>378</v>
      </c>
      <c r="F501" s="4">
        <v>45941.667713391202</v>
      </c>
      <c r="G501" s="4">
        <v>45941.711599942129</v>
      </c>
      <c r="H501">
        <v>1.1000000000000001</v>
      </c>
      <c r="I501" t="s">
        <v>9</v>
      </c>
      <c r="J501" t="s">
        <v>323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1"/>
  <sheetViews>
    <sheetView workbookViewId="0"/>
  </sheetViews>
  <sheetFormatPr baseColWidth="10" defaultColWidth="8.83203125" defaultRowHeight="15"/>
  <cols>
    <col min="1" max="1" width="10.33203125" customWidth="1"/>
    <col min="2" max="2" width="7.5" customWidth="1"/>
    <col min="3" max="3" width="20" customWidth="1"/>
    <col min="4" max="4" width="14" customWidth="1"/>
    <col min="5" max="5" width="10.33203125" customWidth="1"/>
    <col min="6" max="6" width="8.6640625" customWidth="1"/>
    <col min="7" max="7" width="14.6640625" customWidth="1"/>
    <col min="8" max="8" width="13.6640625" customWidth="1"/>
    <col min="9" max="9" width="8.6640625" customWidth="1"/>
    <col min="10" max="10" width="8.1640625" customWidth="1"/>
    <col min="11" max="11" width="8" customWidth="1"/>
    <col min="12" max="12" width="12" customWidth="1"/>
    <col min="13" max="13" width="12.83203125" customWidth="1"/>
  </cols>
  <sheetData>
    <row r="1" spans="1:13" ht="15" customHeight="1">
      <c r="A1" s="3" t="s">
        <v>355</v>
      </c>
      <c r="B1" s="3" t="s">
        <v>1</v>
      </c>
      <c r="C1" s="3" t="s">
        <v>1249</v>
      </c>
      <c r="D1" s="3" t="s">
        <v>1250</v>
      </c>
      <c r="E1" s="3" t="s">
        <v>1251</v>
      </c>
      <c r="F1" s="3" t="s">
        <v>1252</v>
      </c>
      <c r="G1" s="3" t="s">
        <v>1253</v>
      </c>
      <c r="H1" s="3" t="s">
        <v>1254</v>
      </c>
      <c r="I1" s="3" t="s">
        <v>313</v>
      </c>
      <c r="J1" s="3" t="s">
        <v>357</v>
      </c>
      <c r="K1" s="3" t="s">
        <v>362</v>
      </c>
      <c r="L1" s="12" t="s">
        <v>1255</v>
      </c>
      <c r="M1" s="12" t="s">
        <v>1256</v>
      </c>
    </row>
    <row r="2" spans="1:13">
      <c r="A2" t="s">
        <v>1257</v>
      </c>
      <c r="B2" t="s">
        <v>186</v>
      </c>
      <c r="C2" t="s">
        <v>476</v>
      </c>
      <c r="D2" t="s">
        <v>1258</v>
      </c>
      <c r="E2" s="4">
        <v>45931.208333333343</v>
      </c>
      <c r="F2">
        <v>8</v>
      </c>
      <c r="G2">
        <v>0.7</v>
      </c>
      <c r="H2">
        <v>117.4</v>
      </c>
      <c r="I2" t="s">
        <v>1259</v>
      </c>
      <c r="J2" t="s">
        <v>366</v>
      </c>
      <c r="K2" t="s">
        <v>335</v>
      </c>
      <c r="L2" s="7" t="str">
        <f t="shared" ref="L2:L65" si="0">IF(H2&gt;F2,"Yes","No")</f>
        <v>Yes</v>
      </c>
      <c r="M2" s="16">
        <f t="shared" ref="M2:M65" ca="1" si="1">IF(I2="Closed",0,TODAY()-E2)</f>
        <v>0</v>
      </c>
    </row>
    <row r="3" spans="1:13">
      <c r="A3" t="s">
        <v>1260</v>
      </c>
      <c r="B3" t="s">
        <v>14</v>
      </c>
      <c r="C3" t="s">
        <v>443</v>
      </c>
      <c r="D3" t="s">
        <v>1261</v>
      </c>
      <c r="E3" s="4">
        <v>46075.833333333343</v>
      </c>
      <c r="F3">
        <v>24</v>
      </c>
      <c r="G3">
        <v>3.1</v>
      </c>
      <c r="H3">
        <v>90.6</v>
      </c>
      <c r="I3" t="s">
        <v>1259</v>
      </c>
      <c r="J3" t="s">
        <v>440</v>
      </c>
      <c r="K3" t="s">
        <v>335</v>
      </c>
      <c r="L3" s="7" t="str">
        <f t="shared" si="0"/>
        <v>Yes</v>
      </c>
      <c r="M3" s="16">
        <f t="shared" ca="1" si="1"/>
        <v>0</v>
      </c>
    </row>
    <row r="4" spans="1:13">
      <c r="A4" t="s">
        <v>1224</v>
      </c>
      <c r="B4" t="s">
        <v>185</v>
      </c>
      <c r="C4" t="s">
        <v>476</v>
      </c>
      <c r="D4" t="s">
        <v>1261</v>
      </c>
      <c r="E4" s="4">
        <v>46065.458333333343</v>
      </c>
      <c r="F4">
        <v>72</v>
      </c>
      <c r="G4">
        <v>2.1</v>
      </c>
      <c r="H4">
        <v>129.4</v>
      </c>
      <c r="I4" t="s">
        <v>1259</v>
      </c>
      <c r="J4" t="s">
        <v>440</v>
      </c>
      <c r="K4" t="s">
        <v>335</v>
      </c>
      <c r="L4" s="7" t="str">
        <f t="shared" si="0"/>
        <v>Yes</v>
      </c>
      <c r="M4" s="16">
        <f t="shared" ca="1" si="1"/>
        <v>0</v>
      </c>
    </row>
    <row r="5" spans="1:13">
      <c r="A5" t="s">
        <v>592</v>
      </c>
      <c r="B5" t="s">
        <v>32</v>
      </c>
      <c r="C5" t="s">
        <v>369</v>
      </c>
      <c r="D5" t="s">
        <v>1262</v>
      </c>
      <c r="E5" s="4">
        <v>45893.291666666657</v>
      </c>
      <c r="F5">
        <v>48</v>
      </c>
      <c r="G5">
        <v>3.8</v>
      </c>
      <c r="H5">
        <v>44.8</v>
      </c>
      <c r="I5" t="s">
        <v>1263</v>
      </c>
      <c r="J5" t="s">
        <v>393</v>
      </c>
      <c r="K5" t="s">
        <v>328</v>
      </c>
      <c r="L5" s="7" t="str">
        <f t="shared" si="0"/>
        <v>No</v>
      </c>
      <c r="M5" s="16">
        <f t="shared" ca="1" si="1"/>
        <v>256.70833333334303</v>
      </c>
    </row>
    <row r="6" spans="1:13">
      <c r="A6" t="s">
        <v>1264</v>
      </c>
      <c r="B6" t="s">
        <v>190</v>
      </c>
      <c r="C6" t="s">
        <v>392</v>
      </c>
      <c r="D6" t="s">
        <v>1258</v>
      </c>
      <c r="E6" s="4">
        <v>45843.75</v>
      </c>
      <c r="F6">
        <v>4</v>
      </c>
      <c r="G6">
        <v>5.9</v>
      </c>
      <c r="H6">
        <v>100.9</v>
      </c>
      <c r="I6" t="s">
        <v>1259</v>
      </c>
      <c r="J6" t="s">
        <v>393</v>
      </c>
      <c r="K6" t="s">
        <v>328</v>
      </c>
      <c r="L6" s="7" t="str">
        <f t="shared" si="0"/>
        <v>Yes</v>
      </c>
      <c r="M6" s="16">
        <f t="shared" ca="1" si="1"/>
        <v>0</v>
      </c>
    </row>
    <row r="7" spans="1:13">
      <c r="A7" t="s">
        <v>535</v>
      </c>
      <c r="B7" t="s">
        <v>51</v>
      </c>
      <c r="C7" t="s">
        <v>417</v>
      </c>
      <c r="D7" t="s">
        <v>1261</v>
      </c>
      <c r="E7" s="4">
        <v>45936.791666666657</v>
      </c>
      <c r="F7">
        <v>24</v>
      </c>
      <c r="G7">
        <v>4.5</v>
      </c>
      <c r="H7">
        <v>97.7</v>
      </c>
      <c r="I7" t="s">
        <v>1259</v>
      </c>
      <c r="J7" t="s">
        <v>403</v>
      </c>
      <c r="K7" t="s">
        <v>323</v>
      </c>
      <c r="L7" s="7" t="str">
        <f t="shared" si="0"/>
        <v>Yes</v>
      </c>
      <c r="M7" s="16">
        <f t="shared" ca="1" si="1"/>
        <v>0</v>
      </c>
    </row>
    <row r="8" spans="1:13">
      <c r="A8" t="s">
        <v>598</v>
      </c>
      <c r="B8" t="s">
        <v>118</v>
      </c>
      <c r="C8" t="s">
        <v>392</v>
      </c>
      <c r="D8" t="s">
        <v>1262</v>
      </c>
      <c r="E8" s="4">
        <v>45997.583333333343</v>
      </c>
      <c r="F8">
        <v>4</v>
      </c>
      <c r="G8">
        <v>3.9</v>
      </c>
      <c r="H8">
        <v>56.7</v>
      </c>
      <c r="I8" t="s">
        <v>1265</v>
      </c>
      <c r="J8" t="s">
        <v>393</v>
      </c>
      <c r="K8" t="s">
        <v>335</v>
      </c>
      <c r="L8" s="7" t="str">
        <f t="shared" si="0"/>
        <v>Yes</v>
      </c>
      <c r="M8" s="16">
        <f t="shared" ca="1" si="1"/>
        <v>152.41666666665697</v>
      </c>
    </row>
    <row r="9" spans="1:13">
      <c r="A9" t="s">
        <v>511</v>
      </c>
      <c r="B9" t="s">
        <v>260</v>
      </c>
      <c r="C9" t="s">
        <v>369</v>
      </c>
      <c r="D9" t="s">
        <v>1261</v>
      </c>
      <c r="E9" s="4">
        <v>45906.708333333343</v>
      </c>
      <c r="F9">
        <v>24</v>
      </c>
      <c r="G9">
        <v>3.5</v>
      </c>
      <c r="H9">
        <v>123</v>
      </c>
      <c r="I9" t="s">
        <v>1259</v>
      </c>
      <c r="J9" t="s">
        <v>393</v>
      </c>
      <c r="K9" t="s">
        <v>335</v>
      </c>
      <c r="L9" s="7" t="str">
        <f t="shared" si="0"/>
        <v>Yes</v>
      </c>
      <c r="M9" s="16">
        <f t="shared" ca="1" si="1"/>
        <v>0</v>
      </c>
    </row>
    <row r="10" spans="1:13">
      <c r="A10" t="s">
        <v>502</v>
      </c>
      <c r="B10" t="s">
        <v>61</v>
      </c>
      <c r="C10" t="s">
        <v>467</v>
      </c>
      <c r="D10" t="s">
        <v>1262</v>
      </c>
      <c r="E10" s="4">
        <v>46012.125</v>
      </c>
      <c r="F10">
        <v>48</v>
      </c>
      <c r="G10">
        <v>6.3</v>
      </c>
      <c r="H10">
        <v>12.2</v>
      </c>
      <c r="I10" t="s">
        <v>1263</v>
      </c>
      <c r="J10" t="s">
        <v>378</v>
      </c>
      <c r="K10" t="s">
        <v>323</v>
      </c>
      <c r="L10" s="7" t="str">
        <f t="shared" si="0"/>
        <v>No</v>
      </c>
      <c r="M10" s="16">
        <f t="shared" ca="1" si="1"/>
        <v>137.875</v>
      </c>
    </row>
    <row r="11" spans="1:13">
      <c r="A11" t="s">
        <v>492</v>
      </c>
      <c r="B11" t="s">
        <v>185</v>
      </c>
      <c r="C11" t="s">
        <v>369</v>
      </c>
      <c r="D11" t="s">
        <v>1266</v>
      </c>
      <c r="E11" s="4">
        <v>46124.458333333343</v>
      </c>
      <c r="F11">
        <v>4</v>
      </c>
      <c r="G11">
        <v>5.2</v>
      </c>
      <c r="H11">
        <v>2.6</v>
      </c>
      <c r="I11" t="s">
        <v>1259</v>
      </c>
      <c r="J11" t="s">
        <v>440</v>
      </c>
      <c r="K11" t="s">
        <v>335</v>
      </c>
      <c r="L11" s="7" t="str">
        <f t="shared" si="0"/>
        <v>No</v>
      </c>
      <c r="M11" s="16">
        <f t="shared" ca="1" si="1"/>
        <v>0</v>
      </c>
    </row>
    <row r="12" spans="1:13">
      <c r="A12" t="s">
        <v>1064</v>
      </c>
      <c r="B12" t="s">
        <v>185</v>
      </c>
      <c r="C12" t="s">
        <v>381</v>
      </c>
      <c r="D12" t="s">
        <v>1262</v>
      </c>
      <c r="E12" s="4">
        <v>46138.5</v>
      </c>
      <c r="F12">
        <v>24</v>
      </c>
      <c r="G12">
        <v>0.9</v>
      </c>
      <c r="H12">
        <v>19.2</v>
      </c>
      <c r="I12" t="s">
        <v>1265</v>
      </c>
      <c r="J12" t="s">
        <v>414</v>
      </c>
      <c r="K12" t="s">
        <v>335</v>
      </c>
      <c r="L12" s="7" t="str">
        <f t="shared" si="0"/>
        <v>No</v>
      </c>
      <c r="M12" s="16">
        <f t="shared" ca="1" si="1"/>
        <v>11.5</v>
      </c>
    </row>
    <row r="13" spans="1:13">
      <c r="A13" t="s">
        <v>758</v>
      </c>
      <c r="B13" t="s">
        <v>215</v>
      </c>
      <c r="C13" t="s">
        <v>443</v>
      </c>
      <c r="D13" t="s">
        <v>1261</v>
      </c>
      <c r="E13" s="4">
        <v>45871.833333333343</v>
      </c>
      <c r="F13">
        <v>48</v>
      </c>
      <c r="G13">
        <v>5.9</v>
      </c>
      <c r="H13">
        <v>42.6</v>
      </c>
      <c r="I13" t="s">
        <v>1259</v>
      </c>
      <c r="J13" t="s">
        <v>403</v>
      </c>
      <c r="K13" t="s">
        <v>328</v>
      </c>
      <c r="L13" s="7" t="str">
        <f t="shared" si="0"/>
        <v>No</v>
      </c>
      <c r="M13" s="16">
        <f t="shared" ca="1" si="1"/>
        <v>0</v>
      </c>
    </row>
    <row r="14" spans="1:13">
      <c r="A14" t="s">
        <v>669</v>
      </c>
      <c r="B14" t="s">
        <v>57</v>
      </c>
      <c r="C14" t="s">
        <v>467</v>
      </c>
      <c r="D14" t="s">
        <v>1266</v>
      </c>
      <c r="E14" s="4">
        <v>45898.125</v>
      </c>
      <c r="F14">
        <v>8</v>
      </c>
      <c r="G14">
        <v>5.8</v>
      </c>
      <c r="H14">
        <v>11.8</v>
      </c>
      <c r="I14" t="s">
        <v>1259</v>
      </c>
      <c r="J14" t="s">
        <v>378</v>
      </c>
      <c r="K14" t="s">
        <v>323</v>
      </c>
      <c r="L14" s="7" t="str">
        <f t="shared" si="0"/>
        <v>Yes</v>
      </c>
      <c r="M14" s="16">
        <f t="shared" ca="1" si="1"/>
        <v>0</v>
      </c>
    </row>
    <row r="15" spans="1:13">
      <c r="A15" t="s">
        <v>1193</v>
      </c>
      <c r="B15" t="s">
        <v>232</v>
      </c>
      <c r="C15" t="s">
        <v>476</v>
      </c>
      <c r="D15" t="s">
        <v>1258</v>
      </c>
      <c r="E15" s="4">
        <v>45918.541666666657</v>
      </c>
      <c r="F15">
        <v>4</v>
      </c>
      <c r="G15">
        <v>5.5</v>
      </c>
      <c r="H15">
        <v>83.8</v>
      </c>
      <c r="I15" t="s">
        <v>1263</v>
      </c>
      <c r="J15" t="s">
        <v>393</v>
      </c>
      <c r="K15" t="s">
        <v>328</v>
      </c>
      <c r="L15" s="7" t="str">
        <f t="shared" si="0"/>
        <v>Yes</v>
      </c>
      <c r="M15" s="16">
        <f t="shared" ca="1" si="1"/>
        <v>231.45833333334303</v>
      </c>
    </row>
    <row r="16" spans="1:13">
      <c r="A16" t="s">
        <v>771</v>
      </c>
      <c r="B16" t="s">
        <v>27</v>
      </c>
      <c r="C16" t="s">
        <v>417</v>
      </c>
      <c r="D16" t="s">
        <v>1261</v>
      </c>
      <c r="E16" s="4">
        <v>46066.291666666657</v>
      </c>
      <c r="F16">
        <v>24</v>
      </c>
      <c r="G16">
        <v>0.8</v>
      </c>
      <c r="H16">
        <v>93</v>
      </c>
      <c r="I16" t="s">
        <v>1259</v>
      </c>
      <c r="J16" t="s">
        <v>378</v>
      </c>
      <c r="K16" t="s">
        <v>335</v>
      </c>
      <c r="L16" s="7" t="str">
        <f t="shared" si="0"/>
        <v>Yes</v>
      </c>
      <c r="M16" s="16">
        <f t="shared" ca="1" si="1"/>
        <v>0</v>
      </c>
    </row>
    <row r="17" spans="1:13">
      <c r="A17" t="s">
        <v>781</v>
      </c>
      <c r="B17" t="s">
        <v>43</v>
      </c>
      <c r="C17" t="s">
        <v>369</v>
      </c>
      <c r="D17" t="s">
        <v>1261</v>
      </c>
      <c r="E17" s="4">
        <v>45901.583333333343</v>
      </c>
      <c r="F17">
        <v>4</v>
      </c>
      <c r="G17">
        <v>4.4000000000000004</v>
      </c>
      <c r="H17">
        <v>87.2</v>
      </c>
      <c r="I17" t="s">
        <v>1259</v>
      </c>
      <c r="J17" t="s">
        <v>387</v>
      </c>
      <c r="K17" t="s">
        <v>328</v>
      </c>
      <c r="L17" s="7" t="str">
        <f t="shared" si="0"/>
        <v>Yes</v>
      </c>
      <c r="M17" s="16">
        <f t="shared" ca="1" si="1"/>
        <v>0</v>
      </c>
    </row>
    <row r="18" spans="1:13">
      <c r="A18" t="s">
        <v>1174</v>
      </c>
      <c r="B18" t="s">
        <v>127</v>
      </c>
      <c r="C18" t="s">
        <v>417</v>
      </c>
      <c r="D18" t="s">
        <v>1261</v>
      </c>
      <c r="E18" s="4">
        <v>45903.75</v>
      </c>
      <c r="F18">
        <v>8</v>
      </c>
      <c r="G18">
        <v>0.6</v>
      </c>
      <c r="H18">
        <v>103.5</v>
      </c>
      <c r="I18" t="s">
        <v>331</v>
      </c>
      <c r="J18" t="s">
        <v>366</v>
      </c>
      <c r="K18" t="s">
        <v>328</v>
      </c>
      <c r="L18" s="7" t="str">
        <f t="shared" si="0"/>
        <v>Yes</v>
      </c>
      <c r="M18" s="16">
        <f t="shared" ca="1" si="1"/>
        <v>246.25</v>
      </c>
    </row>
    <row r="19" spans="1:13">
      <c r="A19" t="s">
        <v>1240</v>
      </c>
      <c r="B19" t="s">
        <v>11</v>
      </c>
      <c r="C19" t="s">
        <v>384</v>
      </c>
      <c r="D19" t="s">
        <v>1262</v>
      </c>
      <c r="E19" s="4">
        <v>46144</v>
      </c>
      <c r="F19">
        <v>24</v>
      </c>
      <c r="G19">
        <v>5.6</v>
      </c>
      <c r="H19">
        <v>12.5</v>
      </c>
      <c r="I19" t="s">
        <v>331</v>
      </c>
      <c r="J19" t="s">
        <v>393</v>
      </c>
      <c r="K19" t="s">
        <v>328</v>
      </c>
      <c r="L19" s="7" t="str">
        <f t="shared" si="0"/>
        <v>No</v>
      </c>
      <c r="M19" s="16">
        <f t="shared" ca="1" si="1"/>
        <v>6</v>
      </c>
    </row>
    <row r="20" spans="1:13">
      <c r="A20" t="s">
        <v>1122</v>
      </c>
      <c r="B20" t="s">
        <v>36</v>
      </c>
      <c r="C20" t="s">
        <v>392</v>
      </c>
      <c r="D20" t="s">
        <v>1262</v>
      </c>
      <c r="E20" s="4">
        <v>45906</v>
      </c>
      <c r="F20">
        <v>24</v>
      </c>
      <c r="G20">
        <v>5.2</v>
      </c>
      <c r="H20">
        <v>19.5</v>
      </c>
      <c r="I20" t="s">
        <v>1259</v>
      </c>
      <c r="J20" t="s">
        <v>403</v>
      </c>
      <c r="K20" t="s">
        <v>335</v>
      </c>
      <c r="L20" s="7" t="str">
        <f t="shared" si="0"/>
        <v>No</v>
      </c>
      <c r="M20" s="16">
        <f t="shared" ca="1" si="1"/>
        <v>0</v>
      </c>
    </row>
    <row r="21" spans="1:13">
      <c r="A21" t="s">
        <v>455</v>
      </c>
      <c r="B21" t="s">
        <v>197</v>
      </c>
      <c r="C21" t="s">
        <v>384</v>
      </c>
      <c r="D21" t="s">
        <v>1262</v>
      </c>
      <c r="E21" s="4">
        <v>46108.125</v>
      </c>
      <c r="F21">
        <v>4</v>
      </c>
      <c r="G21">
        <v>3.2</v>
      </c>
      <c r="H21">
        <v>60.1</v>
      </c>
      <c r="I21" t="s">
        <v>1259</v>
      </c>
      <c r="J21" t="s">
        <v>456</v>
      </c>
      <c r="K21" t="s">
        <v>335</v>
      </c>
      <c r="L21" s="7" t="str">
        <f t="shared" si="0"/>
        <v>Yes</v>
      </c>
      <c r="M21" s="16">
        <f t="shared" ca="1" si="1"/>
        <v>0</v>
      </c>
    </row>
    <row r="22" spans="1:13">
      <c r="A22" t="s">
        <v>1267</v>
      </c>
      <c r="B22" t="s">
        <v>25</v>
      </c>
      <c r="C22" t="s">
        <v>377</v>
      </c>
      <c r="D22" t="s">
        <v>1266</v>
      </c>
      <c r="E22" s="4">
        <v>45861.958333333343</v>
      </c>
      <c r="F22">
        <v>72</v>
      </c>
      <c r="G22">
        <v>2.1</v>
      </c>
      <c r="H22">
        <v>50</v>
      </c>
      <c r="I22" t="s">
        <v>1265</v>
      </c>
      <c r="J22" t="s">
        <v>440</v>
      </c>
      <c r="K22" t="s">
        <v>335</v>
      </c>
      <c r="L22" s="7" t="str">
        <f t="shared" si="0"/>
        <v>No</v>
      </c>
      <c r="M22" s="16">
        <f t="shared" ca="1" si="1"/>
        <v>288.04166666665697</v>
      </c>
    </row>
    <row r="23" spans="1:13">
      <c r="A23" t="s">
        <v>1268</v>
      </c>
      <c r="B23" t="s">
        <v>208</v>
      </c>
      <c r="C23" t="s">
        <v>392</v>
      </c>
      <c r="D23" t="s">
        <v>1261</v>
      </c>
      <c r="E23" s="4">
        <v>46066.083333333343</v>
      </c>
      <c r="F23">
        <v>4</v>
      </c>
      <c r="G23">
        <v>2.2000000000000002</v>
      </c>
      <c r="H23">
        <v>22.3</v>
      </c>
      <c r="I23" t="s">
        <v>331</v>
      </c>
      <c r="J23" t="s">
        <v>374</v>
      </c>
      <c r="K23" t="s">
        <v>323</v>
      </c>
      <c r="L23" s="7" t="str">
        <f t="shared" si="0"/>
        <v>Yes</v>
      </c>
      <c r="M23" s="16">
        <f t="shared" ca="1" si="1"/>
        <v>83.916666666656965</v>
      </c>
    </row>
    <row r="24" spans="1:13">
      <c r="A24" t="s">
        <v>1269</v>
      </c>
      <c r="B24" t="s">
        <v>163</v>
      </c>
      <c r="C24" t="s">
        <v>476</v>
      </c>
      <c r="D24" t="s">
        <v>1262</v>
      </c>
      <c r="E24" s="4">
        <v>46034.791666666657</v>
      </c>
      <c r="F24">
        <v>72</v>
      </c>
      <c r="G24">
        <v>2.1</v>
      </c>
      <c r="H24">
        <v>39.6</v>
      </c>
      <c r="I24" t="s">
        <v>1259</v>
      </c>
      <c r="J24" t="s">
        <v>370</v>
      </c>
      <c r="K24" t="s">
        <v>328</v>
      </c>
      <c r="L24" s="7" t="str">
        <f t="shared" si="0"/>
        <v>No</v>
      </c>
      <c r="M24" s="16">
        <f t="shared" ca="1" si="1"/>
        <v>0</v>
      </c>
    </row>
    <row r="25" spans="1:13">
      <c r="A25" t="s">
        <v>1270</v>
      </c>
      <c r="B25" t="s">
        <v>204</v>
      </c>
      <c r="C25" t="s">
        <v>392</v>
      </c>
      <c r="D25" t="s">
        <v>1262</v>
      </c>
      <c r="E25" s="4">
        <v>46121.958333333343</v>
      </c>
      <c r="F25">
        <v>8</v>
      </c>
      <c r="G25">
        <v>2.9</v>
      </c>
      <c r="H25">
        <v>68.400000000000006</v>
      </c>
      <c r="I25" t="s">
        <v>1259</v>
      </c>
      <c r="J25" t="s">
        <v>440</v>
      </c>
      <c r="K25" t="s">
        <v>335</v>
      </c>
      <c r="L25" s="7" t="str">
        <f t="shared" si="0"/>
        <v>Yes</v>
      </c>
      <c r="M25" s="16">
        <f t="shared" ca="1" si="1"/>
        <v>0</v>
      </c>
    </row>
    <row r="26" spans="1:13">
      <c r="A26" t="s">
        <v>542</v>
      </c>
      <c r="B26" t="s">
        <v>247</v>
      </c>
      <c r="C26" t="s">
        <v>381</v>
      </c>
      <c r="D26" t="s">
        <v>1261</v>
      </c>
      <c r="E26" s="4">
        <v>46057.416666666657</v>
      </c>
      <c r="F26">
        <v>24</v>
      </c>
      <c r="G26">
        <v>2.6</v>
      </c>
      <c r="H26">
        <v>22.9</v>
      </c>
      <c r="I26" t="s">
        <v>1263</v>
      </c>
      <c r="J26" t="s">
        <v>456</v>
      </c>
      <c r="K26" t="s">
        <v>328</v>
      </c>
      <c r="L26" s="7" t="str">
        <f t="shared" si="0"/>
        <v>No</v>
      </c>
      <c r="M26" s="16">
        <f t="shared" ca="1" si="1"/>
        <v>92.583333333343035</v>
      </c>
    </row>
    <row r="27" spans="1:13">
      <c r="A27" t="s">
        <v>413</v>
      </c>
      <c r="B27" t="s">
        <v>190</v>
      </c>
      <c r="C27" t="s">
        <v>399</v>
      </c>
      <c r="D27" t="s">
        <v>1261</v>
      </c>
      <c r="E27" s="4">
        <v>45888.958333333343</v>
      </c>
      <c r="F27">
        <v>24</v>
      </c>
      <c r="G27">
        <v>5.3</v>
      </c>
      <c r="H27">
        <v>76</v>
      </c>
      <c r="I27" t="s">
        <v>1259</v>
      </c>
      <c r="J27" t="s">
        <v>414</v>
      </c>
      <c r="K27" t="s">
        <v>323</v>
      </c>
      <c r="L27" s="7" t="str">
        <f t="shared" si="0"/>
        <v>Yes</v>
      </c>
      <c r="M27" s="16">
        <f t="shared" ca="1" si="1"/>
        <v>0</v>
      </c>
    </row>
    <row r="28" spans="1:13">
      <c r="A28" t="s">
        <v>1247</v>
      </c>
      <c r="B28" t="s">
        <v>11</v>
      </c>
      <c r="C28" t="s">
        <v>392</v>
      </c>
      <c r="D28" t="s">
        <v>1261</v>
      </c>
      <c r="E28" s="4">
        <v>46020.875</v>
      </c>
      <c r="F28">
        <v>48</v>
      </c>
      <c r="G28">
        <v>5.7</v>
      </c>
      <c r="H28">
        <v>97.7</v>
      </c>
      <c r="I28" t="s">
        <v>1263</v>
      </c>
      <c r="J28" t="s">
        <v>374</v>
      </c>
      <c r="K28" t="s">
        <v>335</v>
      </c>
      <c r="L28" s="7" t="str">
        <f t="shared" si="0"/>
        <v>Yes</v>
      </c>
      <c r="M28" s="16">
        <f t="shared" ca="1" si="1"/>
        <v>129.125</v>
      </c>
    </row>
    <row r="29" spans="1:13">
      <c r="A29" t="s">
        <v>1271</v>
      </c>
      <c r="B29" t="s">
        <v>151</v>
      </c>
      <c r="C29" t="s">
        <v>399</v>
      </c>
      <c r="D29" t="s">
        <v>1262</v>
      </c>
      <c r="E29" s="4">
        <v>45947.166666666657</v>
      </c>
      <c r="F29">
        <v>48</v>
      </c>
      <c r="G29">
        <v>1.6</v>
      </c>
      <c r="H29">
        <v>9.6999999999999993</v>
      </c>
      <c r="I29" t="s">
        <v>1259</v>
      </c>
      <c r="J29" t="s">
        <v>396</v>
      </c>
      <c r="K29" t="s">
        <v>328</v>
      </c>
      <c r="L29" s="7" t="str">
        <f t="shared" si="0"/>
        <v>No</v>
      </c>
      <c r="M29" s="16">
        <f t="shared" ca="1" si="1"/>
        <v>0</v>
      </c>
    </row>
    <row r="30" spans="1:13">
      <c r="A30" t="s">
        <v>1272</v>
      </c>
      <c r="B30" t="s">
        <v>96</v>
      </c>
      <c r="C30" t="s">
        <v>467</v>
      </c>
      <c r="D30" t="s">
        <v>1262</v>
      </c>
      <c r="E30" s="4">
        <v>46058.708333333343</v>
      </c>
      <c r="F30">
        <v>72</v>
      </c>
      <c r="G30">
        <v>4.0999999999999996</v>
      </c>
      <c r="H30">
        <v>49.9</v>
      </c>
      <c r="I30" t="s">
        <v>1265</v>
      </c>
      <c r="J30" t="s">
        <v>378</v>
      </c>
      <c r="K30" t="s">
        <v>323</v>
      </c>
      <c r="L30" s="7" t="str">
        <f t="shared" si="0"/>
        <v>No</v>
      </c>
      <c r="M30" s="16">
        <f t="shared" ca="1" si="1"/>
        <v>91.291666666656965</v>
      </c>
    </row>
    <row r="31" spans="1:13">
      <c r="A31" t="s">
        <v>1273</v>
      </c>
      <c r="B31" t="s">
        <v>131</v>
      </c>
      <c r="C31" t="s">
        <v>373</v>
      </c>
      <c r="D31" t="s">
        <v>1261</v>
      </c>
      <c r="E31" s="4">
        <v>45997.416666666657</v>
      </c>
      <c r="F31">
        <v>24</v>
      </c>
      <c r="G31">
        <v>0.2</v>
      </c>
      <c r="H31">
        <v>117.3</v>
      </c>
      <c r="I31" t="s">
        <v>1259</v>
      </c>
      <c r="J31" t="s">
        <v>400</v>
      </c>
      <c r="K31" t="s">
        <v>328</v>
      </c>
      <c r="L31" s="7" t="str">
        <f t="shared" si="0"/>
        <v>Yes</v>
      </c>
      <c r="M31" s="16">
        <f t="shared" ca="1" si="1"/>
        <v>0</v>
      </c>
    </row>
    <row r="32" spans="1:13">
      <c r="A32" t="s">
        <v>1274</v>
      </c>
      <c r="B32" t="s">
        <v>74</v>
      </c>
      <c r="C32" t="s">
        <v>381</v>
      </c>
      <c r="D32" t="s">
        <v>1262</v>
      </c>
      <c r="E32" s="4">
        <v>45854.083333333343</v>
      </c>
      <c r="F32">
        <v>72</v>
      </c>
      <c r="G32">
        <v>1.6</v>
      </c>
      <c r="H32">
        <v>33.200000000000003</v>
      </c>
      <c r="I32" t="s">
        <v>1259</v>
      </c>
      <c r="J32" t="s">
        <v>396</v>
      </c>
      <c r="K32" t="s">
        <v>335</v>
      </c>
      <c r="L32" s="7" t="str">
        <f t="shared" si="0"/>
        <v>No</v>
      </c>
      <c r="M32" s="16">
        <f t="shared" ca="1" si="1"/>
        <v>0</v>
      </c>
    </row>
    <row r="33" spans="1:13">
      <c r="A33" t="s">
        <v>1275</v>
      </c>
      <c r="B33" t="s">
        <v>170</v>
      </c>
      <c r="C33" t="s">
        <v>417</v>
      </c>
      <c r="D33" t="s">
        <v>1262</v>
      </c>
      <c r="E33" s="4">
        <v>46129.791666666657</v>
      </c>
      <c r="F33">
        <v>4</v>
      </c>
      <c r="G33">
        <v>5.8</v>
      </c>
      <c r="H33">
        <v>13.3</v>
      </c>
      <c r="I33" t="s">
        <v>1259</v>
      </c>
      <c r="J33" t="s">
        <v>387</v>
      </c>
      <c r="K33" t="s">
        <v>323</v>
      </c>
      <c r="L33" s="7" t="str">
        <f t="shared" si="0"/>
        <v>Yes</v>
      </c>
      <c r="M33" s="16">
        <f t="shared" ca="1" si="1"/>
        <v>0</v>
      </c>
    </row>
    <row r="34" spans="1:13">
      <c r="A34" t="s">
        <v>688</v>
      </c>
      <c r="B34" t="s">
        <v>105</v>
      </c>
      <c r="C34" t="s">
        <v>467</v>
      </c>
      <c r="D34" t="s">
        <v>1258</v>
      </c>
      <c r="E34" s="4">
        <v>46056.625</v>
      </c>
      <c r="F34">
        <v>72</v>
      </c>
      <c r="G34">
        <v>3</v>
      </c>
      <c r="H34">
        <v>38.700000000000003</v>
      </c>
      <c r="I34" t="s">
        <v>1259</v>
      </c>
      <c r="J34" t="s">
        <v>456</v>
      </c>
      <c r="K34" t="s">
        <v>335</v>
      </c>
      <c r="L34" s="7" t="str">
        <f t="shared" si="0"/>
        <v>No</v>
      </c>
      <c r="M34" s="16">
        <f t="shared" ca="1" si="1"/>
        <v>0</v>
      </c>
    </row>
    <row r="35" spans="1:13">
      <c r="A35" t="s">
        <v>1276</v>
      </c>
      <c r="B35" t="s">
        <v>286</v>
      </c>
      <c r="C35" t="s">
        <v>399</v>
      </c>
      <c r="D35" t="s">
        <v>1261</v>
      </c>
      <c r="E35" s="4">
        <v>46142.625</v>
      </c>
      <c r="F35">
        <v>72</v>
      </c>
      <c r="G35">
        <v>4.4000000000000004</v>
      </c>
      <c r="H35">
        <v>8.8000000000000007</v>
      </c>
      <c r="I35" t="s">
        <v>1259</v>
      </c>
      <c r="J35" t="s">
        <v>374</v>
      </c>
      <c r="K35" t="s">
        <v>328</v>
      </c>
      <c r="L35" s="7" t="str">
        <f t="shared" si="0"/>
        <v>No</v>
      </c>
      <c r="M35" s="16">
        <f t="shared" ca="1" si="1"/>
        <v>0</v>
      </c>
    </row>
    <row r="36" spans="1:13">
      <c r="A36" t="s">
        <v>552</v>
      </c>
      <c r="B36" t="s">
        <v>7</v>
      </c>
      <c r="C36" t="s">
        <v>377</v>
      </c>
      <c r="D36" t="s">
        <v>1258</v>
      </c>
      <c r="E36" s="4">
        <v>45947.166666666657</v>
      </c>
      <c r="F36">
        <v>24</v>
      </c>
      <c r="G36">
        <v>2</v>
      </c>
      <c r="H36">
        <v>18.600000000000001</v>
      </c>
      <c r="I36" t="s">
        <v>1259</v>
      </c>
      <c r="J36" t="s">
        <v>400</v>
      </c>
      <c r="K36" t="s">
        <v>328</v>
      </c>
      <c r="L36" s="7" t="str">
        <f t="shared" si="0"/>
        <v>No</v>
      </c>
      <c r="M36" s="16">
        <f t="shared" ca="1" si="1"/>
        <v>0</v>
      </c>
    </row>
    <row r="37" spans="1:13">
      <c r="A37" t="s">
        <v>957</v>
      </c>
      <c r="B37" t="s">
        <v>53</v>
      </c>
      <c r="C37" t="s">
        <v>369</v>
      </c>
      <c r="D37" t="s">
        <v>1258</v>
      </c>
      <c r="E37" s="4">
        <v>45956.666666666657</v>
      </c>
      <c r="F37">
        <v>72</v>
      </c>
      <c r="G37">
        <v>5.5</v>
      </c>
      <c r="H37">
        <v>108.9</v>
      </c>
      <c r="I37" t="s">
        <v>1265</v>
      </c>
      <c r="J37" t="s">
        <v>370</v>
      </c>
      <c r="K37" t="s">
        <v>328</v>
      </c>
      <c r="L37" s="7" t="str">
        <f t="shared" si="0"/>
        <v>Yes</v>
      </c>
      <c r="M37" s="16">
        <f t="shared" ca="1" si="1"/>
        <v>193.33333333334303</v>
      </c>
    </row>
    <row r="38" spans="1:13">
      <c r="A38" t="s">
        <v>1277</v>
      </c>
      <c r="B38" t="s">
        <v>286</v>
      </c>
      <c r="C38" t="s">
        <v>373</v>
      </c>
      <c r="D38" t="s">
        <v>1258</v>
      </c>
      <c r="E38" s="4">
        <v>45878.416666666657</v>
      </c>
      <c r="F38">
        <v>72</v>
      </c>
      <c r="G38">
        <v>2.9</v>
      </c>
      <c r="H38">
        <v>56</v>
      </c>
      <c r="I38" t="s">
        <v>1259</v>
      </c>
      <c r="J38" t="s">
        <v>393</v>
      </c>
      <c r="K38" t="s">
        <v>328</v>
      </c>
      <c r="L38" s="7" t="str">
        <f t="shared" si="0"/>
        <v>No</v>
      </c>
      <c r="M38" s="16">
        <f t="shared" ca="1" si="1"/>
        <v>0</v>
      </c>
    </row>
    <row r="39" spans="1:13">
      <c r="A39" t="s">
        <v>1278</v>
      </c>
      <c r="B39" t="s">
        <v>110</v>
      </c>
      <c r="C39" t="s">
        <v>373</v>
      </c>
      <c r="D39" t="s">
        <v>1266</v>
      </c>
      <c r="E39" s="4">
        <v>45926.791666666657</v>
      </c>
      <c r="F39">
        <v>48</v>
      </c>
      <c r="G39">
        <v>5.4</v>
      </c>
      <c r="H39">
        <v>70.8</v>
      </c>
      <c r="I39" t="s">
        <v>1265</v>
      </c>
      <c r="J39" t="s">
        <v>456</v>
      </c>
      <c r="K39" t="s">
        <v>328</v>
      </c>
      <c r="L39" s="7" t="str">
        <f t="shared" si="0"/>
        <v>Yes</v>
      </c>
      <c r="M39" s="16">
        <f t="shared" ca="1" si="1"/>
        <v>223.20833333334303</v>
      </c>
    </row>
    <row r="40" spans="1:13">
      <c r="A40" t="s">
        <v>1279</v>
      </c>
      <c r="B40" t="s">
        <v>286</v>
      </c>
      <c r="C40" t="s">
        <v>443</v>
      </c>
      <c r="D40" t="s">
        <v>1258</v>
      </c>
      <c r="E40" s="4">
        <v>45879.5</v>
      </c>
      <c r="F40">
        <v>24</v>
      </c>
      <c r="G40">
        <v>4.9000000000000004</v>
      </c>
      <c r="H40">
        <v>32</v>
      </c>
      <c r="I40" t="s">
        <v>1259</v>
      </c>
      <c r="J40" t="s">
        <v>456</v>
      </c>
      <c r="K40" t="s">
        <v>323</v>
      </c>
      <c r="L40" s="7" t="str">
        <f t="shared" si="0"/>
        <v>Yes</v>
      </c>
      <c r="M40" s="16">
        <f t="shared" ca="1" si="1"/>
        <v>0</v>
      </c>
    </row>
    <row r="41" spans="1:13">
      <c r="A41" t="s">
        <v>846</v>
      </c>
      <c r="B41" t="s">
        <v>29</v>
      </c>
      <c r="C41" t="s">
        <v>399</v>
      </c>
      <c r="D41" t="s">
        <v>1258</v>
      </c>
      <c r="E41" s="4">
        <v>45938.458333333343</v>
      </c>
      <c r="F41">
        <v>24</v>
      </c>
      <c r="G41">
        <v>4.8</v>
      </c>
      <c r="H41">
        <v>110.6</v>
      </c>
      <c r="I41" t="s">
        <v>1259</v>
      </c>
      <c r="J41" t="s">
        <v>366</v>
      </c>
      <c r="K41" t="s">
        <v>328</v>
      </c>
      <c r="L41" s="7" t="str">
        <f t="shared" si="0"/>
        <v>Yes</v>
      </c>
      <c r="M41" s="16">
        <f t="shared" ca="1" si="1"/>
        <v>0</v>
      </c>
    </row>
    <row r="42" spans="1:13">
      <c r="A42" t="s">
        <v>1280</v>
      </c>
      <c r="B42" t="s">
        <v>74</v>
      </c>
      <c r="C42" t="s">
        <v>467</v>
      </c>
      <c r="D42" t="s">
        <v>1261</v>
      </c>
      <c r="E42" s="4">
        <v>46147.166666666657</v>
      </c>
      <c r="F42">
        <v>4</v>
      </c>
      <c r="G42">
        <v>1.3</v>
      </c>
      <c r="H42">
        <v>104.5</v>
      </c>
      <c r="I42" t="s">
        <v>1259</v>
      </c>
      <c r="J42" t="s">
        <v>374</v>
      </c>
      <c r="K42" t="s">
        <v>323</v>
      </c>
      <c r="L42" s="7" t="str">
        <f t="shared" si="0"/>
        <v>Yes</v>
      </c>
      <c r="M42" s="16">
        <f t="shared" ca="1" si="1"/>
        <v>0</v>
      </c>
    </row>
    <row r="43" spans="1:13">
      <c r="A43" t="s">
        <v>1281</v>
      </c>
      <c r="B43" t="s">
        <v>103</v>
      </c>
      <c r="C43" t="s">
        <v>392</v>
      </c>
      <c r="D43" t="s">
        <v>1266</v>
      </c>
      <c r="E43" s="4">
        <v>46128.833333333343</v>
      </c>
      <c r="F43">
        <v>72</v>
      </c>
      <c r="G43">
        <v>2.2000000000000002</v>
      </c>
      <c r="H43">
        <v>74.599999999999994</v>
      </c>
      <c r="I43" t="s">
        <v>1259</v>
      </c>
      <c r="J43" t="s">
        <v>440</v>
      </c>
      <c r="K43" t="s">
        <v>328</v>
      </c>
      <c r="L43" s="7" t="str">
        <f t="shared" si="0"/>
        <v>Yes</v>
      </c>
      <c r="M43" s="16">
        <f t="shared" ca="1" si="1"/>
        <v>0</v>
      </c>
    </row>
    <row r="44" spans="1:13">
      <c r="A44" t="s">
        <v>1282</v>
      </c>
      <c r="B44" t="s">
        <v>45</v>
      </c>
      <c r="C44" t="s">
        <v>365</v>
      </c>
      <c r="D44" t="s">
        <v>1262</v>
      </c>
      <c r="E44" s="4">
        <v>45979.75</v>
      </c>
      <c r="F44">
        <v>4</v>
      </c>
      <c r="G44">
        <v>2.4</v>
      </c>
      <c r="H44">
        <v>7.2</v>
      </c>
      <c r="I44" t="s">
        <v>1259</v>
      </c>
      <c r="J44" t="s">
        <v>387</v>
      </c>
      <c r="K44" t="s">
        <v>328</v>
      </c>
      <c r="L44" s="7" t="str">
        <f t="shared" si="0"/>
        <v>Yes</v>
      </c>
      <c r="M44" s="16">
        <f t="shared" ca="1" si="1"/>
        <v>0</v>
      </c>
    </row>
    <row r="45" spans="1:13">
      <c r="A45" t="s">
        <v>1283</v>
      </c>
      <c r="B45" t="s">
        <v>91</v>
      </c>
      <c r="C45" t="s">
        <v>467</v>
      </c>
      <c r="D45" t="s">
        <v>1261</v>
      </c>
      <c r="E45" s="4">
        <v>45885.791666666657</v>
      </c>
      <c r="F45">
        <v>72</v>
      </c>
      <c r="G45">
        <v>3.4</v>
      </c>
      <c r="H45">
        <v>63.7</v>
      </c>
      <c r="I45" t="s">
        <v>1259</v>
      </c>
      <c r="J45" t="s">
        <v>370</v>
      </c>
      <c r="K45" t="s">
        <v>328</v>
      </c>
      <c r="L45" s="7" t="str">
        <f t="shared" si="0"/>
        <v>No</v>
      </c>
      <c r="M45" s="16">
        <f t="shared" ca="1" si="1"/>
        <v>0</v>
      </c>
    </row>
    <row r="46" spans="1:13">
      <c r="A46" t="s">
        <v>1144</v>
      </c>
      <c r="B46" t="s">
        <v>103</v>
      </c>
      <c r="C46" t="s">
        <v>443</v>
      </c>
      <c r="D46" t="s">
        <v>1262</v>
      </c>
      <c r="E46" s="4">
        <v>46003.791666666657</v>
      </c>
      <c r="F46">
        <v>48</v>
      </c>
      <c r="G46">
        <v>3.4</v>
      </c>
      <c r="H46">
        <v>73.599999999999994</v>
      </c>
      <c r="I46" t="s">
        <v>1259</v>
      </c>
      <c r="J46" t="s">
        <v>396</v>
      </c>
      <c r="K46" t="s">
        <v>323</v>
      </c>
      <c r="L46" s="7" t="str">
        <f t="shared" si="0"/>
        <v>Yes</v>
      </c>
      <c r="M46" s="16">
        <f t="shared" ca="1" si="1"/>
        <v>0</v>
      </c>
    </row>
    <row r="47" spans="1:13">
      <c r="A47" t="s">
        <v>742</v>
      </c>
      <c r="B47" t="s">
        <v>105</v>
      </c>
      <c r="C47" t="s">
        <v>476</v>
      </c>
      <c r="D47" t="s">
        <v>1262</v>
      </c>
      <c r="E47" s="4">
        <v>45859.291666666657</v>
      </c>
      <c r="F47">
        <v>48</v>
      </c>
      <c r="G47">
        <v>6.4</v>
      </c>
      <c r="H47">
        <v>41</v>
      </c>
      <c r="I47" t="s">
        <v>1259</v>
      </c>
      <c r="J47" t="s">
        <v>396</v>
      </c>
      <c r="K47" t="s">
        <v>335</v>
      </c>
      <c r="L47" s="7" t="str">
        <f t="shared" si="0"/>
        <v>No</v>
      </c>
      <c r="M47" s="16">
        <f t="shared" ca="1" si="1"/>
        <v>0</v>
      </c>
    </row>
    <row r="48" spans="1:13">
      <c r="A48" t="s">
        <v>1284</v>
      </c>
      <c r="B48" t="s">
        <v>215</v>
      </c>
      <c r="C48" t="s">
        <v>467</v>
      </c>
      <c r="D48" t="s">
        <v>1258</v>
      </c>
      <c r="E48" s="4">
        <v>46012.875</v>
      </c>
      <c r="F48">
        <v>72</v>
      </c>
      <c r="G48">
        <v>0.5</v>
      </c>
      <c r="H48">
        <v>85.8</v>
      </c>
      <c r="I48" t="s">
        <v>1259</v>
      </c>
      <c r="J48" t="s">
        <v>396</v>
      </c>
      <c r="K48" t="s">
        <v>328</v>
      </c>
      <c r="L48" s="7" t="str">
        <f t="shared" si="0"/>
        <v>Yes</v>
      </c>
      <c r="M48" s="16">
        <f t="shared" ca="1" si="1"/>
        <v>0</v>
      </c>
    </row>
    <row r="49" spans="1:13">
      <c r="A49" t="s">
        <v>1285</v>
      </c>
      <c r="B49" t="s">
        <v>162</v>
      </c>
      <c r="C49" t="s">
        <v>392</v>
      </c>
      <c r="D49" t="s">
        <v>1258</v>
      </c>
      <c r="E49" s="4">
        <v>45968.958333333343</v>
      </c>
      <c r="F49">
        <v>72</v>
      </c>
      <c r="G49">
        <v>5.7</v>
      </c>
      <c r="H49">
        <v>46.7</v>
      </c>
      <c r="I49" t="s">
        <v>1259</v>
      </c>
      <c r="J49" t="s">
        <v>403</v>
      </c>
      <c r="K49" t="s">
        <v>335</v>
      </c>
      <c r="L49" s="7" t="str">
        <f t="shared" si="0"/>
        <v>No</v>
      </c>
      <c r="M49" s="16">
        <f t="shared" ca="1" si="1"/>
        <v>0</v>
      </c>
    </row>
    <row r="50" spans="1:13">
      <c r="A50" t="s">
        <v>533</v>
      </c>
      <c r="B50" t="s">
        <v>295</v>
      </c>
      <c r="C50" t="s">
        <v>392</v>
      </c>
      <c r="D50" t="s">
        <v>1262</v>
      </c>
      <c r="E50" s="4">
        <v>46039.166666666657</v>
      </c>
      <c r="F50">
        <v>72</v>
      </c>
      <c r="G50">
        <v>4.7</v>
      </c>
      <c r="H50">
        <v>8</v>
      </c>
      <c r="I50" t="s">
        <v>1259</v>
      </c>
      <c r="J50" t="s">
        <v>378</v>
      </c>
      <c r="K50" t="s">
        <v>335</v>
      </c>
      <c r="L50" s="7" t="str">
        <f t="shared" si="0"/>
        <v>No</v>
      </c>
      <c r="M50" s="16">
        <f t="shared" ca="1" si="1"/>
        <v>0</v>
      </c>
    </row>
    <row r="51" spans="1:13">
      <c r="A51" t="s">
        <v>1286</v>
      </c>
      <c r="B51" t="s">
        <v>211</v>
      </c>
      <c r="C51" t="s">
        <v>384</v>
      </c>
      <c r="D51" t="s">
        <v>1262</v>
      </c>
      <c r="E51" s="4">
        <v>46108.083333333343</v>
      </c>
      <c r="F51">
        <v>48</v>
      </c>
      <c r="G51">
        <v>3.4</v>
      </c>
      <c r="H51">
        <v>3</v>
      </c>
      <c r="I51" t="s">
        <v>1259</v>
      </c>
      <c r="J51" t="s">
        <v>366</v>
      </c>
      <c r="K51" t="s">
        <v>335</v>
      </c>
      <c r="L51" s="7" t="str">
        <f t="shared" si="0"/>
        <v>No</v>
      </c>
      <c r="M51" s="16">
        <f t="shared" ca="1" si="1"/>
        <v>0</v>
      </c>
    </row>
    <row r="52" spans="1:13">
      <c r="A52" t="s">
        <v>1287</v>
      </c>
      <c r="B52" t="s">
        <v>269</v>
      </c>
      <c r="C52" t="s">
        <v>365</v>
      </c>
      <c r="D52" t="s">
        <v>1261</v>
      </c>
      <c r="E52" s="4">
        <v>45909.166666666657</v>
      </c>
      <c r="F52">
        <v>4</v>
      </c>
      <c r="G52">
        <v>2.1</v>
      </c>
      <c r="H52">
        <v>106.5</v>
      </c>
      <c r="I52" t="s">
        <v>1259</v>
      </c>
      <c r="J52" t="s">
        <v>414</v>
      </c>
      <c r="K52" t="s">
        <v>323</v>
      </c>
      <c r="L52" s="7" t="str">
        <f t="shared" si="0"/>
        <v>Yes</v>
      </c>
      <c r="M52" s="16">
        <f t="shared" ca="1" si="1"/>
        <v>0</v>
      </c>
    </row>
    <row r="53" spans="1:13">
      <c r="A53" t="s">
        <v>1288</v>
      </c>
      <c r="B53" t="s">
        <v>112</v>
      </c>
      <c r="C53" t="s">
        <v>476</v>
      </c>
      <c r="D53" t="s">
        <v>1261</v>
      </c>
      <c r="E53" s="4">
        <v>46011.791666666657</v>
      </c>
      <c r="F53">
        <v>8</v>
      </c>
      <c r="G53">
        <v>4</v>
      </c>
      <c r="H53">
        <v>23.1</v>
      </c>
      <c r="I53" t="s">
        <v>331</v>
      </c>
      <c r="J53" t="s">
        <v>370</v>
      </c>
      <c r="K53" t="s">
        <v>323</v>
      </c>
      <c r="L53" s="7" t="str">
        <f t="shared" si="0"/>
        <v>Yes</v>
      </c>
      <c r="M53" s="16">
        <f t="shared" ca="1" si="1"/>
        <v>138.20833333334303</v>
      </c>
    </row>
    <row r="54" spans="1:13">
      <c r="A54" t="s">
        <v>1289</v>
      </c>
      <c r="B54" t="s">
        <v>61</v>
      </c>
      <c r="C54" t="s">
        <v>384</v>
      </c>
      <c r="D54" t="s">
        <v>1262</v>
      </c>
      <c r="E54" s="4">
        <v>45861.541666666657</v>
      </c>
      <c r="F54">
        <v>24</v>
      </c>
      <c r="G54">
        <v>4.5</v>
      </c>
      <c r="H54">
        <v>19.5</v>
      </c>
      <c r="I54" t="s">
        <v>1259</v>
      </c>
      <c r="J54" t="s">
        <v>393</v>
      </c>
      <c r="K54" t="s">
        <v>323</v>
      </c>
      <c r="L54" s="7" t="str">
        <f t="shared" si="0"/>
        <v>No</v>
      </c>
      <c r="M54" s="16">
        <f t="shared" ca="1" si="1"/>
        <v>0</v>
      </c>
    </row>
    <row r="55" spans="1:13">
      <c r="A55" t="s">
        <v>447</v>
      </c>
      <c r="B55" t="s">
        <v>127</v>
      </c>
      <c r="C55" t="s">
        <v>365</v>
      </c>
      <c r="D55" t="s">
        <v>1261</v>
      </c>
      <c r="E55" s="4">
        <v>45961.375</v>
      </c>
      <c r="F55">
        <v>48</v>
      </c>
      <c r="G55">
        <v>5.9</v>
      </c>
      <c r="H55">
        <v>28.3</v>
      </c>
      <c r="I55" t="s">
        <v>1259</v>
      </c>
      <c r="J55" t="s">
        <v>374</v>
      </c>
      <c r="K55" t="s">
        <v>335</v>
      </c>
      <c r="L55" s="7" t="str">
        <f t="shared" si="0"/>
        <v>No</v>
      </c>
      <c r="M55" s="16">
        <f t="shared" ca="1" si="1"/>
        <v>0</v>
      </c>
    </row>
    <row r="56" spans="1:13">
      <c r="A56" t="s">
        <v>1290</v>
      </c>
      <c r="B56" t="s">
        <v>223</v>
      </c>
      <c r="C56" t="s">
        <v>467</v>
      </c>
      <c r="D56" t="s">
        <v>1262</v>
      </c>
      <c r="E56" s="4">
        <v>46096.666666666657</v>
      </c>
      <c r="F56">
        <v>48</v>
      </c>
      <c r="G56">
        <v>6.3</v>
      </c>
      <c r="H56">
        <v>63</v>
      </c>
      <c r="I56" t="s">
        <v>1259</v>
      </c>
      <c r="J56" t="s">
        <v>403</v>
      </c>
      <c r="K56" t="s">
        <v>335</v>
      </c>
      <c r="L56" s="7" t="str">
        <f t="shared" si="0"/>
        <v>Yes</v>
      </c>
      <c r="M56" s="16">
        <f t="shared" ca="1" si="1"/>
        <v>0</v>
      </c>
    </row>
    <row r="57" spans="1:13">
      <c r="A57" t="s">
        <v>546</v>
      </c>
      <c r="B57" t="s">
        <v>197</v>
      </c>
      <c r="C57" t="s">
        <v>392</v>
      </c>
      <c r="D57" t="s">
        <v>1258</v>
      </c>
      <c r="E57" s="4">
        <v>46029.708333333343</v>
      </c>
      <c r="F57">
        <v>4</v>
      </c>
      <c r="G57">
        <v>4.7</v>
      </c>
      <c r="H57">
        <v>70.7</v>
      </c>
      <c r="I57" t="s">
        <v>331</v>
      </c>
      <c r="J57" t="s">
        <v>456</v>
      </c>
      <c r="K57" t="s">
        <v>328</v>
      </c>
      <c r="L57" s="7" t="str">
        <f t="shared" si="0"/>
        <v>Yes</v>
      </c>
      <c r="M57" s="16">
        <f t="shared" ca="1" si="1"/>
        <v>120.29166666665697</v>
      </c>
    </row>
    <row r="58" spans="1:13">
      <c r="A58" t="s">
        <v>1291</v>
      </c>
      <c r="B58" t="s">
        <v>131</v>
      </c>
      <c r="C58" t="s">
        <v>365</v>
      </c>
      <c r="D58" t="s">
        <v>1266</v>
      </c>
      <c r="E58" s="4">
        <v>45914.541666666657</v>
      </c>
      <c r="F58">
        <v>4</v>
      </c>
      <c r="G58">
        <v>6.2</v>
      </c>
      <c r="H58">
        <v>18.3</v>
      </c>
      <c r="I58" t="s">
        <v>1259</v>
      </c>
      <c r="J58" t="s">
        <v>396</v>
      </c>
      <c r="K58" t="s">
        <v>328</v>
      </c>
      <c r="L58" s="7" t="str">
        <f t="shared" si="0"/>
        <v>Yes</v>
      </c>
      <c r="M58" s="16">
        <f t="shared" ca="1" si="1"/>
        <v>0</v>
      </c>
    </row>
    <row r="59" spans="1:13">
      <c r="A59" t="s">
        <v>983</v>
      </c>
      <c r="B59" t="s">
        <v>247</v>
      </c>
      <c r="C59" t="s">
        <v>373</v>
      </c>
      <c r="D59" t="s">
        <v>1258</v>
      </c>
      <c r="E59" s="4">
        <v>46030.291666666657</v>
      </c>
      <c r="F59">
        <v>48</v>
      </c>
      <c r="G59">
        <v>6.5</v>
      </c>
      <c r="H59">
        <v>52.1</v>
      </c>
      <c r="I59" t="s">
        <v>1265</v>
      </c>
      <c r="J59" t="s">
        <v>456</v>
      </c>
      <c r="K59" t="s">
        <v>323</v>
      </c>
      <c r="L59" s="7" t="str">
        <f t="shared" si="0"/>
        <v>Yes</v>
      </c>
      <c r="M59" s="16">
        <f t="shared" ca="1" si="1"/>
        <v>119.70833333334303</v>
      </c>
    </row>
    <row r="60" spans="1:13">
      <c r="A60" t="s">
        <v>1062</v>
      </c>
      <c r="B60" t="s">
        <v>173</v>
      </c>
      <c r="C60" t="s">
        <v>417</v>
      </c>
      <c r="D60" t="s">
        <v>1262</v>
      </c>
      <c r="E60" s="4">
        <v>45909.041666666657</v>
      </c>
      <c r="F60">
        <v>24</v>
      </c>
      <c r="G60">
        <v>6</v>
      </c>
      <c r="H60">
        <v>37.1</v>
      </c>
      <c r="I60" t="s">
        <v>1259</v>
      </c>
      <c r="J60" t="s">
        <v>370</v>
      </c>
      <c r="K60" t="s">
        <v>335</v>
      </c>
      <c r="L60" s="7" t="str">
        <f t="shared" si="0"/>
        <v>Yes</v>
      </c>
      <c r="M60" s="16">
        <f t="shared" ca="1" si="1"/>
        <v>0</v>
      </c>
    </row>
    <row r="61" spans="1:13">
      <c r="A61" t="s">
        <v>442</v>
      </c>
      <c r="B61" t="s">
        <v>103</v>
      </c>
      <c r="C61" t="s">
        <v>443</v>
      </c>
      <c r="D61" t="s">
        <v>1261</v>
      </c>
      <c r="E61" s="4">
        <v>45879</v>
      </c>
      <c r="F61">
        <v>24</v>
      </c>
      <c r="G61">
        <v>1.6</v>
      </c>
      <c r="H61">
        <v>22.5</v>
      </c>
      <c r="I61" t="s">
        <v>1263</v>
      </c>
      <c r="J61" t="s">
        <v>374</v>
      </c>
      <c r="K61" t="s">
        <v>323</v>
      </c>
      <c r="L61" s="7" t="str">
        <f t="shared" si="0"/>
        <v>No</v>
      </c>
      <c r="M61" s="16">
        <f t="shared" ca="1" si="1"/>
        <v>271</v>
      </c>
    </row>
    <row r="62" spans="1:13">
      <c r="A62" t="s">
        <v>439</v>
      </c>
      <c r="B62" t="s">
        <v>208</v>
      </c>
      <c r="C62" t="s">
        <v>399</v>
      </c>
      <c r="D62" t="s">
        <v>1262</v>
      </c>
      <c r="E62" s="4">
        <v>45960.375</v>
      </c>
      <c r="F62">
        <v>4</v>
      </c>
      <c r="G62">
        <v>0.5</v>
      </c>
      <c r="H62">
        <v>33.200000000000003</v>
      </c>
      <c r="I62" t="s">
        <v>1259</v>
      </c>
      <c r="J62" t="s">
        <v>440</v>
      </c>
      <c r="K62" t="s">
        <v>328</v>
      </c>
      <c r="L62" s="7" t="str">
        <f t="shared" si="0"/>
        <v>Yes</v>
      </c>
      <c r="M62" s="16">
        <f t="shared" ca="1" si="1"/>
        <v>0</v>
      </c>
    </row>
    <row r="63" spans="1:13">
      <c r="A63" t="s">
        <v>573</v>
      </c>
      <c r="B63" t="s">
        <v>36</v>
      </c>
      <c r="C63" t="s">
        <v>365</v>
      </c>
      <c r="D63" t="s">
        <v>1262</v>
      </c>
      <c r="E63" s="4">
        <v>45847.833333333343</v>
      </c>
      <c r="F63">
        <v>72</v>
      </c>
      <c r="G63">
        <v>3.8</v>
      </c>
      <c r="H63">
        <v>55.6</v>
      </c>
      <c r="I63" t="s">
        <v>331</v>
      </c>
      <c r="J63" t="s">
        <v>387</v>
      </c>
      <c r="K63" t="s">
        <v>323</v>
      </c>
      <c r="L63" s="7" t="str">
        <f t="shared" si="0"/>
        <v>No</v>
      </c>
      <c r="M63" s="16">
        <f t="shared" ca="1" si="1"/>
        <v>302.16666666665697</v>
      </c>
    </row>
    <row r="64" spans="1:13">
      <c r="A64" t="s">
        <v>1292</v>
      </c>
      <c r="B64" t="s">
        <v>151</v>
      </c>
      <c r="C64" t="s">
        <v>377</v>
      </c>
      <c r="D64" t="s">
        <v>1262</v>
      </c>
      <c r="E64" s="4">
        <v>45934.875</v>
      </c>
      <c r="F64">
        <v>4</v>
      </c>
      <c r="G64">
        <v>3.5</v>
      </c>
      <c r="H64">
        <v>28.7</v>
      </c>
      <c r="I64" t="s">
        <v>1263</v>
      </c>
      <c r="J64" t="s">
        <v>414</v>
      </c>
      <c r="K64" t="s">
        <v>323</v>
      </c>
      <c r="L64" s="7" t="str">
        <f t="shared" si="0"/>
        <v>Yes</v>
      </c>
      <c r="M64" s="16">
        <f t="shared" ca="1" si="1"/>
        <v>215.125</v>
      </c>
    </row>
    <row r="65" spans="1:13">
      <c r="A65" t="s">
        <v>1293</v>
      </c>
      <c r="B65" t="s">
        <v>127</v>
      </c>
      <c r="C65" t="s">
        <v>476</v>
      </c>
      <c r="D65" t="s">
        <v>1262</v>
      </c>
      <c r="E65" s="4">
        <v>46038.625</v>
      </c>
      <c r="F65">
        <v>4</v>
      </c>
      <c r="G65">
        <v>4.2</v>
      </c>
      <c r="H65">
        <v>75.400000000000006</v>
      </c>
      <c r="I65" t="s">
        <v>331</v>
      </c>
      <c r="J65" t="s">
        <v>387</v>
      </c>
      <c r="K65" t="s">
        <v>335</v>
      </c>
      <c r="L65" s="7" t="str">
        <f t="shared" si="0"/>
        <v>Yes</v>
      </c>
      <c r="M65" s="16">
        <f t="shared" ca="1" si="1"/>
        <v>111.375</v>
      </c>
    </row>
    <row r="66" spans="1:13">
      <c r="A66" t="s">
        <v>540</v>
      </c>
      <c r="B66" t="s">
        <v>127</v>
      </c>
      <c r="C66" t="s">
        <v>399</v>
      </c>
      <c r="D66" t="s">
        <v>1258</v>
      </c>
      <c r="E66" s="4">
        <v>45892.75</v>
      </c>
      <c r="F66">
        <v>24</v>
      </c>
      <c r="G66">
        <v>1</v>
      </c>
      <c r="H66">
        <v>49.2</v>
      </c>
      <c r="I66" t="s">
        <v>1259</v>
      </c>
      <c r="J66" t="s">
        <v>378</v>
      </c>
      <c r="K66" t="s">
        <v>328</v>
      </c>
      <c r="L66" s="7" t="str">
        <f t="shared" ref="L66:L129" si="2">IF(H66&gt;F66,"Yes","No")</f>
        <v>Yes</v>
      </c>
      <c r="M66" s="16">
        <f t="shared" ref="M66:M129" ca="1" si="3">IF(I66="Closed",0,TODAY()-E66)</f>
        <v>0</v>
      </c>
    </row>
    <row r="67" spans="1:13">
      <c r="A67" t="s">
        <v>1003</v>
      </c>
      <c r="B67" t="s">
        <v>190</v>
      </c>
      <c r="C67" t="s">
        <v>392</v>
      </c>
      <c r="D67" t="s">
        <v>1258</v>
      </c>
      <c r="E67" s="4">
        <v>46084.833333333343</v>
      </c>
      <c r="F67">
        <v>8</v>
      </c>
      <c r="G67">
        <v>5.3</v>
      </c>
      <c r="H67">
        <v>11.1</v>
      </c>
      <c r="I67" t="s">
        <v>1259</v>
      </c>
      <c r="J67" t="s">
        <v>440</v>
      </c>
      <c r="K67" t="s">
        <v>328</v>
      </c>
      <c r="L67" s="7" t="str">
        <f t="shared" si="2"/>
        <v>Yes</v>
      </c>
      <c r="M67" s="16">
        <f t="shared" ca="1" si="3"/>
        <v>0</v>
      </c>
    </row>
    <row r="68" spans="1:13">
      <c r="A68" t="s">
        <v>1294</v>
      </c>
      <c r="B68" t="s">
        <v>144</v>
      </c>
      <c r="C68" t="s">
        <v>377</v>
      </c>
      <c r="D68" t="s">
        <v>1261</v>
      </c>
      <c r="E68" s="4">
        <v>45941.041666666657</v>
      </c>
      <c r="F68">
        <v>24</v>
      </c>
      <c r="G68">
        <v>6.1</v>
      </c>
      <c r="H68">
        <v>70.599999999999994</v>
      </c>
      <c r="I68" t="s">
        <v>1263</v>
      </c>
      <c r="J68" t="s">
        <v>414</v>
      </c>
      <c r="K68" t="s">
        <v>335</v>
      </c>
      <c r="L68" s="7" t="str">
        <f t="shared" si="2"/>
        <v>Yes</v>
      </c>
      <c r="M68" s="16">
        <f t="shared" ca="1" si="3"/>
        <v>208.95833333334303</v>
      </c>
    </row>
    <row r="69" spans="1:13">
      <c r="A69" t="s">
        <v>1295</v>
      </c>
      <c r="B69" t="s">
        <v>262</v>
      </c>
      <c r="C69" t="s">
        <v>373</v>
      </c>
      <c r="D69" t="s">
        <v>1262</v>
      </c>
      <c r="E69" s="4">
        <v>45936.375</v>
      </c>
      <c r="F69">
        <v>24</v>
      </c>
      <c r="G69">
        <v>5.6</v>
      </c>
      <c r="H69">
        <v>5.2</v>
      </c>
      <c r="I69" t="s">
        <v>1259</v>
      </c>
      <c r="J69" t="s">
        <v>393</v>
      </c>
      <c r="K69" t="s">
        <v>328</v>
      </c>
      <c r="L69" s="7" t="str">
        <f t="shared" si="2"/>
        <v>No</v>
      </c>
      <c r="M69" s="16">
        <f t="shared" ca="1" si="3"/>
        <v>0</v>
      </c>
    </row>
    <row r="70" spans="1:13">
      <c r="A70" t="s">
        <v>735</v>
      </c>
      <c r="B70" t="s">
        <v>183</v>
      </c>
      <c r="C70" t="s">
        <v>417</v>
      </c>
      <c r="D70" t="s">
        <v>1258</v>
      </c>
      <c r="E70" s="4">
        <v>46043.958333333343</v>
      </c>
      <c r="F70">
        <v>48</v>
      </c>
      <c r="G70">
        <v>5.8</v>
      </c>
      <c r="H70">
        <v>53.7</v>
      </c>
      <c r="I70" t="s">
        <v>1263</v>
      </c>
      <c r="J70" t="s">
        <v>440</v>
      </c>
      <c r="K70" t="s">
        <v>323</v>
      </c>
      <c r="L70" s="7" t="str">
        <f t="shared" si="2"/>
        <v>Yes</v>
      </c>
      <c r="M70" s="16">
        <f t="shared" ca="1" si="3"/>
        <v>106.04166666665697</v>
      </c>
    </row>
    <row r="71" spans="1:13">
      <c r="A71" t="s">
        <v>750</v>
      </c>
      <c r="B71" t="s">
        <v>87</v>
      </c>
      <c r="C71" t="s">
        <v>417</v>
      </c>
      <c r="D71" t="s">
        <v>1266</v>
      </c>
      <c r="E71" s="4">
        <v>46104.333333333343</v>
      </c>
      <c r="F71">
        <v>4</v>
      </c>
      <c r="G71">
        <v>4.8</v>
      </c>
      <c r="H71">
        <v>7.5</v>
      </c>
      <c r="I71" t="s">
        <v>1259</v>
      </c>
      <c r="J71" t="s">
        <v>403</v>
      </c>
      <c r="K71" t="s">
        <v>323</v>
      </c>
      <c r="L71" s="7" t="str">
        <f t="shared" si="2"/>
        <v>Yes</v>
      </c>
      <c r="M71" s="16">
        <f t="shared" ca="1" si="3"/>
        <v>0</v>
      </c>
    </row>
    <row r="72" spans="1:13">
      <c r="A72" t="s">
        <v>1296</v>
      </c>
      <c r="B72" t="s">
        <v>144</v>
      </c>
      <c r="C72" t="s">
        <v>417</v>
      </c>
      <c r="D72" t="s">
        <v>1261</v>
      </c>
      <c r="E72" s="4">
        <v>46006.875</v>
      </c>
      <c r="F72">
        <v>24</v>
      </c>
      <c r="G72">
        <v>2.1</v>
      </c>
      <c r="H72">
        <v>82.1</v>
      </c>
      <c r="I72" t="s">
        <v>1259</v>
      </c>
      <c r="J72" t="s">
        <v>370</v>
      </c>
      <c r="K72" t="s">
        <v>335</v>
      </c>
      <c r="L72" s="7" t="str">
        <f t="shared" si="2"/>
        <v>Yes</v>
      </c>
      <c r="M72" s="16">
        <f t="shared" ca="1" si="3"/>
        <v>0</v>
      </c>
    </row>
    <row r="73" spans="1:13">
      <c r="A73" t="s">
        <v>704</v>
      </c>
      <c r="B73" t="s">
        <v>253</v>
      </c>
      <c r="C73" t="s">
        <v>365</v>
      </c>
      <c r="D73" t="s">
        <v>1261</v>
      </c>
      <c r="E73" s="4">
        <v>46019.791666666657</v>
      </c>
      <c r="F73">
        <v>48</v>
      </c>
      <c r="G73">
        <v>1.9</v>
      </c>
      <c r="H73">
        <v>131.80000000000001</v>
      </c>
      <c r="I73" t="s">
        <v>1263</v>
      </c>
      <c r="J73" t="s">
        <v>456</v>
      </c>
      <c r="K73" t="s">
        <v>323</v>
      </c>
      <c r="L73" s="7" t="str">
        <f t="shared" si="2"/>
        <v>Yes</v>
      </c>
      <c r="M73" s="16">
        <f t="shared" ca="1" si="3"/>
        <v>130.20833333334303</v>
      </c>
    </row>
    <row r="74" spans="1:13">
      <c r="A74" t="s">
        <v>1297</v>
      </c>
      <c r="B74" t="s">
        <v>29</v>
      </c>
      <c r="C74" t="s">
        <v>369</v>
      </c>
      <c r="D74" t="s">
        <v>1258</v>
      </c>
      <c r="E74" s="4">
        <v>45920</v>
      </c>
      <c r="F74">
        <v>8</v>
      </c>
      <c r="G74">
        <v>5.5</v>
      </c>
      <c r="H74">
        <v>92</v>
      </c>
      <c r="I74" t="s">
        <v>1259</v>
      </c>
      <c r="J74" t="s">
        <v>403</v>
      </c>
      <c r="K74" t="s">
        <v>328</v>
      </c>
      <c r="L74" s="7" t="str">
        <f t="shared" si="2"/>
        <v>Yes</v>
      </c>
      <c r="M74" s="16">
        <f t="shared" ca="1" si="3"/>
        <v>0</v>
      </c>
    </row>
    <row r="75" spans="1:13">
      <c r="A75" t="s">
        <v>659</v>
      </c>
      <c r="B75" t="s">
        <v>123</v>
      </c>
      <c r="C75" t="s">
        <v>392</v>
      </c>
      <c r="D75" t="s">
        <v>1258</v>
      </c>
      <c r="E75" s="4">
        <v>46035.75</v>
      </c>
      <c r="F75">
        <v>4</v>
      </c>
      <c r="G75">
        <v>4</v>
      </c>
      <c r="H75">
        <v>92.2</v>
      </c>
      <c r="I75" t="s">
        <v>1263</v>
      </c>
      <c r="J75" t="s">
        <v>396</v>
      </c>
      <c r="K75" t="s">
        <v>335</v>
      </c>
      <c r="L75" s="7" t="str">
        <f t="shared" si="2"/>
        <v>Yes</v>
      </c>
      <c r="M75" s="16">
        <f t="shared" ca="1" si="3"/>
        <v>114.25</v>
      </c>
    </row>
    <row r="76" spans="1:13">
      <c r="A76" t="s">
        <v>548</v>
      </c>
      <c r="B76" t="s">
        <v>96</v>
      </c>
      <c r="C76" t="s">
        <v>399</v>
      </c>
      <c r="D76" t="s">
        <v>1262</v>
      </c>
      <c r="E76" s="4">
        <v>46110.458333333343</v>
      </c>
      <c r="F76">
        <v>48</v>
      </c>
      <c r="G76">
        <v>2.2000000000000002</v>
      </c>
      <c r="H76">
        <v>22.6</v>
      </c>
      <c r="I76" t="s">
        <v>1263</v>
      </c>
      <c r="J76" t="s">
        <v>387</v>
      </c>
      <c r="K76" t="s">
        <v>323</v>
      </c>
      <c r="L76" s="7" t="str">
        <f t="shared" si="2"/>
        <v>No</v>
      </c>
      <c r="M76" s="16">
        <f t="shared" ca="1" si="3"/>
        <v>39.541666666656965</v>
      </c>
    </row>
    <row r="77" spans="1:13">
      <c r="A77" t="s">
        <v>1298</v>
      </c>
      <c r="B77" t="s">
        <v>133</v>
      </c>
      <c r="C77" t="s">
        <v>365</v>
      </c>
      <c r="D77" t="s">
        <v>1258</v>
      </c>
      <c r="E77" s="4">
        <v>46126.125</v>
      </c>
      <c r="F77">
        <v>24</v>
      </c>
      <c r="G77">
        <v>5.0999999999999996</v>
      </c>
      <c r="H77">
        <v>95.5</v>
      </c>
      <c r="I77" t="s">
        <v>331</v>
      </c>
      <c r="J77" t="s">
        <v>374</v>
      </c>
      <c r="K77" t="s">
        <v>335</v>
      </c>
      <c r="L77" s="7" t="str">
        <f t="shared" si="2"/>
        <v>Yes</v>
      </c>
      <c r="M77" s="16">
        <f t="shared" ca="1" si="3"/>
        <v>23.875</v>
      </c>
    </row>
    <row r="78" spans="1:13">
      <c r="A78" t="s">
        <v>538</v>
      </c>
      <c r="B78" t="s">
        <v>27</v>
      </c>
      <c r="C78" t="s">
        <v>365</v>
      </c>
      <c r="D78" t="s">
        <v>1261</v>
      </c>
      <c r="E78" s="4">
        <v>45908.083333333343</v>
      </c>
      <c r="F78">
        <v>48</v>
      </c>
      <c r="G78">
        <v>1.3</v>
      </c>
      <c r="H78">
        <v>96.7</v>
      </c>
      <c r="I78" t="s">
        <v>1263</v>
      </c>
      <c r="J78" t="s">
        <v>378</v>
      </c>
      <c r="K78" t="s">
        <v>335</v>
      </c>
      <c r="L78" s="7" t="str">
        <f t="shared" si="2"/>
        <v>Yes</v>
      </c>
      <c r="M78" s="16">
        <f t="shared" ca="1" si="3"/>
        <v>241.91666666665697</v>
      </c>
    </row>
    <row r="79" spans="1:13">
      <c r="A79" t="s">
        <v>1299</v>
      </c>
      <c r="B79" t="s">
        <v>147</v>
      </c>
      <c r="C79" t="s">
        <v>417</v>
      </c>
      <c r="D79" t="s">
        <v>1262</v>
      </c>
      <c r="E79" s="4">
        <v>46120.708333333343</v>
      </c>
      <c r="F79">
        <v>24</v>
      </c>
      <c r="G79">
        <v>5.8</v>
      </c>
      <c r="H79">
        <v>65.599999999999994</v>
      </c>
      <c r="I79" t="s">
        <v>1259</v>
      </c>
      <c r="J79" t="s">
        <v>370</v>
      </c>
      <c r="K79" t="s">
        <v>323</v>
      </c>
      <c r="L79" s="7" t="str">
        <f t="shared" si="2"/>
        <v>Yes</v>
      </c>
      <c r="M79" s="16">
        <f t="shared" ca="1" si="3"/>
        <v>0</v>
      </c>
    </row>
    <row r="80" spans="1:13">
      <c r="A80" t="s">
        <v>1060</v>
      </c>
      <c r="B80" t="s">
        <v>63</v>
      </c>
      <c r="C80" t="s">
        <v>417</v>
      </c>
      <c r="D80" t="s">
        <v>1258</v>
      </c>
      <c r="E80" s="4">
        <v>45901.25</v>
      </c>
      <c r="F80">
        <v>8</v>
      </c>
      <c r="G80">
        <v>1.7</v>
      </c>
      <c r="H80">
        <v>67.8</v>
      </c>
      <c r="I80" t="s">
        <v>1259</v>
      </c>
      <c r="J80" t="s">
        <v>374</v>
      </c>
      <c r="K80" t="s">
        <v>335</v>
      </c>
      <c r="L80" s="7" t="str">
        <f t="shared" si="2"/>
        <v>Yes</v>
      </c>
      <c r="M80" s="16">
        <f t="shared" ca="1" si="3"/>
        <v>0</v>
      </c>
    </row>
    <row r="81" spans="1:13">
      <c r="A81" t="s">
        <v>1300</v>
      </c>
      <c r="B81" t="s">
        <v>223</v>
      </c>
      <c r="C81" t="s">
        <v>476</v>
      </c>
      <c r="D81" t="s">
        <v>1261</v>
      </c>
      <c r="E81" s="4">
        <v>45883.083333333343</v>
      </c>
      <c r="F81">
        <v>24</v>
      </c>
      <c r="G81">
        <v>2.7</v>
      </c>
      <c r="H81">
        <v>97.1</v>
      </c>
      <c r="I81" t="s">
        <v>1259</v>
      </c>
      <c r="J81" t="s">
        <v>400</v>
      </c>
      <c r="K81" t="s">
        <v>335</v>
      </c>
      <c r="L81" s="7" t="str">
        <f t="shared" si="2"/>
        <v>Yes</v>
      </c>
      <c r="M81" s="16">
        <f t="shared" ca="1" si="3"/>
        <v>0</v>
      </c>
    </row>
    <row r="82" spans="1:13">
      <c r="A82" t="s">
        <v>657</v>
      </c>
      <c r="B82" t="s">
        <v>73</v>
      </c>
      <c r="C82" t="s">
        <v>443</v>
      </c>
      <c r="D82" t="s">
        <v>1261</v>
      </c>
      <c r="E82" s="4">
        <v>46001.833333333343</v>
      </c>
      <c r="F82">
        <v>4</v>
      </c>
      <c r="G82">
        <v>3</v>
      </c>
      <c r="H82">
        <v>92.3</v>
      </c>
      <c r="I82" t="s">
        <v>1259</v>
      </c>
      <c r="J82" t="s">
        <v>414</v>
      </c>
      <c r="K82" t="s">
        <v>323</v>
      </c>
      <c r="L82" s="7" t="str">
        <f t="shared" si="2"/>
        <v>Yes</v>
      </c>
      <c r="M82" s="16">
        <f t="shared" ca="1" si="3"/>
        <v>0</v>
      </c>
    </row>
    <row r="83" spans="1:13">
      <c r="A83" t="s">
        <v>1301</v>
      </c>
      <c r="B83" t="s">
        <v>168</v>
      </c>
      <c r="C83" t="s">
        <v>384</v>
      </c>
      <c r="D83" t="s">
        <v>1262</v>
      </c>
      <c r="E83" s="4">
        <v>45905.541666666657</v>
      </c>
      <c r="F83">
        <v>72</v>
      </c>
      <c r="G83">
        <v>5.9</v>
      </c>
      <c r="H83">
        <v>5.8</v>
      </c>
      <c r="I83" t="s">
        <v>331</v>
      </c>
      <c r="J83" t="s">
        <v>403</v>
      </c>
      <c r="K83" t="s">
        <v>335</v>
      </c>
      <c r="L83" s="7" t="str">
        <f t="shared" si="2"/>
        <v>No</v>
      </c>
      <c r="M83" s="16">
        <f t="shared" ca="1" si="3"/>
        <v>244.45833333334303</v>
      </c>
    </row>
    <row r="84" spans="1:13">
      <c r="A84" t="s">
        <v>1302</v>
      </c>
      <c r="B84" t="s">
        <v>219</v>
      </c>
      <c r="C84" t="s">
        <v>384</v>
      </c>
      <c r="D84" t="s">
        <v>1258</v>
      </c>
      <c r="E84" s="4">
        <v>45954.458333333343</v>
      </c>
      <c r="F84">
        <v>72</v>
      </c>
      <c r="G84">
        <v>5.8</v>
      </c>
      <c r="H84">
        <v>114.1</v>
      </c>
      <c r="I84" t="s">
        <v>331</v>
      </c>
      <c r="J84" t="s">
        <v>378</v>
      </c>
      <c r="K84" t="s">
        <v>323</v>
      </c>
      <c r="L84" s="7" t="str">
        <f t="shared" si="2"/>
        <v>Yes</v>
      </c>
      <c r="M84" s="16">
        <f t="shared" ca="1" si="3"/>
        <v>195.54166666665697</v>
      </c>
    </row>
    <row r="85" spans="1:13">
      <c r="A85" t="s">
        <v>630</v>
      </c>
      <c r="B85" t="s">
        <v>106</v>
      </c>
      <c r="C85" t="s">
        <v>384</v>
      </c>
      <c r="D85" t="s">
        <v>1262</v>
      </c>
      <c r="E85" s="4">
        <v>46112.083333333343</v>
      </c>
      <c r="F85">
        <v>72</v>
      </c>
      <c r="G85">
        <v>4.2</v>
      </c>
      <c r="H85">
        <v>46.1</v>
      </c>
      <c r="I85" t="s">
        <v>1259</v>
      </c>
      <c r="J85" t="s">
        <v>403</v>
      </c>
      <c r="K85" t="s">
        <v>323</v>
      </c>
      <c r="L85" s="7" t="str">
        <f t="shared" si="2"/>
        <v>No</v>
      </c>
      <c r="M85" s="16">
        <f t="shared" ca="1" si="3"/>
        <v>0</v>
      </c>
    </row>
    <row r="86" spans="1:13">
      <c r="A86" t="s">
        <v>655</v>
      </c>
      <c r="B86" t="s">
        <v>89</v>
      </c>
      <c r="C86" t="s">
        <v>381</v>
      </c>
      <c r="D86" t="s">
        <v>1266</v>
      </c>
      <c r="E86" s="4">
        <v>46011.75</v>
      </c>
      <c r="F86">
        <v>4</v>
      </c>
      <c r="G86">
        <v>5.4</v>
      </c>
      <c r="H86">
        <v>3.7</v>
      </c>
      <c r="I86" t="s">
        <v>1265</v>
      </c>
      <c r="J86" t="s">
        <v>378</v>
      </c>
      <c r="K86" t="s">
        <v>323</v>
      </c>
      <c r="L86" s="7" t="str">
        <f t="shared" si="2"/>
        <v>No</v>
      </c>
      <c r="M86" s="16">
        <f t="shared" ca="1" si="3"/>
        <v>138.25</v>
      </c>
    </row>
    <row r="87" spans="1:13">
      <c r="A87" t="s">
        <v>1303</v>
      </c>
      <c r="B87" t="s">
        <v>23</v>
      </c>
      <c r="C87" t="s">
        <v>392</v>
      </c>
      <c r="D87" t="s">
        <v>1261</v>
      </c>
      <c r="E87" s="4">
        <v>46131.541666666657</v>
      </c>
      <c r="F87">
        <v>72</v>
      </c>
      <c r="G87">
        <v>4.2</v>
      </c>
      <c r="H87">
        <v>68.3</v>
      </c>
      <c r="I87" t="s">
        <v>1259</v>
      </c>
      <c r="J87" t="s">
        <v>393</v>
      </c>
      <c r="K87" t="s">
        <v>323</v>
      </c>
      <c r="L87" s="7" t="str">
        <f t="shared" si="2"/>
        <v>No</v>
      </c>
      <c r="M87" s="16">
        <f t="shared" ca="1" si="3"/>
        <v>0</v>
      </c>
    </row>
    <row r="88" spans="1:13">
      <c r="A88" t="s">
        <v>1214</v>
      </c>
      <c r="B88" t="s">
        <v>196</v>
      </c>
      <c r="C88" t="s">
        <v>365</v>
      </c>
      <c r="D88" t="s">
        <v>1261</v>
      </c>
      <c r="E88" s="4">
        <v>46046.375</v>
      </c>
      <c r="F88">
        <v>48</v>
      </c>
      <c r="G88">
        <v>0.7</v>
      </c>
      <c r="H88">
        <v>10.7</v>
      </c>
      <c r="I88" t="s">
        <v>1259</v>
      </c>
      <c r="J88" t="s">
        <v>440</v>
      </c>
      <c r="K88" t="s">
        <v>335</v>
      </c>
      <c r="L88" s="7" t="str">
        <f t="shared" si="2"/>
        <v>No</v>
      </c>
      <c r="M88" s="16">
        <f t="shared" ca="1" si="3"/>
        <v>0</v>
      </c>
    </row>
    <row r="89" spans="1:13">
      <c r="A89" t="s">
        <v>1200</v>
      </c>
      <c r="B89" t="s">
        <v>192</v>
      </c>
      <c r="C89" t="s">
        <v>417</v>
      </c>
      <c r="D89" t="s">
        <v>1262</v>
      </c>
      <c r="E89" s="4">
        <v>45999.916666666657</v>
      </c>
      <c r="F89">
        <v>24</v>
      </c>
      <c r="G89">
        <v>4.8</v>
      </c>
      <c r="H89">
        <v>66.3</v>
      </c>
      <c r="I89" t="s">
        <v>1263</v>
      </c>
      <c r="J89" t="s">
        <v>403</v>
      </c>
      <c r="K89" t="s">
        <v>335</v>
      </c>
      <c r="L89" s="7" t="str">
        <f t="shared" si="2"/>
        <v>Yes</v>
      </c>
      <c r="M89" s="16">
        <f t="shared" ca="1" si="3"/>
        <v>150.08333333334303</v>
      </c>
    </row>
    <row r="90" spans="1:13">
      <c r="A90" t="s">
        <v>1304</v>
      </c>
      <c r="B90" t="s">
        <v>193</v>
      </c>
      <c r="C90" t="s">
        <v>476</v>
      </c>
      <c r="D90" t="s">
        <v>1261</v>
      </c>
      <c r="E90" s="4">
        <v>45962.583333333343</v>
      </c>
      <c r="F90">
        <v>4</v>
      </c>
      <c r="G90">
        <v>1.9</v>
      </c>
      <c r="H90">
        <v>35.4</v>
      </c>
      <c r="I90" t="s">
        <v>1265</v>
      </c>
      <c r="J90" t="s">
        <v>393</v>
      </c>
      <c r="K90" t="s">
        <v>335</v>
      </c>
      <c r="L90" s="7" t="str">
        <f t="shared" si="2"/>
        <v>Yes</v>
      </c>
      <c r="M90" s="16">
        <f t="shared" ca="1" si="3"/>
        <v>187.41666666665697</v>
      </c>
    </row>
    <row r="91" spans="1:13">
      <c r="A91" t="s">
        <v>1305</v>
      </c>
      <c r="B91" t="s">
        <v>82</v>
      </c>
      <c r="C91" t="s">
        <v>443</v>
      </c>
      <c r="D91" t="s">
        <v>1258</v>
      </c>
      <c r="E91" s="4">
        <v>45920.416666666657</v>
      </c>
      <c r="F91">
        <v>72</v>
      </c>
      <c r="G91">
        <v>4.7</v>
      </c>
      <c r="H91">
        <v>27.8</v>
      </c>
      <c r="I91" t="s">
        <v>331</v>
      </c>
      <c r="J91" t="s">
        <v>414</v>
      </c>
      <c r="K91" t="s">
        <v>335</v>
      </c>
      <c r="L91" s="7" t="str">
        <f t="shared" si="2"/>
        <v>No</v>
      </c>
      <c r="M91" s="16">
        <f t="shared" ca="1" si="3"/>
        <v>229.58333333334303</v>
      </c>
    </row>
    <row r="92" spans="1:13">
      <c r="A92" t="s">
        <v>1306</v>
      </c>
      <c r="B92" t="s">
        <v>87</v>
      </c>
      <c r="C92" t="s">
        <v>467</v>
      </c>
      <c r="D92" t="s">
        <v>1258</v>
      </c>
      <c r="E92" s="4">
        <v>45885.5</v>
      </c>
      <c r="F92">
        <v>72</v>
      </c>
      <c r="G92">
        <v>3.1</v>
      </c>
      <c r="H92">
        <v>34.5</v>
      </c>
      <c r="I92" t="s">
        <v>1259</v>
      </c>
      <c r="J92" t="s">
        <v>387</v>
      </c>
      <c r="K92" t="s">
        <v>328</v>
      </c>
      <c r="L92" s="7" t="str">
        <f t="shared" si="2"/>
        <v>No</v>
      </c>
      <c r="M92" s="16">
        <f t="shared" ca="1" si="3"/>
        <v>0</v>
      </c>
    </row>
    <row r="93" spans="1:13">
      <c r="A93" t="s">
        <v>437</v>
      </c>
      <c r="B93" t="s">
        <v>225</v>
      </c>
      <c r="C93" t="s">
        <v>365</v>
      </c>
      <c r="D93" t="s">
        <v>1262</v>
      </c>
      <c r="E93" s="4">
        <v>46079.375</v>
      </c>
      <c r="F93">
        <v>72</v>
      </c>
      <c r="G93">
        <v>0.3</v>
      </c>
      <c r="H93">
        <v>9.6999999999999993</v>
      </c>
      <c r="I93" t="s">
        <v>331</v>
      </c>
      <c r="J93" t="s">
        <v>393</v>
      </c>
      <c r="K93" t="s">
        <v>323</v>
      </c>
      <c r="L93" s="7" t="str">
        <f t="shared" si="2"/>
        <v>No</v>
      </c>
      <c r="M93" s="16">
        <f t="shared" ca="1" si="3"/>
        <v>70.625</v>
      </c>
    </row>
    <row r="94" spans="1:13">
      <c r="A94" t="s">
        <v>931</v>
      </c>
      <c r="B94" t="s">
        <v>351</v>
      </c>
      <c r="C94" t="s">
        <v>369</v>
      </c>
      <c r="D94" t="s">
        <v>1258</v>
      </c>
      <c r="E94" s="4">
        <v>46044.041666666657</v>
      </c>
      <c r="F94">
        <v>72</v>
      </c>
      <c r="G94">
        <v>3.7</v>
      </c>
      <c r="H94">
        <v>50.5</v>
      </c>
      <c r="I94" t="s">
        <v>331</v>
      </c>
      <c r="J94" t="s">
        <v>400</v>
      </c>
      <c r="K94" t="s">
        <v>323</v>
      </c>
      <c r="L94" s="7" t="str">
        <f t="shared" si="2"/>
        <v>No</v>
      </c>
      <c r="M94" s="16">
        <f t="shared" ca="1" si="3"/>
        <v>105.95833333334303</v>
      </c>
    </row>
    <row r="95" spans="1:13">
      <c r="A95" t="s">
        <v>1307</v>
      </c>
      <c r="B95" t="s">
        <v>103</v>
      </c>
      <c r="C95" t="s">
        <v>476</v>
      </c>
      <c r="D95" t="s">
        <v>1261</v>
      </c>
      <c r="E95" s="4">
        <v>45899.166666666657</v>
      </c>
      <c r="F95">
        <v>4</v>
      </c>
      <c r="G95">
        <v>2.7</v>
      </c>
      <c r="H95">
        <v>107.4</v>
      </c>
      <c r="I95" t="s">
        <v>1259</v>
      </c>
      <c r="J95" t="s">
        <v>396</v>
      </c>
      <c r="K95" t="s">
        <v>328</v>
      </c>
      <c r="L95" s="7" t="str">
        <f t="shared" si="2"/>
        <v>Yes</v>
      </c>
      <c r="M95" s="16">
        <f t="shared" ca="1" si="3"/>
        <v>0</v>
      </c>
    </row>
    <row r="96" spans="1:13">
      <c r="A96" t="s">
        <v>1308</v>
      </c>
      <c r="B96" t="s">
        <v>32</v>
      </c>
      <c r="C96" t="s">
        <v>443</v>
      </c>
      <c r="D96" t="s">
        <v>1258</v>
      </c>
      <c r="E96" s="4">
        <v>46095.041666666657</v>
      </c>
      <c r="F96">
        <v>4</v>
      </c>
      <c r="G96">
        <v>0.4</v>
      </c>
      <c r="H96">
        <v>96.7</v>
      </c>
      <c r="I96" t="s">
        <v>1259</v>
      </c>
      <c r="J96" t="s">
        <v>414</v>
      </c>
      <c r="K96" t="s">
        <v>335</v>
      </c>
      <c r="L96" s="7" t="str">
        <f t="shared" si="2"/>
        <v>Yes</v>
      </c>
      <c r="M96" s="16">
        <f t="shared" ca="1" si="3"/>
        <v>0</v>
      </c>
    </row>
    <row r="97" spans="1:13">
      <c r="A97" t="s">
        <v>698</v>
      </c>
      <c r="B97" t="s">
        <v>18</v>
      </c>
      <c r="C97" t="s">
        <v>443</v>
      </c>
      <c r="D97" t="s">
        <v>1262</v>
      </c>
      <c r="E97" s="4">
        <v>45910.416666666657</v>
      </c>
      <c r="F97">
        <v>72</v>
      </c>
      <c r="G97">
        <v>2.2000000000000002</v>
      </c>
      <c r="H97">
        <v>31.2</v>
      </c>
      <c r="I97" t="s">
        <v>1259</v>
      </c>
      <c r="J97" t="s">
        <v>393</v>
      </c>
      <c r="K97" t="s">
        <v>323</v>
      </c>
      <c r="L97" s="7" t="str">
        <f t="shared" si="2"/>
        <v>No</v>
      </c>
      <c r="M97" s="16">
        <f t="shared" ca="1" si="3"/>
        <v>0</v>
      </c>
    </row>
    <row r="98" spans="1:13">
      <c r="A98" t="s">
        <v>1309</v>
      </c>
      <c r="B98" t="s">
        <v>217</v>
      </c>
      <c r="C98" t="s">
        <v>476</v>
      </c>
      <c r="D98" t="s">
        <v>1262</v>
      </c>
      <c r="E98" s="4">
        <v>46111.625</v>
      </c>
      <c r="F98">
        <v>72</v>
      </c>
      <c r="G98">
        <v>2.1</v>
      </c>
      <c r="H98">
        <v>62.9</v>
      </c>
      <c r="I98" t="s">
        <v>1259</v>
      </c>
      <c r="J98" t="s">
        <v>378</v>
      </c>
      <c r="K98" t="s">
        <v>328</v>
      </c>
      <c r="L98" s="7" t="str">
        <f t="shared" si="2"/>
        <v>No</v>
      </c>
      <c r="M98" s="16">
        <f t="shared" ca="1" si="3"/>
        <v>0</v>
      </c>
    </row>
    <row r="99" spans="1:13">
      <c r="A99" t="s">
        <v>731</v>
      </c>
      <c r="B99" t="s">
        <v>247</v>
      </c>
      <c r="C99" t="s">
        <v>443</v>
      </c>
      <c r="D99" t="s">
        <v>1258</v>
      </c>
      <c r="E99" s="4">
        <v>45852.791666666657</v>
      </c>
      <c r="F99">
        <v>48</v>
      </c>
      <c r="G99">
        <v>1.9</v>
      </c>
      <c r="H99">
        <v>89.1</v>
      </c>
      <c r="I99" t="s">
        <v>1263</v>
      </c>
      <c r="J99" t="s">
        <v>374</v>
      </c>
      <c r="K99" t="s">
        <v>323</v>
      </c>
      <c r="L99" s="7" t="str">
        <f t="shared" si="2"/>
        <v>Yes</v>
      </c>
      <c r="M99" s="16">
        <f t="shared" ca="1" si="3"/>
        <v>297.20833333334303</v>
      </c>
    </row>
    <row r="100" spans="1:13">
      <c r="A100" t="s">
        <v>1310</v>
      </c>
      <c r="B100" t="s">
        <v>80</v>
      </c>
      <c r="C100" t="s">
        <v>381</v>
      </c>
      <c r="D100" t="s">
        <v>1261</v>
      </c>
      <c r="E100" s="4">
        <v>46084.208333333343</v>
      </c>
      <c r="F100">
        <v>72</v>
      </c>
      <c r="G100">
        <v>4.2</v>
      </c>
      <c r="H100">
        <v>84.4</v>
      </c>
      <c r="I100" t="s">
        <v>1259</v>
      </c>
      <c r="J100" t="s">
        <v>403</v>
      </c>
      <c r="K100" t="s">
        <v>323</v>
      </c>
      <c r="L100" s="7" t="str">
        <f t="shared" si="2"/>
        <v>Yes</v>
      </c>
      <c r="M100" s="16">
        <f t="shared" ca="1" si="3"/>
        <v>0</v>
      </c>
    </row>
    <row r="101" spans="1:13">
      <c r="A101" t="s">
        <v>873</v>
      </c>
      <c r="B101" t="s">
        <v>186</v>
      </c>
      <c r="C101" t="s">
        <v>373</v>
      </c>
      <c r="D101" t="s">
        <v>1262</v>
      </c>
      <c r="E101" s="4">
        <v>45895.25</v>
      </c>
      <c r="F101">
        <v>4</v>
      </c>
      <c r="G101">
        <v>3</v>
      </c>
      <c r="H101">
        <v>33.1</v>
      </c>
      <c r="I101" t="s">
        <v>1259</v>
      </c>
      <c r="J101" t="s">
        <v>366</v>
      </c>
      <c r="K101" t="s">
        <v>335</v>
      </c>
      <c r="L101" s="7" t="str">
        <f t="shared" si="2"/>
        <v>Yes</v>
      </c>
      <c r="M101" s="16">
        <f t="shared" ca="1" si="3"/>
        <v>0</v>
      </c>
    </row>
    <row r="102" spans="1:13">
      <c r="A102" t="s">
        <v>1311</v>
      </c>
      <c r="B102" t="s">
        <v>25</v>
      </c>
      <c r="C102" t="s">
        <v>443</v>
      </c>
      <c r="D102" t="s">
        <v>1266</v>
      </c>
      <c r="E102" s="4">
        <v>45870.916666666657</v>
      </c>
      <c r="F102">
        <v>8</v>
      </c>
      <c r="G102">
        <v>3.5</v>
      </c>
      <c r="H102">
        <v>43.8</v>
      </c>
      <c r="I102" t="s">
        <v>1263</v>
      </c>
      <c r="J102" t="s">
        <v>440</v>
      </c>
      <c r="K102" t="s">
        <v>323</v>
      </c>
      <c r="L102" s="7" t="str">
        <f t="shared" si="2"/>
        <v>Yes</v>
      </c>
      <c r="M102" s="16">
        <f t="shared" ca="1" si="3"/>
        <v>279.08333333334303</v>
      </c>
    </row>
    <row r="103" spans="1:13">
      <c r="A103" t="s">
        <v>1141</v>
      </c>
      <c r="B103" t="s">
        <v>67</v>
      </c>
      <c r="C103" t="s">
        <v>417</v>
      </c>
      <c r="D103" t="s">
        <v>1266</v>
      </c>
      <c r="E103" s="4">
        <v>46074.708333333343</v>
      </c>
      <c r="F103">
        <v>24</v>
      </c>
      <c r="G103">
        <v>3.6</v>
      </c>
      <c r="H103">
        <v>52.4</v>
      </c>
      <c r="I103" t="s">
        <v>1259</v>
      </c>
      <c r="J103" t="s">
        <v>378</v>
      </c>
      <c r="K103" t="s">
        <v>323</v>
      </c>
      <c r="L103" s="7" t="str">
        <f t="shared" si="2"/>
        <v>Yes</v>
      </c>
      <c r="M103" s="16">
        <f t="shared" ca="1" si="3"/>
        <v>0</v>
      </c>
    </row>
    <row r="104" spans="1:13">
      <c r="A104" t="s">
        <v>899</v>
      </c>
      <c r="B104" t="s">
        <v>183</v>
      </c>
      <c r="C104" t="s">
        <v>381</v>
      </c>
      <c r="D104" t="s">
        <v>1261</v>
      </c>
      <c r="E104" s="4">
        <v>46086.25</v>
      </c>
      <c r="F104">
        <v>8</v>
      </c>
      <c r="G104">
        <v>2</v>
      </c>
      <c r="H104">
        <v>42.1</v>
      </c>
      <c r="I104" t="s">
        <v>1263</v>
      </c>
      <c r="J104" t="s">
        <v>393</v>
      </c>
      <c r="K104" t="s">
        <v>335</v>
      </c>
      <c r="L104" s="7" t="str">
        <f t="shared" si="2"/>
        <v>Yes</v>
      </c>
      <c r="M104" s="16">
        <f t="shared" ca="1" si="3"/>
        <v>63.75</v>
      </c>
    </row>
    <row r="105" spans="1:13">
      <c r="A105" t="s">
        <v>1312</v>
      </c>
      <c r="B105" t="s">
        <v>101</v>
      </c>
      <c r="C105" t="s">
        <v>377</v>
      </c>
      <c r="D105" t="s">
        <v>1262</v>
      </c>
      <c r="E105" s="4">
        <v>46089.416666666657</v>
      </c>
      <c r="F105">
        <v>48</v>
      </c>
      <c r="G105">
        <v>2.4</v>
      </c>
      <c r="H105">
        <v>71.8</v>
      </c>
      <c r="I105" t="s">
        <v>1259</v>
      </c>
      <c r="J105" t="s">
        <v>393</v>
      </c>
      <c r="K105" t="s">
        <v>335</v>
      </c>
      <c r="L105" s="7" t="str">
        <f t="shared" si="2"/>
        <v>Yes</v>
      </c>
      <c r="M105" s="16">
        <f t="shared" ca="1" si="3"/>
        <v>0</v>
      </c>
    </row>
    <row r="106" spans="1:13">
      <c r="A106" t="s">
        <v>1313</v>
      </c>
      <c r="B106" t="s">
        <v>121</v>
      </c>
      <c r="C106" t="s">
        <v>443</v>
      </c>
      <c r="D106" t="s">
        <v>1262</v>
      </c>
      <c r="E106" s="4">
        <v>46033.5</v>
      </c>
      <c r="F106">
        <v>24</v>
      </c>
      <c r="G106">
        <v>6.2</v>
      </c>
      <c r="H106">
        <v>62.1</v>
      </c>
      <c r="I106" t="s">
        <v>331</v>
      </c>
      <c r="J106" t="s">
        <v>393</v>
      </c>
      <c r="K106" t="s">
        <v>323</v>
      </c>
      <c r="L106" s="7" t="str">
        <f t="shared" si="2"/>
        <v>Yes</v>
      </c>
      <c r="M106" s="16">
        <f t="shared" ca="1" si="3"/>
        <v>116.5</v>
      </c>
    </row>
    <row r="107" spans="1:13">
      <c r="A107" t="s">
        <v>1205</v>
      </c>
      <c r="B107" t="s">
        <v>105</v>
      </c>
      <c r="C107" t="s">
        <v>417</v>
      </c>
      <c r="D107" t="s">
        <v>1266</v>
      </c>
      <c r="E107" s="4">
        <v>45970.958333333343</v>
      </c>
      <c r="F107">
        <v>48</v>
      </c>
      <c r="G107">
        <v>1.5</v>
      </c>
      <c r="H107">
        <v>63.9</v>
      </c>
      <c r="I107" t="s">
        <v>331</v>
      </c>
      <c r="J107" t="s">
        <v>414</v>
      </c>
      <c r="K107" t="s">
        <v>323</v>
      </c>
      <c r="L107" s="7" t="str">
        <f t="shared" si="2"/>
        <v>Yes</v>
      </c>
      <c r="M107" s="16">
        <f t="shared" ca="1" si="3"/>
        <v>179.04166666665697</v>
      </c>
    </row>
    <row r="108" spans="1:13">
      <c r="A108" t="s">
        <v>1220</v>
      </c>
      <c r="B108" t="s">
        <v>131</v>
      </c>
      <c r="C108" t="s">
        <v>384</v>
      </c>
      <c r="D108" t="s">
        <v>1261</v>
      </c>
      <c r="E108" s="4">
        <v>46139.291666666657</v>
      </c>
      <c r="F108">
        <v>8</v>
      </c>
      <c r="G108">
        <v>0.5</v>
      </c>
      <c r="H108">
        <v>121.9</v>
      </c>
      <c r="I108" t="s">
        <v>331</v>
      </c>
      <c r="J108" t="s">
        <v>366</v>
      </c>
      <c r="K108" t="s">
        <v>328</v>
      </c>
      <c r="L108" s="7" t="str">
        <f t="shared" si="2"/>
        <v>Yes</v>
      </c>
      <c r="M108" s="16">
        <f t="shared" ca="1" si="3"/>
        <v>10.708333333343035</v>
      </c>
    </row>
    <row r="109" spans="1:13">
      <c r="A109" t="s">
        <v>1314</v>
      </c>
      <c r="B109" t="s">
        <v>118</v>
      </c>
      <c r="C109" t="s">
        <v>369</v>
      </c>
      <c r="D109" t="s">
        <v>1258</v>
      </c>
      <c r="E109" s="4">
        <v>46080.125</v>
      </c>
      <c r="F109">
        <v>8</v>
      </c>
      <c r="G109">
        <v>0.2</v>
      </c>
      <c r="H109">
        <v>75.2</v>
      </c>
      <c r="I109" t="s">
        <v>1263</v>
      </c>
      <c r="J109" t="s">
        <v>400</v>
      </c>
      <c r="K109" t="s">
        <v>323</v>
      </c>
      <c r="L109" s="7" t="str">
        <f t="shared" si="2"/>
        <v>Yes</v>
      </c>
      <c r="M109" s="16">
        <f t="shared" ca="1" si="3"/>
        <v>69.875</v>
      </c>
    </row>
    <row r="110" spans="1:13">
      <c r="A110" t="s">
        <v>1198</v>
      </c>
      <c r="B110" t="s">
        <v>56</v>
      </c>
      <c r="C110" t="s">
        <v>365</v>
      </c>
      <c r="D110" t="s">
        <v>1258</v>
      </c>
      <c r="E110" s="4">
        <v>45941.375</v>
      </c>
      <c r="F110">
        <v>24</v>
      </c>
      <c r="G110">
        <v>2</v>
      </c>
      <c r="H110">
        <v>10.6</v>
      </c>
      <c r="I110" t="s">
        <v>1259</v>
      </c>
      <c r="J110" t="s">
        <v>378</v>
      </c>
      <c r="K110" t="s">
        <v>323</v>
      </c>
      <c r="L110" s="7" t="str">
        <f t="shared" si="2"/>
        <v>No</v>
      </c>
      <c r="M110" s="16">
        <f t="shared" ca="1" si="3"/>
        <v>0</v>
      </c>
    </row>
    <row r="111" spans="1:13">
      <c r="A111" t="s">
        <v>1315</v>
      </c>
      <c r="B111" t="s">
        <v>80</v>
      </c>
      <c r="C111" t="s">
        <v>476</v>
      </c>
      <c r="D111" t="s">
        <v>1262</v>
      </c>
      <c r="E111" s="4">
        <v>45858.208333333343</v>
      </c>
      <c r="F111">
        <v>48</v>
      </c>
      <c r="G111">
        <v>5.8</v>
      </c>
      <c r="H111">
        <v>14.8</v>
      </c>
      <c r="I111" t="s">
        <v>1263</v>
      </c>
      <c r="J111" t="s">
        <v>400</v>
      </c>
      <c r="K111" t="s">
        <v>335</v>
      </c>
      <c r="L111" s="7" t="str">
        <f t="shared" si="2"/>
        <v>No</v>
      </c>
      <c r="M111" s="16">
        <f t="shared" ca="1" si="3"/>
        <v>291.79166666665697</v>
      </c>
    </row>
    <row r="112" spans="1:13">
      <c r="A112" t="s">
        <v>777</v>
      </c>
      <c r="B112" t="s">
        <v>133</v>
      </c>
      <c r="C112" t="s">
        <v>381</v>
      </c>
      <c r="D112" t="s">
        <v>1266</v>
      </c>
      <c r="E112" s="4">
        <v>45987.041666666657</v>
      </c>
      <c r="F112">
        <v>4</v>
      </c>
      <c r="G112">
        <v>2.1</v>
      </c>
      <c r="H112">
        <v>46.9</v>
      </c>
      <c r="I112" t="s">
        <v>1263</v>
      </c>
      <c r="J112" t="s">
        <v>396</v>
      </c>
      <c r="K112" t="s">
        <v>335</v>
      </c>
      <c r="L112" s="7" t="str">
        <f t="shared" si="2"/>
        <v>Yes</v>
      </c>
      <c r="M112" s="16">
        <f t="shared" ca="1" si="3"/>
        <v>162.95833333334303</v>
      </c>
    </row>
    <row r="113" spans="1:13">
      <c r="A113" t="s">
        <v>1316</v>
      </c>
      <c r="B113" t="s">
        <v>49</v>
      </c>
      <c r="C113" t="s">
        <v>392</v>
      </c>
      <c r="D113" t="s">
        <v>1258</v>
      </c>
      <c r="E113" s="4">
        <v>46091.166666666657</v>
      </c>
      <c r="F113">
        <v>72</v>
      </c>
      <c r="G113">
        <v>3.1</v>
      </c>
      <c r="H113">
        <v>28.2</v>
      </c>
      <c r="I113" t="s">
        <v>331</v>
      </c>
      <c r="J113" t="s">
        <v>403</v>
      </c>
      <c r="K113" t="s">
        <v>323</v>
      </c>
      <c r="L113" s="7" t="str">
        <f t="shared" si="2"/>
        <v>No</v>
      </c>
      <c r="M113" s="16">
        <f t="shared" ca="1" si="3"/>
        <v>58.833333333343035</v>
      </c>
    </row>
    <row r="114" spans="1:13">
      <c r="A114" t="s">
        <v>879</v>
      </c>
      <c r="B114" t="s">
        <v>49</v>
      </c>
      <c r="C114" t="s">
        <v>392</v>
      </c>
      <c r="D114" t="s">
        <v>1261</v>
      </c>
      <c r="E114" s="4">
        <v>45934</v>
      </c>
      <c r="F114">
        <v>24</v>
      </c>
      <c r="G114">
        <v>5.2</v>
      </c>
      <c r="H114">
        <v>77.5</v>
      </c>
      <c r="I114" t="s">
        <v>1259</v>
      </c>
      <c r="J114" t="s">
        <v>403</v>
      </c>
      <c r="K114" t="s">
        <v>323</v>
      </c>
      <c r="L114" s="7" t="str">
        <f t="shared" si="2"/>
        <v>Yes</v>
      </c>
      <c r="M114" s="16">
        <f t="shared" ca="1" si="3"/>
        <v>0</v>
      </c>
    </row>
    <row r="115" spans="1:13">
      <c r="A115" t="s">
        <v>708</v>
      </c>
      <c r="B115" t="s">
        <v>204</v>
      </c>
      <c r="C115" t="s">
        <v>392</v>
      </c>
      <c r="D115" t="s">
        <v>1262</v>
      </c>
      <c r="E115" s="4">
        <v>46057.666666666657</v>
      </c>
      <c r="F115">
        <v>24</v>
      </c>
      <c r="G115">
        <v>0.7</v>
      </c>
      <c r="H115">
        <v>51.9</v>
      </c>
      <c r="I115" t="s">
        <v>331</v>
      </c>
      <c r="J115" t="s">
        <v>403</v>
      </c>
      <c r="K115" t="s">
        <v>335</v>
      </c>
      <c r="L115" s="7" t="str">
        <f t="shared" si="2"/>
        <v>Yes</v>
      </c>
      <c r="M115" s="16">
        <f t="shared" ca="1" si="3"/>
        <v>92.333333333343035</v>
      </c>
    </row>
    <row r="116" spans="1:13">
      <c r="A116" t="s">
        <v>1317</v>
      </c>
      <c r="B116" t="s">
        <v>171</v>
      </c>
      <c r="C116" t="s">
        <v>377</v>
      </c>
      <c r="D116" t="s">
        <v>1261</v>
      </c>
      <c r="E116" s="4">
        <v>46035.291666666657</v>
      </c>
      <c r="F116">
        <v>48</v>
      </c>
      <c r="G116">
        <v>4.9000000000000004</v>
      </c>
      <c r="H116">
        <v>128.4</v>
      </c>
      <c r="I116" t="s">
        <v>1259</v>
      </c>
      <c r="J116" t="s">
        <v>370</v>
      </c>
      <c r="K116" t="s">
        <v>323</v>
      </c>
      <c r="L116" s="7" t="str">
        <f t="shared" si="2"/>
        <v>Yes</v>
      </c>
      <c r="M116" s="16">
        <f t="shared" ca="1" si="3"/>
        <v>0</v>
      </c>
    </row>
    <row r="117" spans="1:13">
      <c r="A117" t="s">
        <v>1211</v>
      </c>
      <c r="B117" t="s">
        <v>97</v>
      </c>
      <c r="C117" t="s">
        <v>467</v>
      </c>
      <c r="D117" t="s">
        <v>1262</v>
      </c>
      <c r="E117" s="4">
        <v>45959.041666666657</v>
      </c>
      <c r="F117">
        <v>4</v>
      </c>
      <c r="G117">
        <v>3.1</v>
      </c>
      <c r="H117">
        <v>13.6</v>
      </c>
      <c r="I117" t="s">
        <v>1259</v>
      </c>
      <c r="J117" t="s">
        <v>370</v>
      </c>
      <c r="K117" t="s">
        <v>335</v>
      </c>
      <c r="L117" s="7" t="str">
        <f t="shared" si="2"/>
        <v>Yes</v>
      </c>
      <c r="M117" s="16">
        <f t="shared" ca="1" si="3"/>
        <v>0</v>
      </c>
    </row>
    <row r="118" spans="1:13">
      <c r="A118" t="s">
        <v>1318</v>
      </c>
      <c r="B118" t="s">
        <v>27</v>
      </c>
      <c r="C118" t="s">
        <v>399</v>
      </c>
      <c r="D118" t="s">
        <v>1262</v>
      </c>
      <c r="E118" s="4">
        <v>45990.458333333343</v>
      </c>
      <c r="F118">
        <v>72</v>
      </c>
      <c r="G118">
        <v>1.6</v>
      </c>
      <c r="H118">
        <v>73.599999999999994</v>
      </c>
      <c r="I118" t="s">
        <v>1259</v>
      </c>
      <c r="J118" t="s">
        <v>440</v>
      </c>
      <c r="K118" t="s">
        <v>323</v>
      </c>
      <c r="L118" s="7" t="str">
        <f t="shared" si="2"/>
        <v>Yes</v>
      </c>
      <c r="M118" s="16">
        <f t="shared" ca="1" si="3"/>
        <v>0</v>
      </c>
    </row>
    <row r="119" spans="1:13">
      <c r="A119" t="s">
        <v>600</v>
      </c>
      <c r="B119" t="s">
        <v>51</v>
      </c>
      <c r="C119" t="s">
        <v>417</v>
      </c>
      <c r="D119" t="s">
        <v>1258</v>
      </c>
      <c r="E119" s="4">
        <v>46120.625</v>
      </c>
      <c r="F119">
        <v>72</v>
      </c>
      <c r="G119">
        <v>5.3</v>
      </c>
      <c r="H119">
        <v>111.4</v>
      </c>
      <c r="I119" t="s">
        <v>1259</v>
      </c>
      <c r="J119" t="s">
        <v>378</v>
      </c>
      <c r="K119" t="s">
        <v>323</v>
      </c>
      <c r="L119" s="7" t="str">
        <f t="shared" si="2"/>
        <v>Yes</v>
      </c>
      <c r="M119" s="16">
        <f t="shared" ca="1" si="3"/>
        <v>0</v>
      </c>
    </row>
    <row r="120" spans="1:13">
      <c r="A120" t="s">
        <v>941</v>
      </c>
      <c r="B120" t="s">
        <v>227</v>
      </c>
      <c r="C120" t="s">
        <v>399</v>
      </c>
      <c r="D120" t="s">
        <v>1258</v>
      </c>
      <c r="E120" s="4">
        <v>46109.916666666657</v>
      </c>
      <c r="F120">
        <v>24</v>
      </c>
      <c r="G120">
        <v>0.7</v>
      </c>
      <c r="H120">
        <v>77</v>
      </c>
      <c r="I120" t="s">
        <v>1265</v>
      </c>
      <c r="J120" t="s">
        <v>414</v>
      </c>
      <c r="K120" t="s">
        <v>323</v>
      </c>
      <c r="L120" s="7" t="str">
        <f t="shared" si="2"/>
        <v>Yes</v>
      </c>
      <c r="M120" s="16">
        <f t="shared" ca="1" si="3"/>
        <v>40.083333333343035</v>
      </c>
    </row>
    <row r="121" spans="1:13">
      <c r="A121" t="s">
        <v>861</v>
      </c>
      <c r="B121" t="s">
        <v>32</v>
      </c>
      <c r="C121" t="s">
        <v>443</v>
      </c>
      <c r="D121" t="s">
        <v>1258</v>
      </c>
      <c r="E121" s="4">
        <v>45923.416666666657</v>
      </c>
      <c r="F121">
        <v>72</v>
      </c>
      <c r="G121">
        <v>3</v>
      </c>
      <c r="H121">
        <v>92.3</v>
      </c>
      <c r="I121" t="s">
        <v>1259</v>
      </c>
      <c r="J121" t="s">
        <v>440</v>
      </c>
      <c r="K121" t="s">
        <v>328</v>
      </c>
      <c r="L121" s="7" t="str">
        <f t="shared" si="2"/>
        <v>Yes</v>
      </c>
      <c r="M121" s="16">
        <f t="shared" ca="1" si="3"/>
        <v>0</v>
      </c>
    </row>
    <row r="122" spans="1:13">
      <c r="A122" t="s">
        <v>1006</v>
      </c>
      <c r="B122" t="s">
        <v>38</v>
      </c>
      <c r="C122" t="s">
        <v>476</v>
      </c>
      <c r="D122" t="s">
        <v>1258</v>
      </c>
      <c r="E122" s="4">
        <v>45867.583333333343</v>
      </c>
      <c r="F122">
        <v>8</v>
      </c>
      <c r="G122">
        <v>3.4</v>
      </c>
      <c r="H122">
        <v>62.9</v>
      </c>
      <c r="I122" t="s">
        <v>1265</v>
      </c>
      <c r="J122" t="s">
        <v>440</v>
      </c>
      <c r="K122" t="s">
        <v>323</v>
      </c>
      <c r="L122" s="7" t="str">
        <f t="shared" si="2"/>
        <v>Yes</v>
      </c>
      <c r="M122" s="16">
        <f t="shared" ca="1" si="3"/>
        <v>282.41666666665697</v>
      </c>
    </row>
    <row r="123" spans="1:13">
      <c r="A123" t="s">
        <v>1319</v>
      </c>
      <c r="B123" t="s">
        <v>61</v>
      </c>
      <c r="C123" t="s">
        <v>467</v>
      </c>
      <c r="D123" t="s">
        <v>1262</v>
      </c>
      <c r="E123" s="4">
        <v>46041.333333333343</v>
      </c>
      <c r="F123">
        <v>4</v>
      </c>
      <c r="G123">
        <v>4.9000000000000004</v>
      </c>
      <c r="H123">
        <v>45.1</v>
      </c>
      <c r="I123" t="s">
        <v>1265</v>
      </c>
      <c r="J123" t="s">
        <v>396</v>
      </c>
      <c r="K123" t="s">
        <v>323</v>
      </c>
      <c r="L123" s="7" t="str">
        <f t="shared" si="2"/>
        <v>Yes</v>
      </c>
      <c r="M123" s="16">
        <f t="shared" ca="1" si="3"/>
        <v>108.66666666665697</v>
      </c>
    </row>
    <row r="124" spans="1:13">
      <c r="A124" t="s">
        <v>1320</v>
      </c>
      <c r="B124" t="s">
        <v>114</v>
      </c>
      <c r="C124" t="s">
        <v>476</v>
      </c>
      <c r="D124" t="s">
        <v>1266</v>
      </c>
      <c r="E124" s="4">
        <v>45874.625</v>
      </c>
      <c r="F124">
        <v>4</v>
      </c>
      <c r="G124">
        <v>2</v>
      </c>
      <c r="H124">
        <v>15.1</v>
      </c>
      <c r="I124" t="s">
        <v>331</v>
      </c>
      <c r="J124" t="s">
        <v>378</v>
      </c>
      <c r="K124" t="s">
        <v>323</v>
      </c>
      <c r="L124" s="7" t="str">
        <f t="shared" si="2"/>
        <v>Yes</v>
      </c>
      <c r="M124" s="16">
        <f t="shared" ca="1" si="3"/>
        <v>275.375</v>
      </c>
    </row>
    <row r="125" spans="1:13">
      <c r="A125" t="s">
        <v>423</v>
      </c>
      <c r="B125" t="s">
        <v>34</v>
      </c>
      <c r="C125" t="s">
        <v>369</v>
      </c>
      <c r="D125" t="s">
        <v>1258</v>
      </c>
      <c r="E125" s="4">
        <v>46034.583333333343</v>
      </c>
      <c r="F125">
        <v>48</v>
      </c>
      <c r="G125">
        <v>2.6</v>
      </c>
      <c r="H125">
        <v>92.6</v>
      </c>
      <c r="I125" t="s">
        <v>1259</v>
      </c>
      <c r="J125" t="s">
        <v>414</v>
      </c>
      <c r="K125" t="s">
        <v>328</v>
      </c>
      <c r="L125" s="7" t="str">
        <f t="shared" si="2"/>
        <v>Yes</v>
      </c>
      <c r="M125" s="16">
        <f t="shared" ca="1" si="3"/>
        <v>0</v>
      </c>
    </row>
    <row r="126" spans="1:13">
      <c r="A126" t="s">
        <v>1321</v>
      </c>
      <c r="B126" t="s">
        <v>173</v>
      </c>
      <c r="C126" t="s">
        <v>417</v>
      </c>
      <c r="D126" t="s">
        <v>1261</v>
      </c>
      <c r="E126" s="4">
        <v>46114.5</v>
      </c>
      <c r="F126">
        <v>72</v>
      </c>
      <c r="G126">
        <v>1</v>
      </c>
      <c r="H126">
        <v>131.6</v>
      </c>
      <c r="I126" t="s">
        <v>1259</v>
      </c>
      <c r="J126" t="s">
        <v>387</v>
      </c>
      <c r="K126" t="s">
        <v>335</v>
      </c>
      <c r="L126" s="7" t="str">
        <f t="shared" si="2"/>
        <v>Yes</v>
      </c>
      <c r="M126" s="16">
        <f t="shared" ca="1" si="3"/>
        <v>0</v>
      </c>
    </row>
    <row r="127" spans="1:13">
      <c r="A127" t="s">
        <v>391</v>
      </c>
      <c r="B127" t="s">
        <v>223</v>
      </c>
      <c r="C127" t="s">
        <v>392</v>
      </c>
      <c r="D127" t="s">
        <v>1262</v>
      </c>
      <c r="E127" s="4">
        <v>46056.708333333343</v>
      </c>
      <c r="F127">
        <v>48</v>
      </c>
      <c r="G127">
        <v>5.4</v>
      </c>
      <c r="H127">
        <v>20.2</v>
      </c>
      <c r="I127" t="s">
        <v>1259</v>
      </c>
      <c r="J127" t="s">
        <v>393</v>
      </c>
      <c r="K127" t="s">
        <v>328</v>
      </c>
      <c r="L127" s="7" t="str">
        <f t="shared" si="2"/>
        <v>No</v>
      </c>
      <c r="M127" s="16">
        <f t="shared" ca="1" si="3"/>
        <v>0</v>
      </c>
    </row>
    <row r="128" spans="1:13">
      <c r="A128" t="s">
        <v>959</v>
      </c>
      <c r="B128" t="s">
        <v>56</v>
      </c>
      <c r="C128" t="s">
        <v>381</v>
      </c>
      <c r="D128" t="s">
        <v>1262</v>
      </c>
      <c r="E128" s="4">
        <v>45855.875</v>
      </c>
      <c r="F128">
        <v>48</v>
      </c>
      <c r="G128">
        <v>4.0999999999999996</v>
      </c>
      <c r="H128">
        <v>72</v>
      </c>
      <c r="I128" t="s">
        <v>1259</v>
      </c>
      <c r="J128" t="s">
        <v>366</v>
      </c>
      <c r="K128" t="s">
        <v>328</v>
      </c>
      <c r="L128" s="7" t="str">
        <f t="shared" si="2"/>
        <v>Yes</v>
      </c>
      <c r="M128" s="16">
        <f t="shared" ca="1" si="3"/>
        <v>0</v>
      </c>
    </row>
    <row r="129" spans="1:13">
      <c r="A129" t="s">
        <v>756</v>
      </c>
      <c r="B129" t="s">
        <v>114</v>
      </c>
      <c r="C129" t="s">
        <v>399</v>
      </c>
      <c r="D129" t="s">
        <v>1262</v>
      </c>
      <c r="E129" s="4">
        <v>46067.791666666657</v>
      </c>
      <c r="F129">
        <v>4</v>
      </c>
      <c r="G129">
        <v>1.7</v>
      </c>
      <c r="H129">
        <v>4.9000000000000004</v>
      </c>
      <c r="I129" t="s">
        <v>1259</v>
      </c>
      <c r="J129" t="s">
        <v>414</v>
      </c>
      <c r="K129" t="s">
        <v>328</v>
      </c>
      <c r="L129" s="7" t="str">
        <f t="shared" si="2"/>
        <v>Yes</v>
      </c>
      <c r="M129" s="16">
        <f t="shared" ca="1" si="3"/>
        <v>0</v>
      </c>
    </row>
    <row r="130" spans="1:13">
      <c r="A130" t="s">
        <v>820</v>
      </c>
      <c r="B130" t="s">
        <v>124</v>
      </c>
      <c r="C130" t="s">
        <v>373</v>
      </c>
      <c r="D130" t="s">
        <v>1261</v>
      </c>
      <c r="E130" s="4">
        <v>45987.291666666657</v>
      </c>
      <c r="F130">
        <v>72</v>
      </c>
      <c r="G130">
        <v>2.2000000000000002</v>
      </c>
      <c r="H130">
        <v>81.5</v>
      </c>
      <c r="I130" t="s">
        <v>1259</v>
      </c>
      <c r="J130" t="s">
        <v>396</v>
      </c>
      <c r="K130" t="s">
        <v>328</v>
      </c>
      <c r="L130" s="7" t="str">
        <f t="shared" ref="L130:L193" si="4">IF(H130&gt;F130,"Yes","No")</f>
        <v>Yes</v>
      </c>
      <c r="M130" s="16">
        <f t="shared" ref="M130:M193" ca="1" si="5">IF(I130="Closed",0,TODAY()-E130)</f>
        <v>0</v>
      </c>
    </row>
    <row r="131" spans="1:13">
      <c r="A131" t="s">
        <v>1104</v>
      </c>
      <c r="B131" t="s">
        <v>196</v>
      </c>
      <c r="C131" t="s">
        <v>384</v>
      </c>
      <c r="D131" t="s">
        <v>1266</v>
      </c>
      <c r="E131" s="4">
        <v>46105.291666666657</v>
      </c>
      <c r="F131">
        <v>48</v>
      </c>
      <c r="G131">
        <v>2.1</v>
      </c>
      <c r="H131">
        <v>6.2</v>
      </c>
      <c r="I131" t="s">
        <v>1263</v>
      </c>
      <c r="J131" t="s">
        <v>370</v>
      </c>
      <c r="K131" t="s">
        <v>328</v>
      </c>
      <c r="L131" s="7" t="str">
        <f t="shared" si="4"/>
        <v>No</v>
      </c>
      <c r="M131" s="16">
        <f t="shared" ca="1" si="5"/>
        <v>44.708333333343035</v>
      </c>
    </row>
    <row r="132" spans="1:13">
      <c r="A132" t="s">
        <v>554</v>
      </c>
      <c r="B132" t="s">
        <v>140</v>
      </c>
      <c r="C132" t="s">
        <v>392</v>
      </c>
      <c r="D132" t="s">
        <v>1258</v>
      </c>
      <c r="E132" s="4">
        <v>46092.041666666657</v>
      </c>
      <c r="F132">
        <v>24</v>
      </c>
      <c r="G132">
        <v>6.1</v>
      </c>
      <c r="H132">
        <v>91.1</v>
      </c>
      <c r="I132" t="s">
        <v>1259</v>
      </c>
      <c r="J132" t="s">
        <v>396</v>
      </c>
      <c r="K132" t="s">
        <v>323</v>
      </c>
      <c r="L132" s="7" t="str">
        <f t="shared" si="4"/>
        <v>Yes</v>
      </c>
      <c r="M132" s="16">
        <f t="shared" ca="1" si="5"/>
        <v>0</v>
      </c>
    </row>
    <row r="133" spans="1:13">
      <c r="A133" t="s">
        <v>1322</v>
      </c>
      <c r="B133" t="s">
        <v>247</v>
      </c>
      <c r="C133" t="s">
        <v>369</v>
      </c>
      <c r="D133" t="s">
        <v>1261</v>
      </c>
      <c r="E133" s="4">
        <v>46031.208333333343</v>
      </c>
      <c r="F133">
        <v>72</v>
      </c>
      <c r="G133">
        <v>3.2</v>
      </c>
      <c r="H133">
        <v>114.6</v>
      </c>
      <c r="I133" t="s">
        <v>1259</v>
      </c>
      <c r="J133" t="s">
        <v>370</v>
      </c>
      <c r="K133" t="s">
        <v>328</v>
      </c>
      <c r="L133" s="7" t="str">
        <f t="shared" si="4"/>
        <v>Yes</v>
      </c>
      <c r="M133" s="16">
        <f t="shared" ca="1" si="5"/>
        <v>0</v>
      </c>
    </row>
    <row r="134" spans="1:13">
      <c r="A134" t="s">
        <v>364</v>
      </c>
      <c r="B134" t="s">
        <v>61</v>
      </c>
      <c r="C134" t="s">
        <v>365</v>
      </c>
      <c r="D134" t="s">
        <v>1266</v>
      </c>
      <c r="E134" s="4">
        <v>46126.541666666657</v>
      </c>
      <c r="F134">
        <v>48</v>
      </c>
      <c r="G134">
        <v>3.7</v>
      </c>
      <c r="H134">
        <v>11.7</v>
      </c>
      <c r="I134" t="s">
        <v>331</v>
      </c>
      <c r="J134" t="s">
        <v>366</v>
      </c>
      <c r="K134" t="s">
        <v>335</v>
      </c>
      <c r="L134" s="7" t="str">
        <f t="shared" si="4"/>
        <v>No</v>
      </c>
      <c r="M134" s="16">
        <f t="shared" ca="1" si="5"/>
        <v>23.458333333343035</v>
      </c>
    </row>
    <row r="135" spans="1:13">
      <c r="A135" t="s">
        <v>1135</v>
      </c>
      <c r="B135" t="s">
        <v>34</v>
      </c>
      <c r="C135" t="s">
        <v>399</v>
      </c>
      <c r="D135" t="s">
        <v>1266</v>
      </c>
      <c r="E135" s="4">
        <v>46028.083333333343</v>
      </c>
      <c r="F135">
        <v>72</v>
      </c>
      <c r="G135">
        <v>4.8</v>
      </c>
      <c r="H135">
        <v>15.9</v>
      </c>
      <c r="I135" t="s">
        <v>331</v>
      </c>
      <c r="J135" t="s">
        <v>378</v>
      </c>
      <c r="K135" t="s">
        <v>323</v>
      </c>
      <c r="L135" s="7" t="str">
        <f t="shared" si="4"/>
        <v>No</v>
      </c>
      <c r="M135" s="16">
        <f t="shared" ca="1" si="5"/>
        <v>121.91666666665697</v>
      </c>
    </row>
    <row r="136" spans="1:13">
      <c r="A136" t="s">
        <v>1323</v>
      </c>
      <c r="B136" t="s">
        <v>51</v>
      </c>
      <c r="C136" t="s">
        <v>373</v>
      </c>
      <c r="D136" t="s">
        <v>1262</v>
      </c>
      <c r="E136" s="4">
        <v>45935.75</v>
      </c>
      <c r="F136">
        <v>72</v>
      </c>
      <c r="G136">
        <v>1.6</v>
      </c>
      <c r="H136">
        <v>17.3</v>
      </c>
      <c r="I136" t="s">
        <v>1263</v>
      </c>
      <c r="J136" t="s">
        <v>393</v>
      </c>
      <c r="K136" t="s">
        <v>328</v>
      </c>
      <c r="L136" s="7" t="str">
        <f t="shared" si="4"/>
        <v>No</v>
      </c>
      <c r="M136" s="16">
        <f t="shared" ca="1" si="5"/>
        <v>214.25</v>
      </c>
    </row>
    <row r="137" spans="1:13">
      <c r="A137" t="s">
        <v>1324</v>
      </c>
      <c r="B137" t="s">
        <v>301</v>
      </c>
      <c r="C137" t="s">
        <v>377</v>
      </c>
      <c r="D137" t="s">
        <v>1266</v>
      </c>
      <c r="E137" s="4">
        <v>45899.958333333343</v>
      </c>
      <c r="F137">
        <v>48</v>
      </c>
      <c r="G137">
        <v>6</v>
      </c>
      <c r="H137">
        <v>53.9</v>
      </c>
      <c r="I137" t="s">
        <v>1259</v>
      </c>
      <c r="J137" t="s">
        <v>400</v>
      </c>
      <c r="K137" t="s">
        <v>328</v>
      </c>
      <c r="L137" s="7" t="str">
        <f t="shared" si="4"/>
        <v>Yes</v>
      </c>
      <c r="M137" s="16">
        <f t="shared" ca="1" si="5"/>
        <v>0</v>
      </c>
    </row>
    <row r="138" spans="1:13">
      <c r="A138" t="s">
        <v>490</v>
      </c>
      <c r="B138" t="s">
        <v>180</v>
      </c>
      <c r="C138" t="s">
        <v>417</v>
      </c>
      <c r="D138" t="s">
        <v>1262</v>
      </c>
      <c r="E138" s="4">
        <v>46033.583333333343</v>
      </c>
      <c r="F138">
        <v>72</v>
      </c>
      <c r="G138">
        <v>4.3</v>
      </c>
      <c r="H138">
        <v>24.8</v>
      </c>
      <c r="I138" t="s">
        <v>1259</v>
      </c>
      <c r="J138" t="s">
        <v>440</v>
      </c>
      <c r="K138" t="s">
        <v>335</v>
      </c>
      <c r="L138" s="7" t="str">
        <f t="shared" si="4"/>
        <v>No</v>
      </c>
      <c r="M138" s="16">
        <f t="shared" ca="1" si="5"/>
        <v>0</v>
      </c>
    </row>
    <row r="139" spans="1:13">
      <c r="A139" t="s">
        <v>1325</v>
      </c>
      <c r="B139" t="s">
        <v>118</v>
      </c>
      <c r="C139" t="s">
        <v>381</v>
      </c>
      <c r="D139" t="s">
        <v>1258</v>
      </c>
      <c r="E139" s="4">
        <v>46002.25</v>
      </c>
      <c r="F139">
        <v>24</v>
      </c>
      <c r="G139">
        <v>2.2000000000000002</v>
      </c>
      <c r="H139">
        <v>8.8000000000000007</v>
      </c>
      <c r="I139" t="s">
        <v>1259</v>
      </c>
      <c r="J139" t="s">
        <v>370</v>
      </c>
      <c r="K139" t="s">
        <v>328</v>
      </c>
      <c r="L139" s="7" t="str">
        <f t="shared" si="4"/>
        <v>No</v>
      </c>
      <c r="M139" s="16">
        <f t="shared" ca="1" si="5"/>
        <v>0</v>
      </c>
    </row>
    <row r="140" spans="1:13">
      <c r="A140" t="s">
        <v>1326</v>
      </c>
      <c r="B140" t="s">
        <v>116</v>
      </c>
      <c r="C140" t="s">
        <v>467</v>
      </c>
      <c r="D140" t="s">
        <v>1262</v>
      </c>
      <c r="E140" s="4">
        <v>46138.75</v>
      </c>
      <c r="F140">
        <v>48</v>
      </c>
      <c r="G140">
        <v>2.1</v>
      </c>
      <c r="H140">
        <v>16.399999999999999</v>
      </c>
      <c r="I140" t="s">
        <v>331</v>
      </c>
      <c r="J140" t="s">
        <v>374</v>
      </c>
      <c r="K140" t="s">
        <v>328</v>
      </c>
      <c r="L140" s="7" t="str">
        <f t="shared" si="4"/>
        <v>No</v>
      </c>
      <c r="M140" s="16">
        <f t="shared" ca="1" si="5"/>
        <v>11.25</v>
      </c>
    </row>
    <row r="141" spans="1:13">
      <c r="A141" t="s">
        <v>748</v>
      </c>
      <c r="B141" t="s">
        <v>87</v>
      </c>
      <c r="C141" t="s">
        <v>476</v>
      </c>
      <c r="D141" t="s">
        <v>1262</v>
      </c>
      <c r="E141" s="4">
        <v>46011.333333333343</v>
      </c>
      <c r="F141">
        <v>48</v>
      </c>
      <c r="G141">
        <v>6.3</v>
      </c>
      <c r="H141">
        <v>49.9</v>
      </c>
      <c r="I141" t="s">
        <v>1259</v>
      </c>
      <c r="J141" t="s">
        <v>403</v>
      </c>
      <c r="K141" t="s">
        <v>323</v>
      </c>
      <c r="L141" s="7" t="str">
        <f t="shared" si="4"/>
        <v>Yes</v>
      </c>
      <c r="M141" s="16">
        <f t="shared" ca="1" si="5"/>
        <v>0</v>
      </c>
    </row>
    <row r="142" spans="1:13">
      <c r="A142" t="s">
        <v>1327</v>
      </c>
      <c r="B142" t="s">
        <v>120</v>
      </c>
      <c r="C142" t="s">
        <v>417</v>
      </c>
      <c r="D142" t="s">
        <v>1261</v>
      </c>
      <c r="E142" s="4">
        <v>46118.625</v>
      </c>
      <c r="F142">
        <v>8</v>
      </c>
      <c r="G142">
        <v>6</v>
      </c>
      <c r="H142">
        <v>74.099999999999994</v>
      </c>
      <c r="I142" t="s">
        <v>1259</v>
      </c>
      <c r="J142" t="s">
        <v>387</v>
      </c>
      <c r="K142" t="s">
        <v>323</v>
      </c>
      <c r="L142" s="7" t="str">
        <f t="shared" si="4"/>
        <v>Yes</v>
      </c>
      <c r="M142" s="16">
        <f t="shared" ca="1" si="5"/>
        <v>0</v>
      </c>
    </row>
    <row r="143" spans="1:13">
      <c r="A143" t="s">
        <v>402</v>
      </c>
      <c r="B143" t="s">
        <v>57</v>
      </c>
      <c r="C143" t="s">
        <v>399</v>
      </c>
      <c r="D143" t="s">
        <v>1266</v>
      </c>
      <c r="E143" s="4">
        <v>45863</v>
      </c>
      <c r="F143">
        <v>48</v>
      </c>
      <c r="G143">
        <v>1.1000000000000001</v>
      </c>
      <c r="H143">
        <v>49</v>
      </c>
      <c r="I143" t="s">
        <v>1265</v>
      </c>
      <c r="J143" t="s">
        <v>403</v>
      </c>
      <c r="K143" t="s">
        <v>328</v>
      </c>
      <c r="L143" s="7" t="str">
        <f t="shared" si="4"/>
        <v>Yes</v>
      </c>
      <c r="M143" s="16">
        <f t="shared" ca="1" si="5"/>
        <v>287</v>
      </c>
    </row>
    <row r="144" spans="1:13">
      <c r="A144" t="s">
        <v>901</v>
      </c>
      <c r="B144" t="s">
        <v>301</v>
      </c>
      <c r="C144" t="s">
        <v>476</v>
      </c>
      <c r="D144" t="s">
        <v>1258</v>
      </c>
      <c r="E144" s="4">
        <v>45869.791666666657</v>
      </c>
      <c r="F144">
        <v>72</v>
      </c>
      <c r="G144">
        <v>6</v>
      </c>
      <c r="H144">
        <v>89.6</v>
      </c>
      <c r="I144" t="s">
        <v>1265</v>
      </c>
      <c r="J144" t="s">
        <v>414</v>
      </c>
      <c r="K144" t="s">
        <v>323</v>
      </c>
      <c r="L144" s="7" t="str">
        <f t="shared" si="4"/>
        <v>Yes</v>
      </c>
      <c r="M144" s="16">
        <f t="shared" ca="1" si="5"/>
        <v>280.20833333334303</v>
      </c>
    </row>
    <row r="145" spans="1:13">
      <c r="A145" t="s">
        <v>1328</v>
      </c>
      <c r="B145" t="s">
        <v>281</v>
      </c>
      <c r="C145" t="s">
        <v>373</v>
      </c>
      <c r="D145" t="s">
        <v>1261</v>
      </c>
      <c r="E145" s="4">
        <v>45979.708333333343</v>
      </c>
      <c r="F145">
        <v>24</v>
      </c>
      <c r="G145">
        <v>0.3</v>
      </c>
      <c r="H145">
        <v>109.8</v>
      </c>
      <c r="I145" t="s">
        <v>1259</v>
      </c>
      <c r="J145" t="s">
        <v>403</v>
      </c>
      <c r="K145" t="s">
        <v>328</v>
      </c>
      <c r="L145" s="7" t="str">
        <f t="shared" si="4"/>
        <v>Yes</v>
      </c>
      <c r="M145" s="16">
        <f t="shared" ca="1" si="5"/>
        <v>0</v>
      </c>
    </row>
    <row r="146" spans="1:13">
      <c r="A146" t="s">
        <v>1329</v>
      </c>
      <c r="B146" t="s">
        <v>215</v>
      </c>
      <c r="C146" t="s">
        <v>399</v>
      </c>
      <c r="D146" t="s">
        <v>1258</v>
      </c>
      <c r="E146" s="4">
        <v>45962.25</v>
      </c>
      <c r="F146">
        <v>72</v>
      </c>
      <c r="G146">
        <v>3.5</v>
      </c>
      <c r="H146">
        <v>110.1</v>
      </c>
      <c r="I146" t="s">
        <v>331</v>
      </c>
      <c r="J146" t="s">
        <v>400</v>
      </c>
      <c r="K146" t="s">
        <v>328</v>
      </c>
      <c r="L146" s="7" t="str">
        <f t="shared" si="4"/>
        <v>Yes</v>
      </c>
      <c r="M146" s="16">
        <f t="shared" ca="1" si="5"/>
        <v>187.75</v>
      </c>
    </row>
    <row r="147" spans="1:13">
      <c r="A147" t="s">
        <v>1330</v>
      </c>
      <c r="B147" t="s">
        <v>91</v>
      </c>
      <c r="C147" t="s">
        <v>369</v>
      </c>
      <c r="D147" t="s">
        <v>1258</v>
      </c>
      <c r="E147" s="4">
        <v>45963.916666666657</v>
      </c>
      <c r="F147">
        <v>8</v>
      </c>
      <c r="G147">
        <v>2.1</v>
      </c>
      <c r="H147">
        <v>111.8</v>
      </c>
      <c r="I147" t="s">
        <v>1265</v>
      </c>
      <c r="J147" t="s">
        <v>378</v>
      </c>
      <c r="K147" t="s">
        <v>328</v>
      </c>
      <c r="L147" s="7" t="str">
        <f t="shared" si="4"/>
        <v>Yes</v>
      </c>
      <c r="M147" s="16">
        <f t="shared" ca="1" si="5"/>
        <v>186.08333333334303</v>
      </c>
    </row>
    <row r="148" spans="1:13">
      <c r="A148" t="s">
        <v>718</v>
      </c>
      <c r="B148" t="s">
        <v>283</v>
      </c>
      <c r="C148" t="s">
        <v>369</v>
      </c>
      <c r="D148" t="s">
        <v>1258</v>
      </c>
      <c r="E148" s="4">
        <v>46121.625</v>
      </c>
      <c r="F148">
        <v>4</v>
      </c>
      <c r="G148">
        <v>4.2</v>
      </c>
      <c r="H148">
        <v>95.3</v>
      </c>
      <c r="I148" t="s">
        <v>1265</v>
      </c>
      <c r="J148" t="s">
        <v>400</v>
      </c>
      <c r="K148" t="s">
        <v>323</v>
      </c>
      <c r="L148" s="7" t="str">
        <f t="shared" si="4"/>
        <v>Yes</v>
      </c>
      <c r="M148" s="16">
        <f t="shared" ca="1" si="5"/>
        <v>28.375</v>
      </c>
    </row>
    <row r="149" spans="1:13">
      <c r="A149" t="s">
        <v>618</v>
      </c>
      <c r="B149" t="s">
        <v>127</v>
      </c>
      <c r="C149" t="s">
        <v>417</v>
      </c>
      <c r="D149" t="s">
        <v>1262</v>
      </c>
      <c r="E149" s="4">
        <v>45887.666666666657</v>
      </c>
      <c r="F149">
        <v>4</v>
      </c>
      <c r="G149">
        <v>1.6</v>
      </c>
      <c r="H149">
        <v>69.400000000000006</v>
      </c>
      <c r="I149" t="s">
        <v>1259</v>
      </c>
      <c r="J149" t="s">
        <v>374</v>
      </c>
      <c r="K149" t="s">
        <v>335</v>
      </c>
      <c r="L149" s="7" t="str">
        <f t="shared" si="4"/>
        <v>Yes</v>
      </c>
      <c r="M149" s="16">
        <f t="shared" ca="1" si="5"/>
        <v>0</v>
      </c>
    </row>
    <row r="150" spans="1:13">
      <c r="A150" t="s">
        <v>581</v>
      </c>
      <c r="B150" t="s">
        <v>131</v>
      </c>
      <c r="C150" t="s">
        <v>373</v>
      </c>
      <c r="D150" t="s">
        <v>1266</v>
      </c>
      <c r="E150" s="4">
        <v>45982.708333333343</v>
      </c>
      <c r="F150">
        <v>72</v>
      </c>
      <c r="G150">
        <v>4.3</v>
      </c>
      <c r="H150">
        <v>15.1</v>
      </c>
      <c r="I150" t="s">
        <v>1259</v>
      </c>
      <c r="J150" t="s">
        <v>387</v>
      </c>
      <c r="K150" t="s">
        <v>328</v>
      </c>
      <c r="L150" s="7" t="str">
        <f t="shared" si="4"/>
        <v>No</v>
      </c>
      <c r="M150" s="16">
        <f t="shared" ca="1" si="5"/>
        <v>0</v>
      </c>
    </row>
    <row r="151" spans="1:13">
      <c r="A151" t="s">
        <v>577</v>
      </c>
      <c r="B151" t="s">
        <v>168</v>
      </c>
      <c r="C151" t="s">
        <v>384</v>
      </c>
      <c r="D151" t="s">
        <v>1262</v>
      </c>
      <c r="E151" s="4">
        <v>46042.083333333343</v>
      </c>
      <c r="F151">
        <v>24</v>
      </c>
      <c r="G151">
        <v>1.2</v>
      </c>
      <c r="H151">
        <v>19.7</v>
      </c>
      <c r="I151" t="s">
        <v>1259</v>
      </c>
      <c r="J151" t="s">
        <v>400</v>
      </c>
      <c r="K151" t="s">
        <v>323</v>
      </c>
      <c r="L151" s="7" t="str">
        <f t="shared" si="4"/>
        <v>No</v>
      </c>
      <c r="M151" s="16">
        <f t="shared" ca="1" si="5"/>
        <v>0</v>
      </c>
    </row>
    <row r="152" spans="1:13">
      <c r="A152" t="s">
        <v>1226</v>
      </c>
      <c r="B152" t="s">
        <v>155</v>
      </c>
      <c r="C152" t="s">
        <v>476</v>
      </c>
      <c r="D152" t="s">
        <v>1258</v>
      </c>
      <c r="E152" s="4">
        <v>45910.916666666657</v>
      </c>
      <c r="F152">
        <v>4</v>
      </c>
      <c r="G152">
        <v>3.4</v>
      </c>
      <c r="H152">
        <v>131</v>
      </c>
      <c r="I152" t="s">
        <v>1265</v>
      </c>
      <c r="J152" t="s">
        <v>400</v>
      </c>
      <c r="K152" t="s">
        <v>328</v>
      </c>
      <c r="L152" s="7" t="str">
        <f t="shared" si="4"/>
        <v>Yes</v>
      </c>
      <c r="M152" s="16">
        <f t="shared" ca="1" si="5"/>
        <v>239.08333333334303</v>
      </c>
    </row>
    <row r="153" spans="1:13">
      <c r="A153" t="s">
        <v>1331</v>
      </c>
      <c r="B153" t="s">
        <v>138</v>
      </c>
      <c r="C153" t="s">
        <v>399</v>
      </c>
      <c r="D153" t="s">
        <v>1258</v>
      </c>
      <c r="E153" s="4">
        <v>46143.5</v>
      </c>
      <c r="F153">
        <v>24</v>
      </c>
      <c r="G153">
        <v>0.4</v>
      </c>
      <c r="H153">
        <v>38.799999999999997</v>
      </c>
      <c r="I153" t="s">
        <v>1263</v>
      </c>
      <c r="J153" t="s">
        <v>440</v>
      </c>
      <c r="K153" t="s">
        <v>328</v>
      </c>
      <c r="L153" s="7" t="str">
        <f t="shared" si="4"/>
        <v>Yes</v>
      </c>
      <c r="M153" s="16">
        <f t="shared" ca="1" si="5"/>
        <v>6.5</v>
      </c>
    </row>
    <row r="154" spans="1:13">
      <c r="A154" t="s">
        <v>671</v>
      </c>
      <c r="B154" t="s">
        <v>151</v>
      </c>
      <c r="C154" t="s">
        <v>476</v>
      </c>
      <c r="D154" t="s">
        <v>1266</v>
      </c>
      <c r="E154" s="4">
        <v>46060.208333333343</v>
      </c>
      <c r="F154">
        <v>72</v>
      </c>
      <c r="G154">
        <v>4.4000000000000004</v>
      </c>
      <c r="H154">
        <v>8</v>
      </c>
      <c r="I154" t="s">
        <v>1259</v>
      </c>
      <c r="J154" t="s">
        <v>366</v>
      </c>
      <c r="K154" t="s">
        <v>323</v>
      </c>
      <c r="L154" s="7" t="str">
        <f t="shared" si="4"/>
        <v>No</v>
      </c>
      <c r="M154" s="16">
        <f t="shared" ca="1" si="5"/>
        <v>0</v>
      </c>
    </row>
    <row r="155" spans="1:13">
      <c r="A155" t="s">
        <v>1332</v>
      </c>
      <c r="B155" t="s">
        <v>188</v>
      </c>
      <c r="C155" t="s">
        <v>399</v>
      </c>
      <c r="D155" t="s">
        <v>1261</v>
      </c>
      <c r="E155" s="4">
        <v>46033.916666666657</v>
      </c>
      <c r="F155">
        <v>8</v>
      </c>
      <c r="G155">
        <v>4.9000000000000004</v>
      </c>
      <c r="H155">
        <v>44.5</v>
      </c>
      <c r="I155" t="s">
        <v>331</v>
      </c>
      <c r="J155" t="s">
        <v>387</v>
      </c>
      <c r="K155" t="s">
        <v>335</v>
      </c>
      <c r="L155" s="7" t="str">
        <f t="shared" si="4"/>
        <v>Yes</v>
      </c>
      <c r="M155" s="16">
        <f t="shared" ca="1" si="5"/>
        <v>116.08333333334303</v>
      </c>
    </row>
    <row r="156" spans="1:13">
      <c r="A156" t="s">
        <v>1333</v>
      </c>
      <c r="B156" t="s">
        <v>142</v>
      </c>
      <c r="C156" t="s">
        <v>417</v>
      </c>
      <c r="D156" t="s">
        <v>1262</v>
      </c>
      <c r="E156" s="4">
        <v>45891.166666666657</v>
      </c>
      <c r="F156">
        <v>4</v>
      </c>
      <c r="G156">
        <v>1.4</v>
      </c>
      <c r="H156">
        <v>35.4</v>
      </c>
      <c r="I156" t="s">
        <v>1259</v>
      </c>
      <c r="J156" t="s">
        <v>400</v>
      </c>
      <c r="K156" t="s">
        <v>328</v>
      </c>
      <c r="L156" s="7" t="str">
        <f t="shared" si="4"/>
        <v>Yes</v>
      </c>
      <c r="M156" s="16">
        <f t="shared" ca="1" si="5"/>
        <v>0</v>
      </c>
    </row>
    <row r="157" spans="1:13">
      <c r="A157" t="s">
        <v>1334</v>
      </c>
      <c r="B157" t="s">
        <v>94</v>
      </c>
      <c r="C157" t="s">
        <v>399</v>
      </c>
      <c r="D157" t="s">
        <v>1258</v>
      </c>
      <c r="E157" s="4">
        <v>45886.791666666657</v>
      </c>
      <c r="F157">
        <v>72</v>
      </c>
      <c r="G157">
        <v>5.0999999999999996</v>
      </c>
      <c r="H157">
        <v>116.5</v>
      </c>
      <c r="I157" t="s">
        <v>1265</v>
      </c>
      <c r="J157" t="s">
        <v>400</v>
      </c>
      <c r="K157" t="s">
        <v>335</v>
      </c>
      <c r="L157" s="7" t="str">
        <f t="shared" si="4"/>
        <v>Yes</v>
      </c>
      <c r="M157" s="16">
        <f t="shared" ca="1" si="5"/>
        <v>263.20833333334303</v>
      </c>
    </row>
    <row r="158" spans="1:13">
      <c r="A158" t="s">
        <v>1335</v>
      </c>
      <c r="B158" t="s">
        <v>40</v>
      </c>
      <c r="C158" t="s">
        <v>399</v>
      </c>
      <c r="D158" t="s">
        <v>1262</v>
      </c>
      <c r="E158" s="4">
        <v>46125.291666666657</v>
      </c>
      <c r="F158">
        <v>72</v>
      </c>
      <c r="G158">
        <v>3.5</v>
      </c>
      <c r="H158">
        <v>53.1</v>
      </c>
      <c r="I158" t="s">
        <v>331</v>
      </c>
      <c r="J158" t="s">
        <v>393</v>
      </c>
      <c r="K158" t="s">
        <v>335</v>
      </c>
      <c r="L158" s="7" t="str">
        <f t="shared" si="4"/>
        <v>No</v>
      </c>
      <c r="M158" s="16">
        <f t="shared" ca="1" si="5"/>
        <v>24.708333333343035</v>
      </c>
    </row>
    <row r="159" spans="1:13">
      <c r="A159" t="s">
        <v>1032</v>
      </c>
      <c r="B159" t="s">
        <v>131</v>
      </c>
      <c r="C159" t="s">
        <v>365</v>
      </c>
      <c r="D159" t="s">
        <v>1261</v>
      </c>
      <c r="E159" s="4">
        <v>45924.541666666657</v>
      </c>
      <c r="F159">
        <v>24</v>
      </c>
      <c r="G159">
        <v>2.9</v>
      </c>
      <c r="H159">
        <v>66.5</v>
      </c>
      <c r="I159" t="s">
        <v>1265</v>
      </c>
      <c r="J159" t="s">
        <v>393</v>
      </c>
      <c r="K159" t="s">
        <v>328</v>
      </c>
      <c r="L159" s="7" t="str">
        <f t="shared" si="4"/>
        <v>Yes</v>
      </c>
      <c r="M159" s="16">
        <f t="shared" ca="1" si="5"/>
        <v>225.45833333334303</v>
      </c>
    </row>
    <row r="160" spans="1:13">
      <c r="A160" t="s">
        <v>1336</v>
      </c>
      <c r="B160" t="s">
        <v>170</v>
      </c>
      <c r="C160" t="s">
        <v>392</v>
      </c>
      <c r="D160" t="s">
        <v>1258</v>
      </c>
      <c r="E160" s="4">
        <v>45939.583333333343</v>
      </c>
      <c r="F160">
        <v>4</v>
      </c>
      <c r="G160">
        <v>1.1000000000000001</v>
      </c>
      <c r="H160">
        <v>3.7</v>
      </c>
      <c r="I160" t="s">
        <v>1259</v>
      </c>
      <c r="J160" t="s">
        <v>374</v>
      </c>
      <c r="K160" t="s">
        <v>335</v>
      </c>
      <c r="L160" s="7" t="str">
        <f t="shared" si="4"/>
        <v>No</v>
      </c>
      <c r="M160" s="16">
        <f t="shared" ca="1" si="5"/>
        <v>0</v>
      </c>
    </row>
    <row r="161" spans="1:13">
      <c r="A161" t="s">
        <v>1337</v>
      </c>
      <c r="B161" t="s">
        <v>183</v>
      </c>
      <c r="C161" t="s">
        <v>417</v>
      </c>
      <c r="D161" t="s">
        <v>1258</v>
      </c>
      <c r="E161" s="4">
        <v>46059.833333333343</v>
      </c>
      <c r="F161">
        <v>72</v>
      </c>
      <c r="G161">
        <v>1.1000000000000001</v>
      </c>
      <c r="H161">
        <v>45</v>
      </c>
      <c r="I161" t="s">
        <v>1263</v>
      </c>
      <c r="J161" t="s">
        <v>366</v>
      </c>
      <c r="K161" t="s">
        <v>335</v>
      </c>
      <c r="L161" s="7" t="str">
        <f t="shared" si="4"/>
        <v>No</v>
      </c>
      <c r="M161" s="16">
        <f t="shared" ca="1" si="5"/>
        <v>90.166666666656965</v>
      </c>
    </row>
    <row r="162" spans="1:13">
      <c r="A162" t="s">
        <v>1338</v>
      </c>
      <c r="B162" t="s">
        <v>199</v>
      </c>
      <c r="C162" t="s">
        <v>384</v>
      </c>
      <c r="D162" t="s">
        <v>1266</v>
      </c>
      <c r="E162" s="4">
        <v>46002.375</v>
      </c>
      <c r="F162">
        <v>48</v>
      </c>
      <c r="G162">
        <v>6.3</v>
      </c>
      <c r="H162">
        <v>60.4</v>
      </c>
      <c r="I162" t="s">
        <v>1259</v>
      </c>
      <c r="J162" t="s">
        <v>393</v>
      </c>
      <c r="K162" t="s">
        <v>335</v>
      </c>
      <c r="L162" s="7" t="str">
        <f t="shared" si="4"/>
        <v>Yes</v>
      </c>
      <c r="M162" s="16">
        <f t="shared" ca="1" si="5"/>
        <v>0</v>
      </c>
    </row>
    <row r="163" spans="1:13">
      <c r="A163" t="s">
        <v>733</v>
      </c>
      <c r="B163" t="s">
        <v>351</v>
      </c>
      <c r="C163" t="s">
        <v>399</v>
      </c>
      <c r="D163" t="s">
        <v>1266</v>
      </c>
      <c r="E163" s="4">
        <v>45941.75</v>
      </c>
      <c r="F163">
        <v>72</v>
      </c>
      <c r="G163">
        <v>1.3</v>
      </c>
      <c r="H163">
        <v>59.3</v>
      </c>
      <c r="I163" t="s">
        <v>1265</v>
      </c>
      <c r="J163" t="s">
        <v>370</v>
      </c>
      <c r="K163" t="s">
        <v>335</v>
      </c>
      <c r="L163" s="7" t="str">
        <f t="shared" si="4"/>
        <v>No</v>
      </c>
      <c r="M163" s="16">
        <f t="shared" ca="1" si="5"/>
        <v>208.25</v>
      </c>
    </row>
    <row r="164" spans="1:13">
      <c r="A164" t="s">
        <v>714</v>
      </c>
      <c r="B164" t="s">
        <v>101</v>
      </c>
      <c r="C164" t="s">
        <v>377</v>
      </c>
      <c r="D164" t="s">
        <v>1258</v>
      </c>
      <c r="E164" s="4">
        <v>45988.916666666657</v>
      </c>
      <c r="F164">
        <v>4</v>
      </c>
      <c r="G164">
        <v>5.4</v>
      </c>
      <c r="H164">
        <v>107.5</v>
      </c>
      <c r="I164" t="s">
        <v>1259</v>
      </c>
      <c r="J164" t="s">
        <v>440</v>
      </c>
      <c r="K164" t="s">
        <v>328</v>
      </c>
      <c r="L164" s="7" t="str">
        <f t="shared" si="4"/>
        <v>Yes</v>
      </c>
      <c r="M164" s="16">
        <f t="shared" ca="1" si="5"/>
        <v>0</v>
      </c>
    </row>
    <row r="165" spans="1:13">
      <c r="A165" t="s">
        <v>968</v>
      </c>
      <c r="B165" t="s">
        <v>29</v>
      </c>
      <c r="C165" t="s">
        <v>467</v>
      </c>
      <c r="D165" t="s">
        <v>1261</v>
      </c>
      <c r="E165" s="4">
        <v>45917.916666666657</v>
      </c>
      <c r="F165">
        <v>48</v>
      </c>
      <c r="G165">
        <v>5.2</v>
      </c>
      <c r="H165">
        <v>12.5</v>
      </c>
      <c r="I165" t="s">
        <v>1263</v>
      </c>
      <c r="J165" t="s">
        <v>440</v>
      </c>
      <c r="K165" t="s">
        <v>323</v>
      </c>
      <c r="L165" s="7" t="str">
        <f t="shared" si="4"/>
        <v>No</v>
      </c>
      <c r="M165" s="16">
        <f t="shared" ca="1" si="5"/>
        <v>232.08333333334303</v>
      </c>
    </row>
    <row r="166" spans="1:13">
      <c r="A166" t="s">
        <v>1339</v>
      </c>
      <c r="B166" t="s">
        <v>110</v>
      </c>
      <c r="C166" t="s">
        <v>476</v>
      </c>
      <c r="D166" t="s">
        <v>1258</v>
      </c>
      <c r="E166" s="4">
        <v>46053.708333333343</v>
      </c>
      <c r="F166">
        <v>4</v>
      </c>
      <c r="G166">
        <v>5.2</v>
      </c>
      <c r="H166">
        <v>50.1</v>
      </c>
      <c r="I166" t="s">
        <v>1259</v>
      </c>
      <c r="J166" t="s">
        <v>414</v>
      </c>
      <c r="K166" t="s">
        <v>323</v>
      </c>
      <c r="L166" s="7" t="str">
        <f t="shared" si="4"/>
        <v>Yes</v>
      </c>
      <c r="M166" s="16">
        <f t="shared" ca="1" si="5"/>
        <v>0</v>
      </c>
    </row>
    <row r="167" spans="1:13">
      <c r="A167" t="s">
        <v>1340</v>
      </c>
      <c r="B167" t="s">
        <v>29</v>
      </c>
      <c r="C167" t="s">
        <v>399</v>
      </c>
      <c r="D167" t="s">
        <v>1261</v>
      </c>
      <c r="E167" s="4">
        <v>45966.875</v>
      </c>
      <c r="F167">
        <v>24</v>
      </c>
      <c r="G167">
        <v>1.2</v>
      </c>
      <c r="H167">
        <v>83.4</v>
      </c>
      <c r="I167" t="s">
        <v>1259</v>
      </c>
      <c r="J167" t="s">
        <v>378</v>
      </c>
      <c r="K167" t="s">
        <v>323</v>
      </c>
      <c r="L167" s="7" t="str">
        <f t="shared" si="4"/>
        <v>Yes</v>
      </c>
      <c r="M167" s="16">
        <f t="shared" ca="1" si="5"/>
        <v>0</v>
      </c>
    </row>
    <row r="168" spans="1:13">
      <c r="A168" t="s">
        <v>848</v>
      </c>
      <c r="B168" t="s">
        <v>34</v>
      </c>
      <c r="C168" t="s">
        <v>369</v>
      </c>
      <c r="D168" t="s">
        <v>1266</v>
      </c>
      <c r="E168" s="4">
        <v>46008.541666666657</v>
      </c>
      <c r="F168">
        <v>4</v>
      </c>
      <c r="G168">
        <v>0.3</v>
      </c>
      <c r="H168">
        <v>21.1</v>
      </c>
      <c r="I168" t="s">
        <v>1259</v>
      </c>
      <c r="J168" t="s">
        <v>414</v>
      </c>
      <c r="K168" t="s">
        <v>323</v>
      </c>
      <c r="L168" s="7" t="str">
        <f t="shared" si="4"/>
        <v>Yes</v>
      </c>
      <c r="M168" s="16">
        <f t="shared" ca="1" si="5"/>
        <v>0</v>
      </c>
    </row>
    <row r="169" spans="1:13">
      <c r="A169" t="s">
        <v>1341</v>
      </c>
      <c r="B169" t="s">
        <v>163</v>
      </c>
      <c r="C169" t="s">
        <v>381</v>
      </c>
      <c r="D169" t="s">
        <v>1262</v>
      </c>
      <c r="E169" s="4">
        <v>46067.458333333343</v>
      </c>
      <c r="F169">
        <v>48</v>
      </c>
      <c r="G169">
        <v>3.1</v>
      </c>
      <c r="H169">
        <v>52.7</v>
      </c>
      <c r="I169" t="s">
        <v>1259</v>
      </c>
      <c r="J169" t="s">
        <v>403</v>
      </c>
      <c r="K169" t="s">
        <v>335</v>
      </c>
      <c r="L169" s="7" t="str">
        <f t="shared" si="4"/>
        <v>Yes</v>
      </c>
      <c r="M169" s="16">
        <f t="shared" ca="1" si="5"/>
        <v>0</v>
      </c>
    </row>
    <row r="170" spans="1:13">
      <c r="A170" t="s">
        <v>1342</v>
      </c>
      <c r="B170" t="s">
        <v>94</v>
      </c>
      <c r="C170" t="s">
        <v>365</v>
      </c>
      <c r="D170" t="s">
        <v>1261</v>
      </c>
      <c r="E170" s="4">
        <v>46051.083333333343</v>
      </c>
      <c r="F170">
        <v>4</v>
      </c>
      <c r="G170">
        <v>5.4</v>
      </c>
      <c r="H170">
        <v>98.9</v>
      </c>
      <c r="I170" t="s">
        <v>1259</v>
      </c>
      <c r="J170" t="s">
        <v>396</v>
      </c>
      <c r="K170" t="s">
        <v>335</v>
      </c>
      <c r="L170" s="7" t="str">
        <f t="shared" si="4"/>
        <v>Yes</v>
      </c>
      <c r="M170" s="16">
        <f t="shared" ca="1" si="5"/>
        <v>0</v>
      </c>
    </row>
    <row r="171" spans="1:13">
      <c r="A171" t="s">
        <v>1343</v>
      </c>
      <c r="B171" t="s">
        <v>127</v>
      </c>
      <c r="C171" t="s">
        <v>377</v>
      </c>
      <c r="D171" t="s">
        <v>1258</v>
      </c>
      <c r="E171" s="4">
        <v>46017.625</v>
      </c>
      <c r="F171">
        <v>4</v>
      </c>
      <c r="G171">
        <v>3</v>
      </c>
      <c r="H171">
        <v>94.5</v>
      </c>
      <c r="I171" t="s">
        <v>1259</v>
      </c>
      <c r="J171" t="s">
        <v>393</v>
      </c>
      <c r="K171" t="s">
        <v>328</v>
      </c>
      <c r="L171" s="7" t="str">
        <f t="shared" si="4"/>
        <v>Yes</v>
      </c>
      <c r="M171" s="16">
        <f t="shared" ca="1" si="5"/>
        <v>0</v>
      </c>
    </row>
    <row r="172" spans="1:13">
      <c r="A172" t="s">
        <v>1344</v>
      </c>
      <c r="B172" t="s">
        <v>61</v>
      </c>
      <c r="C172" t="s">
        <v>381</v>
      </c>
      <c r="D172" t="s">
        <v>1261</v>
      </c>
      <c r="E172" s="4">
        <v>46014.833333333343</v>
      </c>
      <c r="F172">
        <v>4</v>
      </c>
      <c r="G172">
        <v>4.5</v>
      </c>
      <c r="H172">
        <v>24.4</v>
      </c>
      <c r="I172" t="s">
        <v>1263</v>
      </c>
      <c r="J172" t="s">
        <v>366</v>
      </c>
      <c r="K172" t="s">
        <v>323</v>
      </c>
      <c r="L172" s="7" t="str">
        <f t="shared" si="4"/>
        <v>Yes</v>
      </c>
      <c r="M172" s="16">
        <f t="shared" ca="1" si="5"/>
        <v>135.16666666665697</v>
      </c>
    </row>
    <row r="173" spans="1:13">
      <c r="A173" t="s">
        <v>632</v>
      </c>
      <c r="B173" t="s">
        <v>63</v>
      </c>
      <c r="C173" t="s">
        <v>476</v>
      </c>
      <c r="D173" t="s">
        <v>1261</v>
      </c>
      <c r="E173" s="4">
        <v>46125.541666666657</v>
      </c>
      <c r="F173">
        <v>48</v>
      </c>
      <c r="G173">
        <v>1.7</v>
      </c>
      <c r="H173">
        <v>56.1</v>
      </c>
      <c r="I173" t="s">
        <v>331</v>
      </c>
      <c r="J173" t="s">
        <v>378</v>
      </c>
      <c r="K173" t="s">
        <v>323</v>
      </c>
      <c r="L173" s="7" t="str">
        <f t="shared" si="4"/>
        <v>Yes</v>
      </c>
      <c r="M173" s="16">
        <f t="shared" ca="1" si="5"/>
        <v>24.458333333343035</v>
      </c>
    </row>
    <row r="174" spans="1:13">
      <c r="A174" t="s">
        <v>464</v>
      </c>
      <c r="B174" t="s">
        <v>286</v>
      </c>
      <c r="C174" t="s">
        <v>369</v>
      </c>
      <c r="D174" t="s">
        <v>1261</v>
      </c>
      <c r="E174" s="4">
        <v>45940.583333333343</v>
      </c>
      <c r="F174">
        <v>72</v>
      </c>
      <c r="G174">
        <v>2.9</v>
      </c>
      <c r="H174">
        <v>3.4</v>
      </c>
      <c r="I174" t="s">
        <v>331</v>
      </c>
      <c r="J174" t="s">
        <v>393</v>
      </c>
      <c r="K174" t="s">
        <v>323</v>
      </c>
      <c r="L174" s="7" t="str">
        <f t="shared" si="4"/>
        <v>No</v>
      </c>
      <c r="M174" s="16">
        <f t="shared" ca="1" si="5"/>
        <v>209.41666666665697</v>
      </c>
    </row>
    <row r="175" spans="1:13">
      <c r="A175" t="s">
        <v>1345</v>
      </c>
      <c r="B175" t="s">
        <v>61</v>
      </c>
      <c r="C175" t="s">
        <v>399</v>
      </c>
      <c r="D175" t="s">
        <v>1262</v>
      </c>
      <c r="E175" s="4">
        <v>46113.208333333343</v>
      </c>
      <c r="F175">
        <v>24</v>
      </c>
      <c r="G175">
        <v>2.2999999999999998</v>
      </c>
      <c r="H175">
        <v>36</v>
      </c>
      <c r="I175" t="s">
        <v>331</v>
      </c>
      <c r="J175" t="s">
        <v>440</v>
      </c>
      <c r="K175" t="s">
        <v>323</v>
      </c>
      <c r="L175" s="7" t="str">
        <f t="shared" si="4"/>
        <v>Yes</v>
      </c>
      <c r="M175" s="16">
        <f t="shared" ca="1" si="5"/>
        <v>36.791666666656965</v>
      </c>
    </row>
    <row r="176" spans="1:13">
      <c r="A176" t="s">
        <v>754</v>
      </c>
      <c r="B176" t="s">
        <v>29</v>
      </c>
      <c r="C176" t="s">
        <v>417</v>
      </c>
      <c r="D176" t="s">
        <v>1262</v>
      </c>
      <c r="E176" s="4">
        <v>46039.75</v>
      </c>
      <c r="F176">
        <v>4</v>
      </c>
      <c r="G176">
        <v>2.4</v>
      </c>
      <c r="H176">
        <v>65.2</v>
      </c>
      <c r="I176" t="s">
        <v>1259</v>
      </c>
      <c r="J176" t="s">
        <v>378</v>
      </c>
      <c r="K176" t="s">
        <v>323</v>
      </c>
      <c r="L176" s="7" t="str">
        <f t="shared" si="4"/>
        <v>Yes</v>
      </c>
      <c r="M176" s="16">
        <f t="shared" ca="1" si="5"/>
        <v>0</v>
      </c>
    </row>
    <row r="177" spans="1:13">
      <c r="A177" t="s">
        <v>1346</v>
      </c>
      <c r="B177" t="s">
        <v>183</v>
      </c>
      <c r="C177" t="s">
        <v>467</v>
      </c>
      <c r="D177" t="s">
        <v>1266</v>
      </c>
      <c r="E177" s="4">
        <v>46141.083333333343</v>
      </c>
      <c r="F177">
        <v>8</v>
      </c>
      <c r="G177">
        <v>2.2000000000000002</v>
      </c>
      <c r="H177">
        <v>19.5</v>
      </c>
      <c r="I177" t="s">
        <v>331</v>
      </c>
      <c r="J177" t="s">
        <v>396</v>
      </c>
      <c r="K177" t="s">
        <v>323</v>
      </c>
      <c r="L177" s="7" t="str">
        <f t="shared" si="4"/>
        <v>Yes</v>
      </c>
      <c r="M177" s="16">
        <f t="shared" ca="1" si="5"/>
        <v>8.9166666666569654</v>
      </c>
    </row>
    <row r="178" spans="1:13">
      <c r="A178" t="s">
        <v>1347</v>
      </c>
      <c r="B178" t="s">
        <v>74</v>
      </c>
      <c r="C178" t="s">
        <v>476</v>
      </c>
      <c r="D178" t="s">
        <v>1258</v>
      </c>
      <c r="E178" s="4">
        <v>46144.166666666657</v>
      </c>
      <c r="F178">
        <v>72</v>
      </c>
      <c r="G178">
        <v>2.6</v>
      </c>
      <c r="H178">
        <v>27.2</v>
      </c>
      <c r="I178" t="s">
        <v>1259</v>
      </c>
      <c r="J178" t="s">
        <v>370</v>
      </c>
      <c r="K178" t="s">
        <v>323</v>
      </c>
      <c r="L178" s="7" t="str">
        <f t="shared" si="4"/>
        <v>No</v>
      </c>
      <c r="M178" s="16">
        <f t="shared" ca="1" si="5"/>
        <v>0</v>
      </c>
    </row>
    <row r="179" spans="1:13">
      <c r="A179" t="s">
        <v>1348</v>
      </c>
      <c r="B179" t="s">
        <v>56</v>
      </c>
      <c r="C179" t="s">
        <v>384</v>
      </c>
      <c r="D179" t="s">
        <v>1262</v>
      </c>
      <c r="E179" s="4">
        <v>46089.375</v>
      </c>
      <c r="F179">
        <v>8</v>
      </c>
      <c r="G179">
        <v>1.4</v>
      </c>
      <c r="H179">
        <v>64.900000000000006</v>
      </c>
      <c r="I179" t="s">
        <v>1259</v>
      </c>
      <c r="J179" t="s">
        <v>396</v>
      </c>
      <c r="K179" t="s">
        <v>328</v>
      </c>
      <c r="L179" s="7" t="str">
        <f t="shared" si="4"/>
        <v>Yes</v>
      </c>
      <c r="M179" s="16">
        <f t="shared" ca="1" si="5"/>
        <v>0</v>
      </c>
    </row>
    <row r="180" spans="1:13">
      <c r="A180" t="s">
        <v>604</v>
      </c>
      <c r="B180" t="s">
        <v>194</v>
      </c>
      <c r="C180" t="s">
        <v>384</v>
      </c>
      <c r="D180" t="s">
        <v>1261</v>
      </c>
      <c r="E180" s="4">
        <v>46035.708333333343</v>
      </c>
      <c r="F180">
        <v>72</v>
      </c>
      <c r="G180">
        <v>4.3</v>
      </c>
      <c r="H180">
        <v>56.6</v>
      </c>
      <c r="I180" t="s">
        <v>1259</v>
      </c>
      <c r="J180" t="s">
        <v>370</v>
      </c>
      <c r="K180" t="s">
        <v>335</v>
      </c>
      <c r="L180" s="7" t="str">
        <f t="shared" si="4"/>
        <v>No</v>
      </c>
      <c r="M180" s="16">
        <f t="shared" ca="1" si="5"/>
        <v>0</v>
      </c>
    </row>
    <row r="181" spans="1:13">
      <c r="A181" t="s">
        <v>517</v>
      </c>
      <c r="B181" t="s">
        <v>194</v>
      </c>
      <c r="C181" t="s">
        <v>384</v>
      </c>
      <c r="D181" t="s">
        <v>1261</v>
      </c>
      <c r="E181" s="4">
        <v>45854.291666666657</v>
      </c>
      <c r="F181">
        <v>24</v>
      </c>
      <c r="G181">
        <v>0.4</v>
      </c>
      <c r="H181">
        <v>32.4</v>
      </c>
      <c r="I181" t="s">
        <v>331</v>
      </c>
      <c r="J181" t="s">
        <v>440</v>
      </c>
      <c r="K181" t="s">
        <v>323</v>
      </c>
      <c r="L181" s="7" t="str">
        <f t="shared" si="4"/>
        <v>Yes</v>
      </c>
      <c r="M181" s="16">
        <f t="shared" ca="1" si="5"/>
        <v>295.70833333334303</v>
      </c>
    </row>
    <row r="182" spans="1:13">
      <c r="A182" t="s">
        <v>1183</v>
      </c>
      <c r="B182" t="s">
        <v>260</v>
      </c>
      <c r="C182" t="s">
        <v>365</v>
      </c>
      <c r="D182" t="s">
        <v>1258</v>
      </c>
      <c r="E182" s="4">
        <v>45896.75</v>
      </c>
      <c r="F182">
        <v>4</v>
      </c>
      <c r="G182">
        <v>1.9</v>
      </c>
      <c r="H182">
        <v>74.3</v>
      </c>
      <c r="I182" t="s">
        <v>1263</v>
      </c>
      <c r="J182" t="s">
        <v>414</v>
      </c>
      <c r="K182" t="s">
        <v>328</v>
      </c>
      <c r="L182" s="7" t="str">
        <f t="shared" si="4"/>
        <v>Yes</v>
      </c>
      <c r="M182" s="16">
        <f t="shared" ca="1" si="5"/>
        <v>253.25</v>
      </c>
    </row>
    <row r="183" spans="1:13">
      <c r="A183" t="s">
        <v>1349</v>
      </c>
      <c r="B183" t="s">
        <v>96</v>
      </c>
      <c r="C183" t="s">
        <v>381</v>
      </c>
      <c r="D183" t="s">
        <v>1258</v>
      </c>
      <c r="E183" s="4">
        <v>45950.541666666657</v>
      </c>
      <c r="F183">
        <v>4</v>
      </c>
      <c r="G183">
        <v>4.8</v>
      </c>
      <c r="H183">
        <v>88.8</v>
      </c>
      <c r="I183" t="s">
        <v>331</v>
      </c>
      <c r="J183" t="s">
        <v>387</v>
      </c>
      <c r="K183" t="s">
        <v>335</v>
      </c>
      <c r="L183" s="7" t="str">
        <f t="shared" si="4"/>
        <v>Yes</v>
      </c>
      <c r="M183" s="16">
        <f t="shared" ca="1" si="5"/>
        <v>199.45833333334303</v>
      </c>
    </row>
    <row r="184" spans="1:13">
      <c r="A184" t="s">
        <v>1350</v>
      </c>
      <c r="B184" t="s">
        <v>23</v>
      </c>
      <c r="C184" t="s">
        <v>417</v>
      </c>
      <c r="D184" t="s">
        <v>1262</v>
      </c>
      <c r="E184" s="4">
        <v>45883.583333333343</v>
      </c>
      <c r="F184">
        <v>4</v>
      </c>
      <c r="G184">
        <v>5.0999999999999996</v>
      </c>
      <c r="H184">
        <v>19.399999999999999</v>
      </c>
      <c r="I184" t="s">
        <v>1259</v>
      </c>
      <c r="J184" t="s">
        <v>374</v>
      </c>
      <c r="K184" t="s">
        <v>323</v>
      </c>
      <c r="L184" s="7" t="str">
        <f t="shared" si="4"/>
        <v>Yes</v>
      </c>
      <c r="M184" s="16">
        <f t="shared" ca="1" si="5"/>
        <v>0</v>
      </c>
    </row>
    <row r="185" spans="1:13">
      <c r="A185" t="s">
        <v>653</v>
      </c>
      <c r="B185" t="s">
        <v>253</v>
      </c>
      <c r="C185" t="s">
        <v>381</v>
      </c>
      <c r="D185" t="s">
        <v>1262</v>
      </c>
      <c r="E185" s="4">
        <v>46058.208333333343</v>
      </c>
      <c r="F185">
        <v>72</v>
      </c>
      <c r="G185">
        <v>1.1000000000000001</v>
      </c>
      <c r="H185">
        <v>17.100000000000001</v>
      </c>
      <c r="I185" t="s">
        <v>331</v>
      </c>
      <c r="J185" t="s">
        <v>387</v>
      </c>
      <c r="K185" t="s">
        <v>323</v>
      </c>
      <c r="L185" s="7" t="str">
        <f t="shared" si="4"/>
        <v>No</v>
      </c>
      <c r="M185" s="16">
        <f t="shared" ca="1" si="5"/>
        <v>91.791666666656965</v>
      </c>
    </row>
    <row r="186" spans="1:13">
      <c r="A186" t="s">
        <v>1351</v>
      </c>
      <c r="B186" t="s">
        <v>253</v>
      </c>
      <c r="C186" t="s">
        <v>476</v>
      </c>
      <c r="D186" t="s">
        <v>1261</v>
      </c>
      <c r="E186" s="4">
        <v>46114.208333333343</v>
      </c>
      <c r="F186">
        <v>24</v>
      </c>
      <c r="G186">
        <v>6.4</v>
      </c>
      <c r="H186">
        <v>41.3</v>
      </c>
      <c r="I186" t="s">
        <v>1259</v>
      </c>
      <c r="J186" t="s">
        <v>414</v>
      </c>
      <c r="K186" t="s">
        <v>323</v>
      </c>
      <c r="L186" s="7" t="str">
        <f t="shared" si="4"/>
        <v>Yes</v>
      </c>
      <c r="M186" s="16">
        <f t="shared" ca="1" si="5"/>
        <v>0</v>
      </c>
    </row>
    <row r="187" spans="1:13">
      <c r="A187" t="s">
        <v>1352</v>
      </c>
      <c r="B187" t="s">
        <v>211</v>
      </c>
      <c r="C187" t="s">
        <v>399</v>
      </c>
      <c r="D187" t="s">
        <v>1261</v>
      </c>
      <c r="E187" s="4">
        <v>46049.041666666657</v>
      </c>
      <c r="F187">
        <v>24</v>
      </c>
      <c r="G187">
        <v>5.7</v>
      </c>
      <c r="H187">
        <v>19.5</v>
      </c>
      <c r="I187" t="s">
        <v>1259</v>
      </c>
      <c r="J187" t="s">
        <v>366</v>
      </c>
      <c r="K187" t="s">
        <v>328</v>
      </c>
      <c r="L187" s="7" t="str">
        <f t="shared" si="4"/>
        <v>No</v>
      </c>
      <c r="M187" s="16">
        <f t="shared" ca="1" si="5"/>
        <v>0</v>
      </c>
    </row>
    <row r="188" spans="1:13">
      <c r="A188" t="s">
        <v>1129</v>
      </c>
      <c r="B188" t="s">
        <v>294</v>
      </c>
      <c r="C188" t="s">
        <v>417</v>
      </c>
      <c r="D188" t="s">
        <v>1262</v>
      </c>
      <c r="E188" s="4">
        <v>46040.625</v>
      </c>
      <c r="F188">
        <v>8</v>
      </c>
      <c r="G188">
        <v>3.8</v>
      </c>
      <c r="H188">
        <v>21.8</v>
      </c>
      <c r="I188" t="s">
        <v>1259</v>
      </c>
      <c r="J188" t="s">
        <v>440</v>
      </c>
      <c r="K188" t="s">
        <v>328</v>
      </c>
      <c r="L188" s="7" t="str">
        <f t="shared" si="4"/>
        <v>Yes</v>
      </c>
      <c r="M188" s="16">
        <f t="shared" ca="1" si="5"/>
        <v>0</v>
      </c>
    </row>
    <row r="189" spans="1:13">
      <c r="A189" t="s">
        <v>1353</v>
      </c>
      <c r="B189" t="s">
        <v>29</v>
      </c>
      <c r="C189" t="s">
        <v>399</v>
      </c>
      <c r="D189" t="s">
        <v>1258</v>
      </c>
      <c r="E189" s="4">
        <v>45981.916666666657</v>
      </c>
      <c r="F189">
        <v>24</v>
      </c>
      <c r="G189">
        <v>3.1</v>
      </c>
      <c r="H189">
        <v>67</v>
      </c>
      <c r="I189" t="s">
        <v>1259</v>
      </c>
      <c r="J189" t="s">
        <v>370</v>
      </c>
      <c r="K189" t="s">
        <v>328</v>
      </c>
      <c r="L189" s="7" t="str">
        <f t="shared" si="4"/>
        <v>Yes</v>
      </c>
      <c r="M189" s="16">
        <f t="shared" ca="1" si="5"/>
        <v>0</v>
      </c>
    </row>
    <row r="190" spans="1:13">
      <c r="A190" t="s">
        <v>1354</v>
      </c>
      <c r="B190" t="s">
        <v>298</v>
      </c>
      <c r="C190" t="s">
        <v>365</v>
      </c>
      <c r="D190" t="s">
        <v>1262</v>
      </c>
      <c r="E190" s="4">
        <v>46022.083333333343</v>
      </c>
      <c r="F190">
        <v>72</v>
      </c>
      <c r="G190">
        <v>2.7</v>
      </c>
      <c r="H190">
        <v>74.400000000000006</v>
      </c>
      <c r="I190" t="s">
        <v>1259</v>
      </c>
      <c r="J190" t="s">
        <v>440</v>
      </c>
      <c r="K190" t="s">
        <v>335</v>
      </c>
      <c r="L190" s="7" t="str">
        <f t="shared" si="4"/>
        <v>Yes</v>
      </c>
      <c r="M190" s="16">
        <f t="shared" ca="1" si="5"/>
        <v>0</v>
      </c>
    </row>
    <row r="191" spans="1:13">
      <c r="A191" t="s">
        <v>1355</v>
      </c>
      <c r="B191" t="s">
        <v>171</v>
      </c>
      <c r="C191" t="s">
        <v>467</v>
      </c>
      <c r="D191" t="s">
        <v>1258</v>
      </c>
      <c r="E191" s="4">
        <v>46134.166666666657</v>
      </c>
      <c r="F191">
        <v>72</v>
      </c>
      <c r="G191">
        <v>5.6</v>
      </c>
      <c r="H191">
        <v>106.5</v>
      </c>
      <c r="I191" t="s">
        <v>1259</v>
      </c>
      <c r="J191" t="s">
        <v>387</v>
      </c>
      <c r="K191" t="s">
        <v>328</v>
      </c>
      <c r="L191" s="7" t="str">
        <f t="shared" si="4"/>
        <v>Yes</v>
      </c>
      <c r="M191" s="16">
        <f t="shared" ca="1" si="5"/>
        <v>0</v>
      </c>
    </row>
    <row r="192" spans="1:13">
      <c r="A192" t="s">
        <v>877</v>
      </c>
      <c r="B192" t="s">
        <v>118</v>
      </c>
      <c r="C192" t="s">
        <v>392</v>
      </c>
      <c r="D192" t="s">
        <v>1262</v>
      </c>
      <c r="E192" s="4">
        <v>46074</v>
      </c>
      <c r="F192">
        <v>4</v>
      </c>
      <c r="G192">
        <v>6.1</v>
      </c>
      <c r="H192">
        <v>13.5</v>
      </c>
      <c r="I192" t="s">
        <v>1259</v>
      </c>
      <c r="J192" t="s">
        <v>400</v>
      </c>
      <c r="K192" t="s">
        <v>328</v>
      </c>
      <c r="L192" s="7" t="str">
        <f t="shared" si="4"/>
        <v>Yes</v>
      </c>
      <c r="M192" s="16">
        <f t="shared" ca="1" si="5"/>
        <v>0</v>
      </c>
    </row>
    <row r="193" spans="1:13">
      <c r="A193" t="s">
        <v>1356</v>
      </c>
      <c r="B193" t="s">
        <v>27</v>
      </c>
      <c r="C193" t="s">
        <v>384</v>
      </c>
      <c r="D193" t="s">
        <v>1262</v>
      </c>
      <c r="E193" s="4">
        <v>45993.208333333343</v>
      </c>
      <c r="F193">
        <v>24</v>
      </c>
      <c r="G193">
        <v>0.8</v>
      </c>
      <c r="H193">
        <v>28.7</v>
      </c>
      <c r="I193" t="s">
        <v>1265</v>
      </c>
      <c r="J193" t="s">
        <v>378</v>
      </c>
      <c r="K193" t="s">
        <v>323</v>
      </c>
      <c r="L193" s="7" t="str">
        <f t="shared" si="4"/>
        <v>Yes</v>
      </c>
      <c r="M193" s="16">
        <f t="shared" ca="1" si="5"/>
        <v>156.79166666665697</v>
      </c>
    </row>
    <row r="194" spans="1:13">
      <c r="A194" t="s">
        <v>1357</v>
      </c>
      <c r="B194" t="s">
        <v>219</v>
      </c>
      <c r="C194" t="s">
        <v>373</v>
      </c>
      <c r="D194" t="s">
        <v>1258</v>
      </c>
      <c r="E194" s="4">
        <v>45995.958333333343</v>
      </c>
      <c r="F194">
        <v>8</v>
      </c>
      <c r="G194">
        <v>2.9</v>
      </c>
      <c r="H194">
        <v>14.8</v>
      </c>
      <c r="I194" t="s">
        <v>1265</v>
      </c>
      <c r="J194" t="s">
        <v>366</v>
      </c>
      <c r="K194" t="s">
        <v>335</v>
      </c>
      <c r="L194" s="7" t="str">
        <f t="shared" ref="L194:L257" si="6">IF(H194&gt;F194,"Yes","No")</f>
        <v>Yes</v>
      </c>
      <c r="M194" s="16">
        <f t="shared" ref="M194:M257" ca="1" si="7">IF(I194="Closed",0,TODAY()-E194)</f>
        <v>154.04166666665697</v>
      </c>
    </row>
    <row r="195" spans="1:13">
      <c r="A195" t="s">
        <v>624</v>
      </c>
      <c r="B195" t="s">
        <v>188</v>
      </c>
      <c r="C195" t="s">
        <v>384</v>
      </c>
      <c r="D195" t="s">
        <v>1262</v>
      </c>
      <c r="E195" s="4">
        <v>46104.875</v>
      </c>
      <c r="F195">
        <v>48</v>
      </c>
      <c r="G195">
        <v>0.3</v>
      </c>
      <c r="H195">
        <v>53.9</v>
      </c>
      <c r="I195" t="s">
        <v>1259</v>
      </c>
      <c r="J195" t="s">
        <v>400</v>
      </c>
      <c r="K195" t="s">
        <v>323</v>
      </c>
      <c r="L195" s="7" t="str">
        <f t="shared" si="6"/>
        <v>Yes</v>
      </c>
      <c r="M195" s="16">
        <f t="shared" ca="1" si="7"/>
        <v>0</v>
      </c>
    </row>
    <row r="196" spans="1:13">
      <c r="A196" t="s">
        <v>1151</v>
      </c>
      <c r="B196" t="s">
        <v>53</v>
      </c>
      <c r="C196" t="s">
        <v>365</v>
      </c>
      <c r="D196" t="s">
        <v>1261</v>
      </c>
      <c r="E196" s="4">
        <v>46035.083333333343</v>
      </c>
      <c r="F196">
        <v>4</v>
      </c>
      <c r="G196">
        <v>0.9</v>
      </c>
      <c r="H196">
        <v>51.2</v>
      </c>
      <c r="I196" t="s">
        <v>331</v>
      </c>
      <c r="J196" t="s">
        <v>400</v>
      </c>
      <c r="K196" t="s">
        <v>328</v>
      </c>
      <c r="L196" s="7" t="str">
        <f t="shared" si="6"/>
        <v>Yes</v>
      </c>
      <c r="M196" s="16">
        <f t="shared" ca="1" si="7"/>
        <v>114.91666666665697</v>
      </c>
    </row>
    <row r="197" spans="1:13">
      <c r="A197" t="s">
        <v>1358</v>
      </c>
      <c r="B197" t="s">
        <v>34</v>
      </c>
      <c r="C197" t="s">
        <v>392</v>
      </c>
      <c r="D197" t="s">
        <v>1261</v>
      </c>
      <c r="E197" s="4">
        <v>46110.75</v>
      </c>
      <c r="F197">
        <v>4</v>
      </c>
      <c r="G197">
        <v>4</v>
      </c>
      <c r="H197">
        <v>24.4</v>
      </c>
      <c r="I197" t="s">
        <v>1259</v>
      </c>
      <c r="J197" t="s">
        <v>366</v>
      </c>
      <c r="K197" t="s">
        <v>323</v>
      </c>
      <c r="L197" s="7" t="str">
        <f t="shared" si="6"/>
        <v>Yes</v>
      </c>
      <c r="M197" s="16">
        <f t="shared" ca="1" si="7"/>
        <v>0</v>
      </c>
    </row>
    <row r="198" spans="1:13">
      <c r="A198" t="s">
        <v>1359</v>
      </c>
      <c r="B198" t="s">
        <v>260</v>
      </c>
      <c r="C198" t="s">
        <v>384</v>
      </c>
      <c r="D198" t="s">
        <v>1266</v>
      </c>
      <c r="E198" s="4">
        <v>46065.25</v>
      </c>
      <c r="F198">
        <v>4</v>
      </c>
      <c r="G198">
        <v>5.8</v>
      </c>
      <c r="H198">
        <v>12.1</v>
      </c>
      <c r="I198" t="s">
        <v>331</v>
      </c>
      <c r="J198" t="s">
        <v>370</v>
      </c>
      <c r="K198" t="s">
        <v>335</v>
      </c>
      <c r="L198" s="7" t="str">
        <f t="shared" si="6"/>
        <v>Yes</v>
      </c>
      <c r="M198" s="16">
        <f t="shared" ca="1" si="7"/>
        <v>84.75</v>
      </c>
    </row>
    <row r="199" spans="1:13">
      <c r="A199" t="s">
        <v>566</v>
      </c>
      <c r="B199" t="s">
        <v>253</v>
      </c>
      <c r="C199" t="s">
        <v>369</v>
      </c>
      <c r="D199" t="s">
        <v>1258</v>
      </c>
      <c r="E199" s="4">
        <v>45910.291666666657</v>
      </c>
      <c r="F199">
        <v>24</v>
      </c>
      <c r="G199">
        <v>4.3</v>
      </c>
      <c r="H199">
        <v>35.5</v>
      </c>
      <c r="I199" t="s">
        <v>1259</v>
      </c>
      <c r="J199" t="s">
        <v>370</v>
      </c>
      <c r="K199" t="s">
        <v>323</v>
      </c>
      <c r="L199" s="7" t="str">
        <f t="shared" si="6"/>
        <v>Yes</v>
      </c>
      <c r="M199" s="16">
        <f t="shared" ca="1" si="7"/>
        <v>0</v>
      </c>
    </row>
    <row r="200" spans="1:13">
      <c r="A200" t="s">
        <v>1360</v>
      </c>
      <c r="B200" t="s">
        <v>225</v>
      </c>
      <c r="C200" t="s">
        <v>381</v>
      </c>
      <c r="D200" t="s">
        <v>1261</v>
      </c>
      <c r="E200" s="4">
        <v>45993.25</v>
      </c>
      <c r="F200">
        <v>72</v>
      </c>
      <c r="G200">
        <v>4</v>
      </c>
      <c r="H200">
        <v>27.6</v>
      </c>
      <c r="I200" t="s">
        <v>1259</v>
      </c>
      <c r="J200" t="s">
        <v>378</v>
      </c>
      <c r="K200" t="s">
        <v>328</v>
      </c>
      <c r="L200" s="7" t="str">
        <f t="shared" si="6"/>
        <v>No</v>
      </c>
      <c r="M200" s="16">
        <f t="shared" ca="1" si="7"/>
        <v>0</v>
      </c>
    </row>
    <row r="201" spans="1:13">
      <c r="A201" t="s">
        <v>972</v>
      </c>
      <c r="B201" t="s">
        <v>127</v>
      </c>
      <c r="C201" t="s">
        <v>377</v>
      </c>
      <c r="D201" t="s">
        <v>1258</v>
      </c>
      <c r="E201" s="4">
        <v>45896.291666666657</v>
      </c>
      <c r="F201">
        <v>48</v>
      </c>
      <c r="G201">
        <v>4.2</v>
      </c>
      <c r="H201">
        <v>12.1</v>
      </c>
      <c r="I201" t="s">
        <v>1259</v>
      </c>
      <c r="J201" t="s">
        <v>387</v>
      </c>
      <c r="K201" t="s">
        <v>335</v>
      </c>
      <c r="L201" s="7" t="str">
        <f t="shared" si="6"/>
        <v>No</v>
      </c>
      <c r="M201" s="16">
        <f t="shared" ca="1" si="7"/>
        <v>0</v>
      </c>
    </row>
    <row r="202" spans="1:13">
      <c r="A202" t="s">
        <v>979</v>
      </c>
      <c r="B202" t="s">
        <v>56</v>
      </c>
      <c r="C202" t="s">
        <v>417</v>
      </c>
      <c r="D202" t="s">
        <v>1261</v>
      </c>
      <c r="E202" s="4">
        <v>46130.541666666657</v>
      </c>
      <c r="F202">
        <v>24</v>
      </c>
      <c r="G202">
        <v>3.6</v>
      </c>
      <c r="H202">
        <v>25.5</v>
      </c>
      <c r="I202" t="s">
        <v>1259</v>
      </c>
      <c r="J202" t="s">
        <v>456</v>
      </c>
      <c r="K202" t="s">
        <v>328</v>
      </c>
      <c r="L202" s="7" t="str">
        <f t="shared" si="6"/>
        <v>Yes</v>
      </c>
      <c r="M202" s="16">
        <f t="shared" ca="1" si="7"/>
        <v>0</v>
      </c>
    </row>
    <row r="203" spans="1:13">
      <c r="A203" t="s">
        <v>1361</v>
      </c>
      <c r="B203" t="s">
        <v>168</v>
      </c>
      <c r="C203" t="s">
        <v>399</v>
      </c>
      <c r="D203" t="s">
        <v>1261</v>
      </c>
      <c r="E203" s="4">
        <v>45949.041666666657</v>
      </c>
      <c r="F203">
        <v>4</v>
      </c>
      <c r="G203">
        <v>6.2</v>
      </c>
      <c r="H203">
        <v>55.2</v>
      </c>
      <c r="I203" t="s">
        <v>331</v>
      </c>
      <c r="J203" t="s">
        <v>370</v>
      </c>
      <c r="K203" t="s">
        <v>323</v>
      </c>
      <c r="L203" s="7" t="str">
        <f t="shared" si="6"/>
        <v>Yes</v>
      </c>
      <c r="M203" s="16">
        <f t="shared" ca="1" si="7"/>
        <v>200.95833333334303</v>
      </c>
    </row>
    <row r="204" spans="1:13">
      <c r="A204" t="s">
        <v>1088</v>
      </c>
      <c r="B204" t="s">
        <v>269</v>
      </c>
      <c r="C204" t="s">
        <v>369</v>
      </c>
      <c r="D204" t="s">
        <v>1258</v>
      </c>
      <c r="E204" s="4">
        <v>46044.083333333343</v>
      </c>
      <c r="F204">
        <v>72</v>
      </c>
      <c r="G204">
        <v>3.6</v>
      </c>
      <c r="H204">
        <v>22.9</v>
      </c>
      <c r="I204" t="s">
        <v>1265</v>
      </c>
      <c r="J204" t="s">
        <v>456</v>
      </c>
      <c r="K204" t="s">
        <v>323</v>
      </c>
      <c r="L204" s="7" t="str">
        <f t="shared" si="6"/>
        <v>No</v>
      </c>
      <c r="M204" s="16">
        <f t="shared" ca="1" si="7"/>
        <v>105.91666666665697</v>
      </c>
    </row>
    <row r="205" spans="1:13">
      <c r="A205" t="s">
        <v>1116</v>
      </c>
      <c r="B205" t="s">
        <v>215</v>
      </c>
      <c r="C205" t="s">
        <v>377</v>
      </c>
      <c r="D205" t="s">
        <v>1266</v>
      </c>
      <c r="E205" s="4">
        <v>45918.708333333343</v>
      </c>
      <c r="F205">
        <v>24</v>
      </c>
      <c r="G205">
        <v>2.7</v>
      </c>
      <c r="H205">
        <v>49.3</v>
      </c>
      <c r="I205" t="s">
        <v>1259</v>
      </c>
      <c r="J205" t="s">
        <v>378</v>
      </c>
      <c r="K205" t="s">
        <v>323</v>
      </c>
      <c r="L205" s="7" t="str">
        <f t="shared" si="6"/>
        <v>Yes</v>
      </c>
      <c r="M205" s="16">
        <f t="shared" ca="1" si="7"/>
        <v>0</v>
      </c>
    </row>
    <row r="206" spans="1:13">
      <c r="A206" t="s">
        <v>1362</v>
      </c>
      <c r="B206" t="s">
        <v>114</v>
      </c>
      <c r="C206" t="s">
        <v>467</v>
      </c>
      <c r="D206" t="s">
        <v>1262</v>
      </c>
      <c r="E206" s="4">
        <v>45961.041666666657</v>
      </c>
      <c r="F206">
        <v>8</v>
      </c>
      <c r="G206">
        <v>0.7</v>
      </c>
      <c r="H206">
        <v>34.299999999999997</v>
      </c>
      <c r="I206" t="s">
        <v>1259</v>
      </c>
      <c r="J206" t="s">
        <v>374</v>
      </c>
      <c r="K206" t="s">
        <v>328</v>
      </c>
      <c r="L206" s="7" t="str">
        <f t="shared" si="6"/>
        <v>Yes</v>
      </c>
      <c r="M206" s="16">
        <f t="shared" ca="1" si="7"/>
        <v>0</v>
      </c>
    </row>
    <row r="207" spans="1:13">
      <c r="A207" t="s">
        <v>1363</v>
      </c>
      <c r="B207" t="s">
        <v>295</v>
      </c>
      <c r="C207" t="s">
        <v>392</v>
      </c>
      <c r="D207" t="s">
        <v>1262</v>
      </c>
      <c r="E207" s="4">
        <v>45928.125</v>
      </c>
      <c r="F207">
        <v>4</v>
      </c>
      <c r="G207">
        <v>4.7</v>
      </c>
      <c r="H207">
        <v>54.4</v>
      </c>
      <c r="I207" t="s">
        <v>331</v>
      </c>
      <c r="J207" t="s">
        <v>396</v>
      </c>
      <c r="K207" t="s">
        <v>323</v>
      </c>
      <c r="L207" s="7" t="str">
        <f t="shared" si="6"/>
        <v>Yes</v>
      </c>
      <c r="M207" s="16">
        <f t="shared" ca="1" si="7"/>
        <v>221.875</v>
      </c>
    </row>
    <row r="208" spans="1:13">
      <c r="A208" t="s">
        <v>584</v>
      </c>
      <c r="B208" t="s">
        <v>248</v>
      </c>
      <c r="C208" t="s">
        <v>381</v>
      </c>
      <c r="D208" t="s">
        <v>1261</v>
      </c>
      <c r="E208" s="4">
        <v>46029.166666666657</v>
      </c>
      <c r="F208">
        <v>24</v>
      </c>
      <c r="G208">
        <v>4.8</v>
      </c>
      <c r="H208">
        <v>18.3</v>
      </c>
      <c r="I208" t="s">
        <v>1259</v>
      </c>
      <c r="J208" t="s">
        <v>396</v>
      </c>
      <c r="K208" t="s">
        <v>335</v>
      </c>
      <c r="L208" s="7" t="str">
        <f t="shared" si="6"/>
        <v>No</v>
      </c>
      <c r="M208" s="16">
        <f t="shared" ca="1" si="7"/>
        <v>0</v>
      </c>
    </row>
    <row r="209" spans="1:13">
      <c r="A209" t="s">
        <v>1364</v>
      </c>
      <c r="B209" t="s">
        <v>131</v>
      </c>
      <c r="C209" t="s">
        <v>476</v>
      </c>
      <c r="D209" t="s">
        <v>1261</v>
      </c>
      <c r="E209" s="4">
        <v>46134.833333333343</v>
      </c>
      <c r="F209">
        <v>4</v>
      </c>
      <c r="G209">
        <v>3.3</v>
      </c>
      <c r="H209">
        <v>70</v>
      </c>
      <c r="I209" t="s">
        <v>1265</v>
      </c>
      <c r="J209" t="s">
        <v>374</v>
      </c>
      <c r="K209" t="s">
        <v>328</v>
      </c>
      <c r="L209" s="7" t="str">
        <f t="shared" si="6"/>
        <v>Yes</v>
      </c>
      <c r="M209" s="16">
        <f t="shared" ca="1" si="7"/>
        <v>15.166666666656965</v>
      </c>
    </row>
    <row r="210" spans="1:13">
      <c r="A210" t="s">
        <v>462</v>
      </c>
      <c r="B210" t="s">
        <v>91</v>
      </c>
      <c r="C210" t="s">
        <v>384</v>
      </c>
      <c r="D210" t="s">
        <v>1261</v>
      </c>
      <c r="E210" s="4">
        <v>45891.75</v>
      </c>
      <c r="F210">
        <v>4</v>
      </c>
      <c r="G210">
        <v>1.6</v>
      </c>
      <c r="H210">
        <v>69.8</v>
      </c>
      <c r="I210" t="s">
        <v>1265</v>
      </c>
      <c r="J210" t="s">
        <v>387</v>
      </c>
      <c r="K210" t="s">
        <v>328</v>
      </c>
      <c r="L210" s="7" t="str">
        <f t="shared" si="6"/>
        <v>Yes</v>
      </c>
      <c r="M210" s="16">
        <f t="shared" ca="1" si="7"/>
        <v>258.25</v>
      </c>
    </row>
    <row r="211" spans="1:13">
      <c r="A211" t="s">
        <v>822</v>
      </c>
      <c r="B211" t="s">
        <v>273</v>
      </c>
      <c r="C211" t="s">
        <v>365</v>
      </c>
      <c r="D211" t="s">
        <v>1258</v>
      </c>
      <c r="E211" s="4">
        <v>45915.208333333343</v>
      </c>
      <c r="F211">
        <v>4</v>
      </c>
      <c r="G211">
        <v>3.7</v>
      </c>
      <c r="H211">
        <v>123.1</v>
      </c>
      <c r="I211" t="s">
        <v>1259</v>
      </c>
      <c r="J211" t="s">
        <v>400</v>
      </c>
      <c r="K211" t="s">
        <v>328</v>
      </c>
      <c r="L211" s="7" t="str">
        <f t="shared" si="6"/>
        <v>Yes</v>
      </c>
      <c r="M211" s="16">
        <f t="shared" ca="1" si="7"/>
        <v>0</v>
      </c>
    </row>
    <row r="212" spans="1:13">
      <c r="A212" t="s">
        <v>712</v>
      </c>
      <c r="B212" t="s">
        <v>171</v>
      </c>
      <c r="C212" t="s">
        <v>377</v>
      </c>
      <c r="D212" t="s">
        <v>1258</v>
      </c>
      <c r="E212" s="4">
        <v>46002.333333333343</v>
      </c>
      <c r="F212">
        <v>4</v>
      </c>
      <c r="G212">
        <v>3.8</v>
      </c>
      <c r="H212">
        <v>18.5</v>
      </c>
      <c r="I212" t="s">
        <v>1259</v>
      </c>
      <c r="J212" t="s">
        <v>387</v>
      </c>
      <c r="K212" t="s">
        <v>328</v>
      </c>
      <c r="L212" s="7" t="str">
        <f t="shared" si="6"/>
        <v>Yes</v>
      </c>
      <c r="M212" s="16">
        <f t="shared" ca="1" si="7"/>
        <v>0</v>
      </c>
    </row>
    <row r="213" spans="1:13">
      <c r="A213" t="s">
        <v>1156</v>
      </c>
      <c r="B213" t="s">
        <v>235</v>
      </c>
      <c r="C213" t="s">
        <v>476</v>
      </c>
      <c r="D213" t="s">
        <v>1266</v>
      </c>
      <c r="E213" s="4">
        <v>46044.083333333343</v>
      </c>
      <c r="F213">
        <v>48</v>
      </c>
      <c r="G213">
        <v>5.7</v>
      </c>
      <c r="H213">
        <v>59.8</v>
      </c>
      <c r="I213" t="s">
        <v>1259</v>
      </c>
      <c r="J213" t="s">
        <v>456</v>
      </c>
      <c r="K213" t="s">
        <v>323</v>
      </c>
      <c r="L213" s="7" t="str">
        <f t="shared" si="6"/>
        <v>Yes</v>
      </c>
      <c r="M213" s="16">
        <f t="shared" ca="1" si="7"/>
        <v>0</v>
      </c>
    </row>
    <row r="214" spans="1:13">
      <c r="A214" t="s">
        <v>1365</v>
      </c>
      <c r="B214" t="s">
        <v>49</v>
      </c>
      <c r="C214" t="s">
        <v>373</v>
      </c>
      <c r="D214" t="s">
        <v>1258</v>
      </c>
      <c r="E214" s="4">
        <v>45988.75</v>
      </c>
      <c r="F214">
        <v>24</v>
      </c>
      <c r="G214">
        <v>4.9000000000000004</v>
      </c>
      <c r="H214">
        <v>34.700000000000003</v>
      </c>
      <c r="I214" t="s">
        <v>1259</v>
      </c>
      <c r="J214" t="s">
        <v>440</v>
      </c>
      <c r="K214" t="s">
        <v>328</v>
      </c>
      <c r="L214" s="7" t="str">
        <f t="shared" si="6"/>
        <v>Yes</v>
      </c>
      <c r="M214" s="16">
        <f t="shared" ca="1" si="7"/>
        <v>0</v>
      </c>
    </row>
    <row r="215" spans="1:13">
      <c r="A215" t="s">
        <v>1366</v>
      </c>
      <c r="B215" t="s">
        <v>298</v>
      </c>
      <c r="C215" t="s">
        <v>476</v>
      </c>
      <c r="D215" t="s">
        <v>1262</v>
      </c>
      <c r="E215" s="4">
        <v>45964.166666666657</v>
      </c>
      <c r="F215">
        <v>4</v>
      </c>
      <c r="G215">
        <v>6.1</v>
      </c>
      <c r="H215">
        <v>3.4</v>
      </c>
      <c r="I215" t="s">
        <v>1259</v>
      </c>
      <c r="J215" t="s">
        <v>378</v>
      </c>
      <c r="K215" t="s">
        <v>323</v>
      </c>
      <c r="L215" s="7" t="str">
        <f t="shared" si="6"/>
        <v>No</v>
      </c>
      <c r="M215" s="16">
        <f t="shared" ca="1" si="7"/>
        <v>0</v>
      </c>
    </row>
    <row r="216" spans="1:13">
      <c r="A216" t="s">
        <v>673</v>
      </c>
      <c r="B216" t="s">
        <v>164</v>
      </c>
      <c r="C216" t="s">
        <v>373</v>
      </c>
      <c r="D216" t="s">
        <v>1266</v>
      </c>
      <c r="E216" s="4">
        <v>45839.875</v>
      </c>
      <c r="F216">
        <v>48</v>
      </c>
      <c r="G216">
        <v>5.5</v>
      </c>
      <c r="H216">
        <v>56.3</v>
      </c>
      <c r="I216" t="s">
        <v>331</v>
      </c>
      <c r="J216" t="s">
        <v>414</v>
      </c>
      <c r="K216" t="s">
        <v>328</v>
      </c>
      <c r="L216" s="7" t="str">
        <f t="shared" si="6"/>
        <v>Yes</v>
      </c>
      <c r="M216" s="16">
        <f t="shared" ca="1" si="7"/>
        <v>310.125</v>
      </c>
    </row>
    <row r="217" spans="1:13">
      <c r="A217" t="s">
        <v>612</v>
      </c>
      <c r="B217" t="s">
        <v>247</v>
      </c>
      <c r="C217" t="s">
        <v>365</v>
      </c>
      <c r="D217" t="s">
        <v>1266</v>
      </c>
      <c r="E217" s="4">
        <v>45911.916666666657</v>
      </c>
      <c r="F217">
        <v>24</v>
      </c>
      <c r="G217">
        <v>0.8</v>
      </c>
      <c r="H217">
        <v>70.900000000000006</v>
      </c>
      <c r="I217" t="s">
        <v>1259</v>
      </c>
      <c r="J217" t="s">
        <v>414</v>
      </c>
      <c r="K217" t="s">
        <v>335</v>
      </c>
      <c r="L217" s="7" t="str">
        <f t="shared" si="6"/>
        <v>Yes</v>
      </c>
      <c r="M217" s="16">
        <f t="shared" ca="1" si="7"/>
        <v>0</v>
      </c>
    </row>
    <row r="218" spans="1:13">
      <c r="A218" t="s">
        <v>889</v>
      </c>
      <c r="B218" t="s">
        <v>232</v>
      </c>
      <c r="C218" t="s">
        <v>417</v>
      </c>
      <c r="D218" t="s">
        <v>1258</v>
      </c>
      <c r="E218" s="4">
        <v>45882.75</v>
      </c>
      <c r="F218">
        <v>4</v>
      </c>
      <c r="G218">
        <v>3.4</v>
      </c>
      <c r="H218">
        <v>86.7</v>
      </c>
      <c r="I218" t="s">
        <v>1259</v>
      </c>
      <c r="J218" t="s">
        <v>374</v>
      </c>
      <c r="K218" t="s">
        <v>323</v>
      </c>
      <c r="L218" s="7" t="str">
        <f t="shared" si="6"/>
        <v>Yes</v>
      </c>
      <c r="M218" s="16">
        <f t="shared" ca="1" si="7"/>
        <v>0</v>
      </c>
    </row>
    <row r="219" spans="1:13">
      <c r="A219" t="s">
        <v>368</v>
      </c>
      <c r="B219" t="s">
        <v>43</v>
      </c>
      <c r="C219" t="s">
        <v>369</v>
      </c>
      <c r="D219" t="s">
        <v>1262</v>
      </c>
      <c r="E219" s="4">
        <v>45905.291666666657</v>
      </c>
      <c r="F219">
        <v>24</v>
      </c>
      <c r="G219">
        <v>1.8</v>
      </c>
      <c r="H219">
        <v>25.3</v>
      </c>
      <c r="I219" t="s">
        <v>1259</v>
      </c>
      <c r="J219" t="s">
        <v>370</v>
      </c>
      <c r="K219" t="s">
        <v>323</v>
      </c>
      <c r="L219" s="7" t="str">
        <f t="shared" si="6"/>
        <v>Yes</v>
      </c>
      <c r="M219" s="16">
        <f t="shared" ca="1" si="7"/>
        <v>0</v>
      </c>
    </row>
    <row r="220" spans="1:13">
      <c r="A220" t="s">
        <v>594</v>
      </c>
      <c r="B220" t="s">
        <v>171</v>
      </c>
      <c r="C220" t="s">
        <v>417</v>
      </c>
      <c r="D220" t="s">
        <v>1258</v>
      </c>
      <c r="E220" s="4">
        <v>45958.083333333343</v>
      </c>
      <c r="F220">
        <v>8</v>
      </c>
      <c r="G220">
        <v>1.1000000000000001</v>
      </c>
      <c r="H220">
        <v>104.2</v>
      </c>
      <c r="I220" t="s">
        <v>331</v>
      </c>
      <c r="J220" t="s">
        <v>456</v>
      </c>
      <c r="K220" t="s">
        <v>328</v>
      </c>
      <c r="L220" s="7" t="str">
        <f t="shared" si="6"/>
        <v>Yes</v>
      </c>
      <c r="M220" s="16">
        <f t="shared" ca="1" si="7"/>
        <v>191.91666666665697</v>
      </c>
    </row>
    <row r="221" spans="1:13">
      <c r="A221" t="s">
        <v>1367</v>
      </c>
      <c r="B221" t="s">
        <v>103</v>
      </c>
      <c r="C221" t="s">
        <v>365</v>
      </c>
      <c r="D221" t="s">
        <v>1258</v>
      </c>
      <c r="E221" s="4">
        <v>45900.708333333343</v>
      </c>
      <c r="F221">
        <v>24</v>
      </c>
      <c r="G221">
        <v>6.3</v>
      </c>
      <c r="H221">
        <v>30.1</v>
      </c>
      <c r="I221" t="s">
        <v>1259</v>
      </c>
      <c r="J221" t="s">
        <v>393</v>
      </c>
      <c r="K221" t="s">
        <v>328</v>
      </c>
      <c r="L221" s="7" t="str">
        <f t="shared" si="6"/>
        <v>Yes</v>
      </c>
      <c r="M221" s="16">
        <f t="shared" ca="1" si="7"/>
        <v>0</v>
      </c>
    </row>
    <row r="222" spans="1:13">
      <c r="A222" t="s">
        <v>1020</v>
      </c>
      <c r="B222" t="s">
        <v>283</v>
      </c>
      <c r="C222" t="s">
        <v>384</v>
      </c>
      <c r="D222" t="s">
        <v>1262</v>
      </c>
      <c r="E222" s="4">
        <v>45994.916666666657</v>
      </c>
      <c r="F222">
        <v>72</v>
      </c>
      <c r="G222">
        <v>0.5</v>
      </c>
      <c r="H222">
        <v>64.5</v>
      </c>
      <c r="I222" t="s">
        <v>1259</v>
      </c>
      <c r="J222" t="s">
        <v>456</v>
      </c>
      <c r="K222" t="s">
        <v>323</v>
      </c>
      <c r="L222" s="7" t="str">
        <f t="shared" si="6"/>
        <v>No</v>
      </c>
      <c r="M222" s="16">
        <f t="shared" ca="1" si="7"/>
        <v>0</v>
      </c>
    </row>
    <row r="223" spans="1:13">
      <c r="A223" t="s">
        <v>760</v>
      </c>
      <c r="B223" t="s">
        <v>186</v>
      </c>
      <c r="C223" t="s">
        <v>417</v>
      </c>
      <c r="D223" t="s">
        <v>1258</v>
      </c>
      <c r="E223" s="4">
        <v>45864.875</v>
      </c>
      <c r="F223">
        <v>24</v>
      </c>
      <c r="G223">
        <v>1.8</v>
      </c>
      <c r="H223">
        <v>133.19999999999999</v>
      </c>
      <c r="I223" t="s">
        <v>1265</v>
      </c>
      <c r="J223" t="s">
        <v>400</v>
      </c>
      <c r="K223" t="s">
        <v>335</v>
      </c>
      <c r="L223" s="7" t="str">
        <f t="shared" si="6"/>
        <v>Yes</v>
      </c>
      <c r="M223" s="16">
        <f t="shared" ca="1" si="7"/>
        <v>285.125</v>
      </c>
    </row>
    <row r="224" spans="1:13">
      <c r="A224" t="s">
        <v>1368</v>
      </c>
      <c r="B224" t="s">
        <v>162</v>
      </c>
      <c r="C224" t="s">
        <v>381</v>
      </c>
      <c r="D224" t="s">
        <v>1262</v>
      </c>
      <c r="E224" s="4">
        <v>45887.583333333343</v>
      </c>
      <c r="F224">
        <v>4</v>
      </c>
      <c r="G224">
        <v>5.3</v>
      </c>
      <c r="H224">
        <v>12.1</v>
      </c>
      <c r="I224" t="s">
        <v>1265</v>
      </c>
      <c r="J224" t="s">
        <v>366</v>
      </c>
      <c r="K224" t="s">
        <v>328</v>
      </c>
      <c r="L224" s="7" t="str">
        <f t="shared" si="6"/>
        <v>Yes</v>
      </c>
      <c r="M224" s="16">
        <f t="shared" ca="1" si="7"/>
        <v>262.41666666665697</v>
      </c>
    </row>
    <row r="225" spans="1:13">
      <c r="A225" t="s">
        <v>1369</v>
      </c>
      <c r="B225" t="s">
        <v>32</v>
      </c>
      <c r="C225" t="s">
        <v>369</v>
      </c>
      <c r="D225" t="s">
        <v>1258</v>
      </c>
      <c r="E225" s="4">
        <v>45882.75</v>
      </c>
      <c r="F225">
        <v>72</v>
      </c>
      <c r="G225">
        <v>1.8</v>
      </c>
      <c r="H225">
        <v>109.8</v>
      </c>
      <c r="I225" t="s">
        <v>1265</v>
      </c>
      <c r="J225" t="s">
        <v>456</v>
      </c>
      <c r="K225" t="s">
        <v>328</v>
      </c>
      <c r="L225" s="7" t="str">
        <f t="shared" si="6"/>
        <v>Yes</v>
      </c>
      <c r="M225" s="16">
        <f t="shared" ca="1" si="7"/>
        <v>267.25</v>
      </c>
    </row>
    <row r="226" spans="1:13">
      <c r="A226" t="s">
        <v>1238</v>
      </c>
      <c r="B226" t="s">
        <v>38</v>
      </c>
      <c r="C226" t="s">
        <v>392</v>
      </c>
      <c r="D226" t="s">
        <v>1258</v>
      </c>
      <c r="E226" s="4">
        <v>45904.083333333343</v>
      </c>
      <c r="F226">
        <v>24</v>
      </c>
      <c r="G226">
        <v>1</v>
      </c>
      <c r="H226">
        <v>126.8</v>
      </c>
      <c r="I226" t="s">
        <v>1265</v>
      </c>
      <c r="J226" t="s">
        <v>374</v>
      </c>
      <c r="K226" t="s">
        <v>335</v>
      </c>
      <c r="L226" s="7" t="str">
        <f t="shared" si="6"/>
        <v>Yes</v>
      </c>
      <c r="M226" s="16">
        <f t="shared" ca="1" si="7"/>
        <v>245.91666666665697</v>
      </c>
    </row>
    <row r="227" spans="1:13">
      <c r="A227" t="s">
        <v>773</v>
      </c>
      <c r="B227" t="s">
        <v>73</v>
      </c>
      <c r="C227" t="s">
        <v>381</v>
      </c>
      <c r="D227" t="s">
        <v>1258</v>
      </c>
      <c r="E227" s="4">
        <v>45854.5</v>
      </c>
      <c r="F227">
        <v>48</v>
      </c>
      <c r="G227">
        <v>1.3</v>
      </c>
      <c r="H227">
        <v>31.1</v>
      </c>
      <c r="I227" t="s">
        <v>331</v>
      </c>
      <c r="J227" t="s">
        <v>393</v>
      </c>
      <c r="K227" t="s">
        <v>335</v>
      </c>
      <c r="L227" s="7" t="str">
        <f t="shared" si="6"/>
        <v>No</v>
      </c>
      <c r="M227" s="16">
        <f t="shared" ca="1" si="7"/>
        <v>295.5</v>
      </c>
    </row>
    <row r="228" spans="1:13">
      <c r="A228" t="s">
        <v>507</v>
      </c>
      <c r="B228" t="s">
        <v>112</v>
      </c>
      <c r="C228" t="s">
        <v>384</v>
      </c>
      <c r="D228" t="s">
        <v>1261</v>
      </c>
      <c r="E228" s="4">
        <v>45964.833333333343</v>
      </c>
      <c r="F228">
        <v>24</v>
      </c>
      <c r="G228">
        <v>3.3</v>
      </c>
      <c r="H228">
        <v>119</v>
      </c>
      <c r="I228" t="s">
        <v>1259</v>
      </c>
      <c r="J228" t="s">
        <v>456</v>
      </c>
      <c r="K228" t="s">
        <v>335</v>
      </c>
      <c r="L228" s="7" t="str">
        <f t="shared" si="6"/>
        <v>Yes</v>
      </c>
      <c r="M228" s="16">
        <f t="shared" ca="1" si="7"/>
        <v>0</v>
      </c>
    </row>
    <row r="229" spans="1:13">
      <c r="A229" t="s">
        <v>816</v>
      </c>
      <c r="B229" t="s">
        <v>159</v>
      </c>
      <c r="C229" t="s">
        <v>384</v>
      </c>
      <c r="D229" t="s">
        <v>1258</v>
      </c>
      <c r="E229" s="4">
        <v>46108.291666666657</v>
      </c>
      <c r="F229">
        <v>72</v>
      </c>
      <c r="G229">
        <v>5.2</v>
      </c>
      <c r="H229">
        <v>133</v>
      </c>
      <c r="I229" t="s">
        <v>1259</v>
      </c>
      <c r="J229" t="s">
        <v>396</v>
      </c>
      <c r="K229" t="s">
        <v>335</v>
      </c>
      <c r="L229" s="7" t="str">
        <f t="shared" si="6"/>
        <v>Yes</v>
      </c>
      <c r="M229" s="16">
        <f t="shared" ca="1" si="7"/>
        <v>0</v>
      </c>
    </row>
    <row r="230" spans="1:13">
      <c r="A230" t="s">
        <v>1370</v>
      </c>
      <c r="B230" t="s">
        <v>76</v>
      </c>
      <c r="C230" t="s">
        <v>365</v>
      </c>
      <c r="D230" t="s">
        <v>1258</v>
      </c>
      <c r="E230" s="4">
        <v>46128.666666666657</v>
      </c>
      <c r="F230">
        <v>24</v>
      </c>
      <c r="G230">
        <v>2.6</v>
      </c>
      <c r="H230">
        <v>26.5</v>
      </c>
      <c r="I230" t="s">
        <v>1259</v>
      </c>
      <c r="J230" t="s">
        <v>366</v>
      </c>
      <c r="K230" t="s">
        <v>328</v>
      </c>
      <c r="L230" s="7" t="str">
        <f t="shared" si="6"/>
        <v>Yes</v>
      </c>
      <c r="M230" s="16">
        <f t="shared" ca="1" si="7"/>
        <v>0</v>
      </c>
    </row>
    <row r="231" spans="1:13">
      <c r="A231" t="s">
        <v>1207</v>
      </c>
      <c r="B231" t="s">
        <v>155</v>
      </c>
      <c r="C231" t="s">
        <v>467</v>
      </c>
      <c r="D231" t="s">
        <v>1261</v>
      </c>
      <c r="E231" s="4">
        <v>46080.666666666657</v>
      </c>
      <c r="F231">
        <v>24</v>
      </c>
      <c r="G231">
        <v>5</v>
      </c>
      <c r="H231">
        <v>134.30000000000001</v>
      </c>
      <c r="I231" t="s">
        <v>1263</v>
      </c>
      <c r="J231" t="s">
        <v>456</v>
      </c>
      <c r="K231" t="s">
        <v>328</v>
      </c>
      <c r="L231" s="7" t="str">
        <f t="shared" si="6"/>
        <v>Yes</v>
      </c>
      <c r="M231" s="16">
        <f t="shared" ca="1" si="7"/>
        <v>69.333333333343035</v>
      </c>
    </row>
    <row r="232" spans="1:13">
      <c r="A232" t="s">
        <v>684</v>
      </c>
      <c r="B232" t="s">
        <v>249</v>
      </c>
      <c r="C232" t="s">
        <v>377</v>
      </c>
      <c r="D232" t="s">
        <v>1261</v>
      </c>
      <c r="E232" s="4">
        <v>45867.291666666657</v>
      </c>
      <c r="F232">
        <v>72</v>
      </c>
      <c r="G232">
        <v>5.5</v>
      </c>
      <c r="H232">
        <v>107.7</v>
      </c>
      <c r="I232" t="s">
        <v>1259</v>
      </c>
      <c r="J232" t="s">
        <v>403</v>
      </c>
      <c r="K232" t="s">
        <v>328</v>
      </c>
      <c r="L232" s="7" t="str">
        <f t="shared" si="6"/>
        <v>Yes</v>
      </c>
      <c r="M232" s="16">
        <f t="shared" ca="1" si="7"/>
        <v>0</v>
      </c>
    </row>
    <row r="233" spans="1:13">
      <c r="A233" t="s">
        <v>1371</v>
      </c>
      <c r="B233" t="s">
        <v>123</v>
      </c>
      <c r="C233" t="s">
        <v>443</v>
      </c>
      <c r="D233" t="s">
        <v>1258</v>
      </c>
      <c r="E233" s="4">
        <v>46022.75</v>
      </c>
      <c r="F233">
        <v>4</v>
      </c>
      <c r="G233">
        <v>4.5999999999999996</v>
      </c>
      <c r="H233">
        <v>49.1</v>
      </c>
      <c r="I233" t="s">
        <v>1259</v>
      </c>
      <c r="J233" t="s">
        <v>403</v>
      </c>
      <c r="K233" t="s">
        <v>323</v>
      </c>
      <c r="L233" s="7" t="str">
        <f t="shared" si="6"/>
        <v>Yes</v>
      </c>
      <c r="M233" s="16">
        <f t="shared" ca="1" si="7"/>
        <v>0</v>
      </c>
    </row>
    <row r="234" spans="1:13">
      <c r="A234" t="s">
        <v>1372</v>
      </c>
      <c r="B234" t="s">
        <v>202</v>
      </c>
      <c r="C234" t="s">
        <v>365</v>
      </c>
      <c r="D234" t="s">
        <v>1258</v>
      </c>
      <c r="E234" s="4">
        <v>45928.625</v>
      </c>
      <c r="F234">
        <v>4</v>
      </c>
      <c r="G234">
        <v>0.8</v>
      </c>
      <c r="H234">
        <v>33.4</v>
      </c>
      <c r="I234" t="s">
        <v>331</v>
      </c>
      <c r="J234" t="s">
        <v>414</v>
      </c>
      <c r="K234" t="s">
        <v>335</v>
      </c>
      <c r="L234" s="7" t="str">
        <f t="shared" si="6"/>
        <v>Yes</v>
      </c>
      <c r="M234" s="16">
        <f t="shared" ca="1" si="7"/>
        <v>221.375</v>
      </c>
    </row>
    <row r="235" spans="1:13">
      <c r="A235" t="s">
        <v>1373</v>
      </c>
      <c r="B235" t="s">
        <v>7</v>
      </c>
      <c r="C235" t="s">
        <v>417</v>
      </c>
      <c r="D235" t="s">
        <v>1266</v>
      </c>
      <c r="E235" s="4">
        <v>45942.166666666657</v>
      </c>
      <c r="F235">
        <v>24</v>
      </c>
      <c r="G235">
        <v>4.7</v>
      </c>
      <c r="H235">
        <v>70.7</v>
      </c>
      <c r="I235" t="s">
        <v>1259</v>
      </c>
      <c r="J235" t="s">
        <v>396</v>
      </c>
      <c r="K235" t="s">
        <v>328</v>
      </c>
      <c r="L235" s="7" t="str">
        <f t="shared" si="6"/>
        <v>Yes</v>
      </c>
      <c r="M235" s="16">
        <f t="shared" ca="1" si="7"/>
        <v>0</v>
      </c>
    </row>
    <row r="236" spans="1:13">
      <c r="A236" t="s">
        <v>1057</v>
      </c>
      <c r="B236" t="s">
        <v>116</v>
      </c>
      <c r="C236" t="s">
        <v>384</v>
      </c>
      <c r="D236" t="s">
        <v>1262</v>
      </c>
      <c r="E236" s="4">
        <v>45911.125</v>
      </c>
      <c r="F236">
        <v>72</v>
      </c>
      <c r="G236">
        <v>5.6</v>
      </c>
      <c r="H236">
        <v>73.8</v>
      </c>
      <c r="I236" t="s">
        <v>1259</v>
      </c>
      <c r="J236" t="s">
        <v>378</v>
      </c>
      <c r="K236" t="s">
        <v>335</v>
      </c>
      <c r="L236" s="7" t="str">
        <f t="shared" si="6"/>
        <v>Yes</v>
      </c>
      <c r="M236" s="16">
        <f t="shared" ca="1" si="7"/>
        <v>0</v>
      </c>
    </row>
    <row r="237" spans="1:13">
      <c r="A237" t="s">
        <v>1374</v>
      </c>
      <c r="B237" t="s">
        <v>168</v>
      </c>
      <c r="C237" t="s">
        <v>399</v>
      </c>
      <c r="D237" t="s">
        <v>1258</v>
      </c>
      <c r="E237" s="4">
        <v>46004.166666666657</v>
      </c>
      <c r="F237">
        <v>8</v>
      </c>
      <c r="G237">
        <v>4.8</v>
      </c>
      <c r="H237">
        <v>60.3</v>
      </c>
      <c r="I237" t="s">
        <v>1259</v>
      </c>
      <c r="J237" t="s">
        <v>440</v>
      </c>
      <c r="K237" t="s">
        <v>323</v>
      </c>
      <c r="L237" s="7" t="str">
        <f t="shared" si="6"/>
        <v>Yes</v>
      </c>
      <c r="M237" s="16">
        <f t="shared" ca="1" si="7"/>
        <v>0</v>
      </c>
    </row>
    <row r="238" spans="1:13">
      <c r="A238" t="s">
        <v>1375</v>
      </c>
      <c r="B238" t="s">
        <v>199</v>
      </c>
      <c r="C238" t="s">
        <v>384</v>
      </c>
      <c r="D238" t="s">
        <v>1262</v>
      </c>
      <c r="E238" s="4">
        <v>46126.916666666657</v>
      </c>
      <c r="F238">
        <v>72</v>
      </c>
      <c r="G238">
        <v>5.2</v>
      </c>
      <c r="H238">
        <v>18.399999999999999</v>
      </c>
      <c r="I238" t="s">
        <v>1259</v>
      </c>
      <c r="J238" t="s">
        <v>403</v>
      </c>
      <c r="K238" t="s">
        <v>335</v>
      </c>
      <c r="L238" s="7" t="str">
        <f t="shared" si="6"/>
        <v>No</v>
      </c>
      <c r="M238" s="16">
        <f t="shared" ca="1" si="7"/>
        <v>0</v>
      </c>
    </row>
    <row r="239" spans="1:13">
      <c r="A239" t="s">
        <v>1376</v>
      </c>
      <c r="B239" t="s">
        <v>295</v>
      </c>
      <c r="C239" t="s">
        <v>381</v>
      </c>
      <c r="D239" t="s">
        <v>1262</v>
      </c>
      <c r="E239" s="4">
        <v>45904.208333333343</v>
      </c>
      <c r="F239">
        <v>4</v>
      </c>
      <c r="G239">
        <v>6.2</v>
      </c>
      <c r="H239">
        <v>72.900000000000006</v>
      </c>
      <c r="I239" t="s">
        <v>1259</v>
      </c>
      <c r="J239" t="s">
        <v>374</v>
      </c>
      <c r="K239" t="s">
        <v>328</v>
      </c>
      <c r="L239" s="7" t="str">
        <f t="shared" si="6"/>
        <v>Yes</v>
      </c>
      <c r="M239" s="16">
        <f t="shared" ca="1" si="7"/>
        <v>0</v>
      </c>
    </row>
    <row r="240" spans="1:13">
      <c r="A240" t="s">
        <v>938</v>
      </c>
      <c r="B240" t="s">
        <v>133</v>
      </c>
      <c r="C240" t="s">
        <v>443</v>
      </c>
      <c r="D240" t="s">
        <v>1258</v>
      </c>
      <c r="E240" s="4">
        <v>45952.833333333343</v>
      </c>
      <c r="F240">
        <v>72</v>
      </c>
      <c r="G240">
        <v>0.9</v>
      </c>
      <c r="H240">
        <v>68.099999999999994</v>
      </c>
      <c r="I240" t="s">
        <v>1259</v>
      </c>
      <c r="J240" t="s">
        <v>456</v>
      </c>
      <c r="K240" t="s">
        <v>328</v>
      </c>
      <c r="L240" s="7" t="str">
        <f t="shared" si="6"/>
        <v>No</v>
      </c>
      <c r="M240" s="16">
        <f t="shared" ca="1" si="7"/>
        <v>0</v>
      </c>
    </row>
    <row r="241" spans="1:13">
      <c r="A241" t="s">
        <v>1377</v>
      </c>
      <c r="B241" t="s">
        <v>253</v>
      </c>
      <c r="C241" t="s">
        <v>417</v>
      </c>
      <c r="D241" t="s">
        <v>1261</v>
      </c>
      <c r="E241" s="4">
        <v>45884.916666666657</v>
      </c>
      <c r="F241">
        <v>24</v>
      </c>
      <c r="G241">
        <v>3</v>
      </c>
      <c r="H241">
        <v>37.700000000000003</v>
      </c>
      <c r="I241" t="s">
        <v>331</v>
      </c>
      <c r="J241" t="s">
        <v>456</v>
      </c>
      <c r="K241" t="s">
        <v>335</v>
      </c>
      <c r="L241" s="7" t="str">
        <f t="shared" si="6"/>
        <v>Yes</v>
      </c>
      <c r="M241" s="16">
        <f t="shared" ca="1" si="7"/>
        <v>265.08333333334303</v>
      </c>
    </row>
    <row r="242" spans="1:13">
      <c r="A242" t="s">
        <v>1378</v>
      </c>
      <c r="B242" t="s">
        <v>262</v>
      </c>
      <c r="C242" t="s">
        <v>399</v>
      </c>
      <c r="D242" t="s">
        <v>1262</v>
      </c>
      <c r="E242" s="4">
        <v>45863.5</v>
      </c>
      <c r="F242">
        <v>48</v>
      </c>
      <c r="G242">
        <v>4.8</v>
      </c>
      <c r="H242">
        <v>74.5</v>
      </c>
      <c r="I242" t="s">
        <v>1259</v>
      </c>
      <c r="J242" t="s">
        <v>440</v>
      </c>
      <c r="K242" t="s">
        <v>335</v>
      </c>
      <c r="L242" s="7" t="str">
        <f t="shared" si="6"/>
        <v>Yes</v>
      </c>
      <c r="M242" s="16">
        <f t="shared" ca="1" si="7"/>
        <v>0</v>
      </c>
    </row>
    <row r="243" spans="1:13">
      <c r="A243" t="s">
        <v>1379</v>
      </c>
      <c r="B243" t="s">
        <v>253</v>
      </c>
      <c r="C243" t="s">
        <v>476</v>
      </c>
      <c r="D243" t="s">
        <v>1258</v>
      </c>
      <c r="E243" s="4">
        <v>46084.75</v>
      </c>
      <c r="F243">
        <v>8</v>
      </c>
      <c r="G243">
        <v>1.2</v>
      </c>
      <c r="H243">
        <v>12.5</v>
      </c>
      <c r="I243" t="s">
        <v>1259</v>
      </c>
      <c r="J243" t="s">
        <v>393</v>
      </c>
      <c r="K243" t="s">
        <v>328</v>
      </c>
      <c r="L243" s="7" t="str">
        <f t="shared" si="6"/>
        <v>Yes</v>
      </c>
      <c r="M243" s="16">
        <f t="shared" ca="1" si="7"/>
        <v>0</v>
      </c>
    </row>
    <row r="244" spans="1:13">
      <c r="A244" t="s">
        <v>1106</v>
      </c>
      <c r="B244" t="s">
        <v>199</v>
      </c>
      <c r="C244" t="s">
        <v>467</v>
      </c>
      <c r="D244" t="s">
        <v>1266</v>
      </c>
      <c r="E244" s="4">
        <v>45876.416666666657</v>
      </c>
      <c r="F244">
        <v>8</v>
      </c>
      <c r="G244">
        <v>5.8</v>
      </c>
      <c r="H244">
        <v>13.7</v>
      </c>
      <c r="I244" t="s">
        <v>1265</v>
      </c>
      <c r="J244" t="s">
        <v>456</v>
      </c>
      <c r="K244" t="s">
        <v>335</v>
      </c>
      <c r="L244" s="7" t="str">
        <f t="shared" si="6"/>
        <v>Yes</v>
      </c>
      <c r="M244" s="16">
        <f t="shared" ca="1" si="7"/>
        <v>273.58333333334303</v>
      </c>
    </row>
    <row r="245" spans="1:13">
      <c r="A245" t="s">
        <v>1163</v>
      </c>
      <c r="B245" t="s">
        <v>108</v>
      </c>
      <c r="C245" t="s">
        <v>443</v>
      </c>
      <c r="D245" t="s">
        <v>1262</v>
      </c>
      <c r="E245" s="4">
        <v>45854.541666666657</v>
      </c>
      <c r="F245">
        <v>8</v>
      </c>
      <c r="G245">
        <v>4</v>
      </c>
      <c r="H245">
        <v>34.299999999999997</v>
      </c>
      <c r="I245" t="s">
        <v>1265</v>
      </c>
      <c r="J245" t="s">
        <v>396</v>
      </c>
      <c r="K245" t="s">
        <v>328</v>
      </c>
      <c r="L245" s="7" t="str">
        <f t="shared" si="6"/>
        <v>Yes</v>
      </c>
      <c r="M245" s="16">
        <f t="shared" ca="1" si="7"/>
        <v>295.45833333334303</v>
      </c>
    </row>
    <row r="246" spans="1:13">
      <c r="A246" t="s">
        <v>769</v>
      </c>
      <c r="B246" t="s">
        <v>202</v>
      </c>
      <c r="C246" t="s">
        <v>369</v>
      </c>
      <c r="D246" t="s">
        <v>1262</v>
      </c>
      <c r="E246" s="4">
        <v>46115.333333333343</v>
      </c>
      <c r="F246">
        <v>24</v>
      </c>
      <c r="G246">
        <v>2.1</v>
      </c>
      <c r="H246">
        <v>8.8000000000000007</v>
      </c>
      <c r="I246" t="s">
        <v>1259</v>
      </c>
      <c r="J246" t="s">
        <v>414</v>
      </c>
      <c r="K246" t="s">
        <v>335</v>
      </c>
      <c r="L246" s="7" t="str">
        <f t="shared" si="6"/>
        <v>No</v>
      </c>
      <c r="M246" s="16">
        <f t="shared" ca="1" si="7"/>
        <v>0</v>
      </c>
    </row>
    <row r="247" spans="1:13">
      <c r="A247" t="s">
        <v>1380</v>
      </c>
      <c r="B247" t="s">
        <v>18</v>
      </c>
      <c r="C247" t="s">
        <v>373</v>
      </c>
      <c r="D247" t="s">
        <v>1258</v>
      </c>
      <c r="E247" s="4">
        <v>46057.083333333343</v>
      </c>
      <c r="F247">
        <v>24</v>
      </c>
      <c r="G247">
        <v>5.4</v>
      </c>
      <c r="H247">
        <v>85.1</v>
      </c>
      <c r="I247" t="s">
        <v>1259</v>
      </c>
      <c r="J247" t="s">
        <v>456</v>
      </c>
      <c r="K247" t="s">
        <v>328</v>
      </c>
      <c r="L247" s="7" t="str">
        <f t="shared" si="6"/>
        <v>Yes</v>
      </c>
      <c r="M247" s="16">
        <f t="shared" ca="1" si="7"/>
        <v>0</v>
      </c>
    </row>
    <row r="248" spans="1:13">
      <c r="A248" t="s">
        <v>1381</v>
      </c>
      <c r="B248" t="s">
        <v>192</v>
      </c>
      <c r="C248" t="s">
        <v>384</v>
      </c>
      <c r="D248" t="s">
        <v>1262</v>
      </c>
      <c r="E248" s="4">
        <v>45880.625</v>
      </c>
      <c r="F248">
        <v>4</v>
      </c>
      <c r="G248">
        <v>2.1</v>
      </c>
      <c r="H248">
        <v>31.5</v>
      </c>
      <c r="I248" t="s">
        <v>1259</v>
      </c>
      <c r="J248" t="s">
        <v>378</v>
      </c>
      <c r="K248" t="s">
        <v>335</v>
      </c>
      <c r="L248" s="7" t="str">
        <f t="shared" si="6"/>
        <v>Yes</v>
      </c>
      <c r="M248" s="16">
        <f t="shared" ca="1" si="7"/>
        <v>0</v>
      </c>
    </row>
    <row r="249" spans="1:13">
      <c r="A249" t="s">
        <v>1382</v>
      </c>
      <c r="B249" t="s">
        <v>283</v>
      </c>
      <c r="C249" t="s">
        <v>392</v>
      </c>
      <c r="D249" t="s">
        <v>1258</v>
      </c>
      <c r="E249" s="4">
        <v>45933.458333333343</v>
      </c>
      <c r="F249">
        <v>48</v>
      </c>
      <c r="G249">
        <v>2.5</v>
      </c>
      <c r="H249">
        <v>61.5</v>
      </c>
      <c r="I249" t="s">
        <v>331</v>
      </c>
      <c r="J249" t="s">
        <v>440</v>
      </c>
      <c r="K249" t="s">
        <v>335</v>
      </c>
      <c r="L249" s="7" t="str">
        <f t="shared" si="6"/>
        <v>Yes</v>
      </c>
      <c r="M249" s="16">
        <f t="shared" ca="1" si="7"/>
        <v>216.54166666665697</v>
      </c>
    </row>
    <row r="250" spans="1:13">
      <c r="A250" t="s">
        <v>853</v>
      </c>
      <c r="B250" t="s">
        <v>235</v>
      </c>
      <c r="C250" t="s">
        <v>467</v>
      </c>
      <c r="D250" t="s">
        <v>1262</v>
      </c>
      <c r="E250" s="4">
        <v>45916.916666666657</v>
      </c>
      <c r="F250">
        <v>4</v>
      </c>
      <c r="G250">
        <v>0.7</v>
      </c>
      <c r="H250">
        <v>27.5</v>
      </c>
      <c r="I250" t="s">
        <v>1259</v>
      </c>
      <c r="J250" t="s">
        <v>374</v>
      </c>
      <c r="K250" t="s">
        <v>328</v>
      </c>
      <c r="L250" s="7" t="str">
        <f t="shared" si="6"/>
        <v>Yes</v>
      </c>
      <c r="M250" s="16">
        <f t="shared" ca="1" si="7"/>
        <v>0</v>
      </c>
    </row>
    <row r="251" spans="1:13">
      <c r="A251" t="s">
        <v>924</v>
      </c>
      <c r="B251" t="s">
        <v>180</v>
      </c>
      <c r="C251" t="s">
        <v>373</v>
      </c>
      <c r="D251" t="s">
        <v>1262</v>
      </c>
      <c r="E251" s="4">
        <v>46106.541666666657</v>
      </c>
      <c r="F251">
        <v>72</v>
      </c>
      <c r="G251">
        <v>4.5</v>
      </c>
      <c r="H251">
        <v>72</v>
      </c>
      <c r="I251" t="s">
        <v>1259</v>
      </c>
      <c r="J251" t="s">
        <v>366</v>
      </c>
      <c r="K251" t="s">
        <v>335</v>
      </c>
      <c r="L251" s="7" t="str">
        <f t="shared" si="6"/>
        <v>No</v>
      </c>
      <c r="M251" s="16">
        <f t="shared" ca="1" si="7"/>
        <v>0</v>
      </c>
    </row>
    <row r="252" spans="1:13">
      <c r="A252" t="s">
        <v>1069</v>
      </c>
      <c r="B252" t="s">
        <v>196</v>
      </c>
      <c r="C252" t="s">
        <v>399</v>
      </c>
      <c r="D252" t="s">
        <v>1258</v>
      </c>
      <c r="E252" s="4">
        <v>45856.666666666657</v>
      </c>
      <c r="F252">
        <v>72</v>
      </c>
      <c r="G252">
        <v>5.9</v>
      </c>
      <c r="H252">
        <v>108.1</v>
      </c>
      <c r="I252" t="s">
        <v>1259</v>
      </c>
      <c r="J252" t="s">
        <v>374</v>
      </c>
      <c r="K252" t="s">
        <v>328</v>
      </c>
      <c r="L252" s="7" t="str">
        <f t="shared" si="6"/>
        <v>Yes</v>
      </c>
      <c r="M252" s="16">
        <f t="shared" ca="1" si="7"/>
        <v>0</v>
      </c>
    </row>
    <row r="253" spans="1:13">
      <c r="A253" t="s">
        <v>1383</v>
      </c>
      <c r="B253" t="s">
        <v>121</v>
      </c>
      <c r="C253" t="s">
        <v>365</v>
      </c>
      <c r="D253" t="s">
        <v>1261</v>
      </c>
      <c r="E253" s="4">
        <v>45924.25</v>
      </c>
      <c r="F253">
        <v>8</v>
      </c>
      <c r="G253">
        <v>1</v>
      </c>
      <c r="H253">
        <v>58.5</v>
      </c>
      <c r="I253" t="s">
        <v>1263</v>
      </c>
      <c r="J253" t="s">
        <v>400</v>
      </c>
      <c r="K253" t="s">
        <v>328</v>
      </c>
      <c r="L253" s="7" t="str">
        <f t="shared" si="6"/>
        <v>Yes</v>
      </c>
      <c r="M253" s="16">
        <f t="shared" ca="1" si="7"/>
        <v>225.75</v>
      </c>
    </row>
    <row r="254" spans="1:13">
      <c r="A254" t="s">
        <v>458</v>
      </c>
      <c r="B254" t="s">
        <v>73</v>
      </c>
      <c r="C254" t="s">
        <v>392</v>
      </c>
      <c r="D254" t="s">
        <v>1261</v>
      </c>
      <c r="E254" s="4">
        <v>46143.333333333343</v>
      </c>
      <c r="F254">
        <v>24</v>
      </c>
      <c r="G254">
        <v>5.9</v>
      </c>
      <c r="H254">
        <v>123.1</v>
      </c>
      <c r="I254" t="s">
        <v>1265</v>
      </c>
      <c r="J254" t="s">
        <v>400</v>
      </c>
      <c r="K254" t="s">
        <v>323</v>
      </c>
      <c r="L254" s="7" t="str">
        <f t="shared" si="6"/>
        <v>Yes</v>
      </c>
      <c r="M254" s="16">
        <f t="shared" ca="1" si="7"/>
        <v>6.6666666666569654</v>
      </c>
    </row>
    <row r="255" spans="1:13">
      <c r="A255" t="s">
        <v>626</v>
      </c>
      <c r="B255" t="s">
        <v>21</v>
      </c>
      <c r="C255" t="s">
        <v>476</v>
      </c>
      <c r="D255" t="s">
        <v>1258</v>
      </c>
      <c r="E255" s="4">
        <v>45980.666666666657</v>
      </c>
      <c r="F255">
        <v>48</v>
      </c>
      <c r="G255">
        <v>6</v>
      </c>
      <c r="H255">
        <v>4.4000000000000004</v>
      </c>
      <c r="I255" t="s">
        <v>1259</v>
      </c>
      <c r="J255" t="s">
        <v>374</v>
      </c>
      <c r="K255" t="s">
        <v>323</v>
      </c>
      <c r="L255" s="7" t="str">
        <f t="shared" si="6"/>
        <v>No</v>
      </c>
      <c r="M255" s="16">
        <f t="shared" ca="1" si="7"/>
        <v>0</v>
      </c>
    </row>
    <row r="256" spans="1:13">
      <c r="A256" t="s">
        <v>903</v>
      </c>
      <c r="B256" t="s">
        <v>127</v>
      </c>
      <c r="C256" t="s">
        <v>369</v>
      </c>
      <c r="D256" t="s">
        <v>1261</v>
      </c>
      <c r="E256" s="4">
        <v>45915.166666666657</v>
      </c>
      <c r="F256">
        <v>72</v>
      </c>
      <c r="G256">
        <v>3.9</v>
      </c>
      <c r="H256">
        <v>102.6</v>
      </c>
      <c r="I256" t="s">
        <v>1263</v>
      </c>
      <c r="J256" t="s">
        <v>456</v>
      </c>
      <c r="K256" t="s">
        <v>323</v>
      </c>
      <c r="L256" s="7" t="str">
        <f t="shared" si="6"/>
        <v>Yes</v>
      </c>
      <c r="M256" s="16">
        <f t="shared" ca="1" si="7"/>
        <v>234.83333333334303</v>
      </c>
    </row>
    <row r="257" spans="1:13">
      <c r="A257" t="s">
        <v>1384</v>
      </c>
      <c r="B257" t="s">
        <v>40</v>
      </c>
      <c r="C257" t="s">
        <v>399</v>
      </c>
      <c r="D257" t="s">
        <v>1262</v>
      </c>
      <c r="E257" s="4">
        <v>46113.458333333343</v>
      </c>
      <c r="F257">
        <v>48</v>
      </c>
      <c r="G257">
        <v>1.9</v>
      </c>
      <c r="H257">
        <v>50.8</v>
      </c>
      <c r="I257" t="s">
        <v>1259</v>
      </c>
      <c r="J257" t="s">
        <v>440</v>
      </c>
      <c r="K257" t="s">
        <v>328</v>
      </c>
      <c r="L257" s="7" t="str">
        <f t="shared" si="6"/>
        <v>Yes</v>
      </c>
      <c r="M257" s="16">
        <f t="shared" ca="1" si="7"/>
        <v>0</v>
      </c>
    </row>
    <row r="258" spans="1:13">
      <c r="A258" t="s">
        <v>544</v>
      </c>
      <c r="B258" t="s">
        <v>63</v>
      </c>
      <c r="C258" t="s">
        <v>467</v>
      </c>
      <c r="D258" t="s">
        <v>1258</v>
      </c>
      <c r="E258" s="4">
        <v>46044.041666666657</v>
      </c>
      <c r="F258">
        <v>48</v>
      </c>
      <c r="G258">
        <v>5.8</v>
      </c>
      <c r="H258">
        <v>46.4</v>
      </c>
      <c r="I258" t="s">
        <v>331</v>
      </c>
      <c r="J258" t="s">
        <v>370</v>
      </c>
      <c r="K258" t="s">
        <v>335</v>
      </c>
      <c r="L258" s="7" t="str">
        <f t="shared" ref="L258:L321" si="8">IF(H258&gt;F258,"Yes","No")</f>
        <v>No</v>
      </c>
      <c r="M258" s="16">
        <f t="shared" ref="M258:M321" ca="1" si="9">IF(I258="Closed",0,TODAY()-E258)</f>
        <v>105.95833333334303</v>
      </c>
    </row>
    <row r="259" spans="1:13">
      <c r="A259" t="s">
        <v>790</v>
      </c>
      <c r="B259" t="s">
        <v>215</v>
      </c>
      <c r="C259" t="s">
        <v>467</v>
      </c>
      <c r="D259" t="s">
        <v>1262</v>
      </c>
      <c r="E259" s="4">
        <v>45849.416666666657</v>
      </c>
      <c r="F259">
        <v>24</v>
      </c>
      <c r="G259">
        <v>2.2000000000000002</v>
      </c>
      <c r="H259">
        <v>65</v>
      </c>
      <c r="I259" t="s">
        <v>1259</v>
      </c>
      <c r="J259" t="s">
        <v>378</v>
      </c>
      <c r="K259" t="s">
        <v>328</v>
      </c>
      <c r="L259" s="7" t="str">
        <f t="shared" si="8"/>
        <v>Yes</v>
      </c>
      <c r="M259" s="16">
        <f t="shared" ca="1" si="9"/>
        <v>0</v>
      </c>
    </row>
    <row r="260" spans="1:13">
      <c r="A260" t="s">
        <v>1385</v>
      </c>
      <c r="B260" t="s">
        <v>227</v>
      </c>
      <c r="C260" t="s">
        <v>377</v>
      </c>
      <c r="D260" t="s">
        <v>1261</v>
      </c>
      <c r="E260" s="4">
        <v>46065.416666666657</v>
      </c>
      <c r="F260">
        <v>24</v>
      </c>
      <c r="G260">
        <v>4.8</v>
      </c>
      <c r="H260">
        <v>82.4</v>
      </c>
      <c r="I260" t="s">
        <v>1265</v>
      </c>
      <c r="J260" t="s">
        <v>440</v>
      </c>
      <c r="K260" t="s">
        <v>328</v>
      </c>
      <c r="L260" s="7" t="str">
        <f t="shared" si="8"/>
        <v>Yes</v>
      </c>
      <c r="M260" s="16">
        <f t="shared" ca="1" si="9"/>
        <v>84.583333333343035</v>
      </c>
    </row>
    <row r="261" spans="1:13">
      <c r="A261" t="s">
        <v>1386</v>
      </c>
      <c r="B261" t="s">
        <v>14</v>
      </c>
      <c r="C261" t="s">
        <v>369</v>
      </c>
      <c r="D261" t="s">
        <v>1262</v>
      </c>
      <c r="E261" s="4">
        <v>46103.458333333343</v>
      </c>
      <c r="F261">
        <v>4</v>
      </c>
      <c r="G261">
        <v>3.4</v>
      </c>
      <c r="H261">
        <v>13.6</v>
      </c>
      <c r="I261" t="s">
        <v>1259</v>
      </c>
      <c r="J261" t="s">
        <v>414</v>
      </c>
      <c r="K261" t="s">
        <v>335</v>
      </c>
      <c r="L261" s="7" t="str">
        <f t="shared" si="8"/>
        <v>Yes</v>
      </c>
      <c r="M261" s="16">
        <f t="shared" ca="1" si="9"/>
        <v>0</v>
      </c>
    </row>
    <row r="262" spans="1:13">
      <c r="A262" t="s">
        <v>1387</v>
      </c>
      <c r="B262" t="s">
        <v>16</v>
      </c>
      <c r="C262" t="s">
        <v>476</v>
      </c>
      <c r="D262" t="s">
        <v>1262</v>
      </c>
      <c r="E262" s="4">
        <v>45853.208333333343</v>
      </c>
      <c r="F262">
        <v>8</v>
      </c>
      <c r="G262">
        <v>5.7</v>
      </c>
      <c r="H262">
        <v>16.7</v>
      </c>
      <c r="I262" t="s">
        <v>1265</v>
      </c>
      <c r="J262" t="s">
        <v>387</v>
      </c>
      <c r="K262" t="s">
        <v>335</v>
      </c>
      <c r="L262" s="7" t="str">
        <f t="shared" si="8"/>
        <v>Yes</v>
      </c>
      <c r="M262" s="16">
        <f t="shared" ca="1" si="9"/>
        <v>296.79166666665697</v>
      </c>
    </row>
    <row r="263" spans="1:13">
      <c r="A263" t="s">
        <v>1388</v>
      </c>
      <c r="B263" t="s">
        <v>197</v>
      </c>
      <c r="C263" t="s">
        <v>417</v>
      </c>
      <c r="D263" t="s">
        <v>1262</v>
      </c>
      <c r="E263" s="4">
        <v>45979.458333333343</v>
      </c>
      <c r="F263">
        <v>48</v>
      </c>
      <c r="G263">
        <v>3.4</v>
      </c>
      <c r="H263">
        <v>49.4</v>
      </c>
      <c r="I263" t="s">
        <v>331</v>
      </c>
      <c r="J263" t="s">
        <v>387</v>
      </c>
      <c r="K263" t="s">
        <v>328</v>
      </c>
      <c r="L263" s="7" t="str">
        <f t="shared" si="8"/>
        <v>Yes</v>
      </c>
      <c r="M263" s="16">
        <f t="shared" ca="1" si="9"/>
        <v>170.54166666665697</v>
      </c>
    </row>
    <row r="264" spans="1:13">
      <c r="A264" t="s">
        <v>1389</v>
      </c>
      <c r="B264" t="s">
        <v>91</v>
      </c>
      <c r="C264" t="s">
        <v>365</v>
      </c>
      <c r="D264" t="s">
        <v>1262</v>
      </c>
      <c r="E264" s="4">
        <v>45929.625</v>
      </c>
      <c r="F264">
        <v>72</v>
      </c>
      <c r="G264">
        <v>3.7</v>
      </c>
      <c r="H264">
        <v>27.5</v>
      </c>
      <c r="I264" t="s">
        <v>1259</v>
      </c>
      <c r="J264" t="s">
        <v>393</v>
      </c>
      <c r="K264" t="s">
        <v>323</v>
      </c>
      <c r="L264" s="7" t="str">
        <f t="shared" si="8"/>
        <v>No</v>
      </c>
      <c r="M264" s="16">
        <f t="shared" ca="1" si="9"/>
        <v>0</v>
      </c>
    </row>
    <row r="265" spans="1:13">
      <c r="A265" t="s">
        <v>835</v>
      </c>
      <c r="B265" t="s">
        <v>190</v>
      </c>
      <c r="C265" t="s">
        <v>381</v>
      </c>
      <c r="D265" t="s">
        <v>1261</v>
      </c>
      <c r="E265" s="4">
        <v>45853.5</v>
      </c>
      <c r="F265">
        <v>4</v>
      </c>
      <c r="G265">
        <v>1.2</v>
      </c>
      <c r="H265">
        <v>78.099999999999994</v>
      </c>
      <c r="I265" t="s">
        <v>1263</v>
      </c>
      <c r="J265" t="s">
        <v>366</v>
      </c>
      <c r="K265" t="s">
        <v>323</v>
      </c>
      <c r="L265" s="7" t="str">
        <f t="shared" si="8"/>
        <v>Yes</v>
      </c>
      <c r="M265" s="16">
        <f t="shared" ca="1" si="9"/>
        <v>296.5</v>
      </c>
    </row>
    <row r="266" spans="1:13">
      <c r="A266" t="s">
        <v>1390</v>
      </c>
      <c r="B266" t="s">
        <v>235</v>
      </c>
      <c r="C266" t="s">
        <v>392</v>
      </c>
      <c r="D266" t="s">
        <v>1261</v>
      </c>
      <c r="E266" s="4">
        <v>46048.666666666657</v>
      </c>
      <c r="F266">
        <v>4</v>
      </c>
      <c r="G266">
        <v>5.6</v>
      </c>
      <c r="H266">
        <v>130.1</v>
      </c>
      <c r="I266" t="s">
        <v>1259</v>
      </c>
      <c r="J266" t="s">
        <v>440</v>
      </c>
      <c r="K266" t="s">
        <v>328</v>
      </c>
      <c r="L266" s="7" t="str">
        <f t="shared" si="8"/>
        <v>Yes</v>
      </c>
      <c r="M266" s="16">
        <f t="shared" ca="1" si="9"/>
        <v>0</v>
      </c>
    </row>
    <row r="267" spans="1:13">
      <c r="A267" t="s">
        <v>519</v>
      </c>
      <c r="B267" t="s">
        <v>34</v>
      </c>
      <c r="C267" t="s">
        <v>384</v>
      </c>
      <c r="D267" t="s">
        <v>1262</v>
      </c>
      <c r="E267" s="4">
        <v>45843.291666666657</v>
      </c>
      <c r="F267">
        <v>24</v>
      </c>
      <c r="G267">
        <v>4</v>
      </c>
      <c r="H267">
        <v>72.5</v>
      </c>
      <c r="I267" t="s">
        <v>1259</v>
      </c>
      <c r="J267" t="s">
        <v>370</v>
      </c>
      <c r="K267" t="s">
        <v>323</v>
      </c>
      <c r="L267" s="7" t="str">
        <f t="shared" si="8"/>
        <v>Yes</v>
      </c>
      <c r="M267" s="16">
        <f t="shared" ca="1" si="9"/>
        <v>0</v>
      </c>
    </row>
    <row r="268" spans="1:13">
      <c r="A268" t="s">
        <v>1391</v>
      </c>
      <c r="B268" t="s">
        <v>106</v>
      </c>
      <c r="C268" t="s">
        <v>369</v>
      </c>
      <c r="D268" t="s">
        <v>1262</v>
      </c>
      <c r="E268" s="4">
        <v>46017.583333333343</v>
      </c>
      <c r="F268">
        <v>24</v>
      </c>
      <c r="G268">
        <v>1.6</v>
      </c>
      <c r="H268">
        <v>24.3</v>
      </c>
      <c r="I268" t="s">
        <v>1259</v>
      </c>
      <c r="J268" t="s">
        <v>374</v>
      </c>
      <c r="K268" t="s">
        <v>335</v>
      </c>
      <c r="L268" s="7" t="str">
        <f t="shared" si="8"/>
        <v>Yes</v>
      </c>
      <c r="M268" s="16">
        <f t="shared" ca="1" si="9"/>
        <v>0</v>
      </c>
    </row>
    <row r="269" spans="1:13">
      <c r="A269" t="s">
        <v>665</v>
      </c>
      <c r="B269" t="s">
        <v>163</v>
      </c>
      <c r="C269" t="s">
        <v>399</v>
      </c>
      <c r="D269" t="s">
        <v>1261</v>
      </c>
      <c r="E269" s="4">
        <v>46030.708333333343</v>
      </c>
      <c r="F269">
        <v>72</v>
      </c>
      <c r="G269">
        <v>4</v>
      </c>
      <c r="H269">
        <v>42.1</v>
      </c>
      <c r="I269" t="s">
        <v>331</v>
      </c>
      <c r="J269" t="s">
        <v>456</v>
      </c>
      <c r="K269" t="s">
        <v>335</v>
      </c>
      <c r="L269" s="7" t="str">
        <f t="shared" si="8"/>
        <v>No</v>
      </c>
      <c r="M269" s="16">
        <f t="shared" ca="1" si="9"/>
        <v>119.29166666665697</v>
      </c>
    </row>
    <row r="270" spans="1:13">
      <c r="A270" t="s">
        <v>608</v>
      </c>
      <c r="B270" t="s">
        <v>106</v>
      </c>
      <c r="C270" t="s">
        <v>392</v>
      </c>
      <c r="D270" t="s">
        <v>1258</v>
      </c>
      <c r="E270" s="4">
        <v>45980.333333333343</v>
      </c>
      <c r="F270">
        <v>24</v>
      </c>
      <c r="G270">
        <v>1.4</v>
      </c>
      <c r="H270">
        <v>70.900000000000006</v>
      </c>
      <c r="I270" t="s">
        <v>331</v>
      </c>
      <c r="J270" t="s">
        <v>387</v>
      </c>
      <c r="K270" t="s">
        <v>323</v>
      </c>
      <c r="L270" s="7" t="str">
        <f t="shared" si="8"/>
        <v>Yes</v>
      </c>
      <c r="M270" s="16">
        <f t="shared" ca="1" si="9"/>
        <v>169.66666666665697</v>
      </c>
    </row>
    <row r="271" spans="1:13">
      <c r="A271" t="s">
        <v>1114</v>
      </c>
      <c r="B271" t="s">
        <v>110</v>
      </c>
      <c r="C271" t="s">
        <v>392</v>
      </c>
      <c r="D271" t="s">
        <v>1258</v>
      </c>
      <c r="E271" s="4">
        <v>45910.958333333343</v>
      </c>
      <c r="F271">
        <v>4</v>
      </c>
      <c r="G271">
        <v>4.3</v>
      </c>
      <c r="H271">
        <v>134.1</v>
      </c>
      <c r="I271" t="s">
        <v>331</v>
      </c>
      <c r="J271" t="s">
        <v>400</v>
      </c>
      <c r="K271" t="s">
        <v>335</v>
      </c>
      <c r="L271" s="7" t="str">
        <f t="shared" si="8"/>
        <v>Yes</v>
      </c>
      <c r="M271" s="16">
        <f t="shared" ca="1" si="9"/>
        <v>239.04166666665697</v>
      </c>
    </row>
    <row r="272" spans="1:13">
      <c r="A272" t="s">
        <v>1169</v>
      </c>
      <c r="B272" t="s">
        <v>159</v>
      </c>
      <c r="C272" t="s">
        <v>381</v>
      </c>
      <c r="D272" t="s">
        <v>1261</v>
      </c>
      <c r="E272" s="4">
        <v>46131.25</v>
      </c>
      <c r="F272">
        <v>24</v>
      </c>
      <c r="G272">
        <v>4.8</v>
      </c>
      <c r="H272">
        <v>32.1</v>
      </c>
      <c r="I272" t="s">
        <v>1259</v>
      </c>
      <c r="J272" t="s">
        <v>440</v>
      </c>
      <c r="K272" t="s">
        <v>323</v>
      </c>
      <c r="L272" s="7" t="str">
        <f t="shared" si="8"/>
        <v>Yes</v>
      </c>
      <c r="M272" s="16">
        <f t="shared" ca="1" si="9"/>
        <v>0</v>
      </c>
    </row>
    <row r="273" spans="1:13">
      <c r="A273" t="s">
        <v>1222</v>
      </c>
      <c r="B273" t="s">
        <v>151</v>
      </c>
      <c r="C273" t="s">
        <v>476</v>
      </c>
      <c r="D273" t="s">
        <v>1258</v>
      </c>
      <c r="E273" s="4">
        <v>45926.875</v>
      </c>
      <c r="F273">
        <v>72</v>
      </c>
      <c r="G273">
        <v>1.3</v>
      </c>
      <c r="H273">
        <v>15.6</v>
      </c>
      <c r="I273" t="s">
        <v>331</v>
      </c>
      <c r="J273" t="s">
        <v>393</v>
      </c>
      <c r="K273" t="s">
        <v>323</v>
      </c>
      <c r="L273" s="7" t="str">
        <f t="shared" si="8"/>
        <v>No</v>
      </c>
      <c r="M273" s="16">
        <f t="shared" ca="1" si="9"/>
        <v>223.125</v>
      </c>
    </row>
    <row r="274" spans="1:13">
      <c r="A274" t="s">
        <v>891</v>
      </c>
      <c r="B274" t="s">
        <v>61</v>
      </c>
      <c r="C274" t="s">
        <v>476</v>
      </c>
      <c r="D274" t="s">
        <v>1262</v>
      </c>
      <c r="E274" s="4">
        <v>45932.875</v>
      </c>
      <c r="F274">
        <v>24</v>
      </c>
      <c r="G274">
        <v>4.3</v>
      </c>
      <c r="H274">
        <v>18.3</v>
      </c>
      <c r="I274" t="s">
        <v>331</v>
      </c>
      <c r="J274" t="s">
        <v>393</v>
      </c>
      <c r="K274" t="s">
        <v>335</v>
      </c>
      <c r="L274" s="7" t="str">
        <f t="shared" si="8"/>
        <v>No</v>
      </c>
      <c r="M274" s="16">
        <f t="shared" ca="1" si="9"/>
        <v>217.125</v>
      </c>
    </row>
    <row r="275" spans="1:13">
      <c r="A275" t="s">
        <v>1392</v>
      </c>
      <c r="B275" t="s">
        <v>127</v>
      </c>
      <c r="C275" t="s">
        <v>417</v>
      </c>
      <c r="D275" t="s">
        <v>1258</v>
      </c>
      <c r="E275" s="4">
        <v>46138.375</v>
      </c>
      <c r="F275">
        <v>48</v>
      </c>
      <c r="G275">
        <v>5.6</v>
      </c>
      <c r="H275">
        <v>64.7</v>
      </c>
      <c r="I275" t="s">
        <v>1259</v>
      </c>
      <c r="J275" t="s">
        <v>374</v>
      </c>
      <c r="K275" t="s">
        <v>323</v>
      </c>
      <c r="L275" s="7" t="str">
        <f t="shared" si="8"/>
        <v>Yes</v>
      </c>
      <c r="M275" s="16">
        <f t="shared" ca="1" si="9"/>
        <v>0</v>
      </c>
    </row>
    <row r="276" spans="1:13">
      <c r="A276" t="s">
        <v>1161</v>
      </c>
      <c r="B276" t="s">
        <v>89</v>
      </c>
      <c r="C276" t="s">
        <v>399</v>
      </c>
      <c r="D276" t="s">
        <v>1258</v>
      </c>
      <c r="E276" s="4">
        <v>45938.666666666657</v>
      </c>
      <c r="F276">
        <v>4</v>
      </c>
      <c r="G276">
        <v>5.7</v>
      </c>
      <c r="H276">
        <v>53</v>
      </c>
      <c r="I276" t="s">
        <v>331</v>
      </c>
      <c r="J276" t="s">
        <v>387</v>
      </c>
      <c r="K276" t="s">
        <v>328</v>
      </c>
      <c r="L276" s="7" t="str">
        <f t="shared" si="8"/>
        <v>Yes</v>
      </c>
      <c r="M276" s="16">
        <f t="shared" ca="1" si="9"/>
        <v>211.33333333334303</v>
      </c>
    </row>
    <row r="277" spans="1:13">
      <c r="A277" t="s">
        <v>451</v>
      </c>
      <c r="B277" t="s">
        <v>16</v>
      </c>
      <c r="C277" t="s">
        <v>377</v>
      </c>
      <c r="D277" t="s">
        <v>1258</v>
      </c>
      <c r="E277" s="4">
        <v>46130.583333333343</v>
      </c>
      <c r="F277">
        <v>8</v>
      </c>
      <c r="G277">
        <v>2.2000000000000002</v>
      </c>
      <c r="H277">
        <v>97</v>
      </c>
      <c r="I277" t="s">
        <v>1259</v>
      </c>
      <c r="J277" t="s">
        <v>440</v>
      </c>
      <c r="K277" t="s">
        <v>335</v>
      </c>
      <c r="L277" s="7" t="str">
        <f t="shared" si="8"/>
        <v>Yes</v>
      </c>
      <c r="M277" s="16">
        <f t="shared" ca="1" si="9"/>
        <v>0</v>
      </c>
    </row>
    <row r="278" spans="1:13">
      <c r="A278" t="s">
        <v>1393</v>
      </c>
      <c r="B278" t="s">
        <v>140</v>
      </c>
      <c r="C278" t="s">
        <v>384</v>
      </c>
      <c r="D278" t="s">
        <v>1258</v>
      </c>
      <c r="E278" s="4">
        <v>45868</v>
      </c>
      <c r="F278">
        <v>48</v>
      </c>
      <c r="G278">
        <v>1.9</v>
      </c>
      <c r="H278">
        <v>103</v>
      </c>
      <c r="I278" t="s">
        <v>331</v>
      </c>
      <c r="J278" t="s">
        <v>403</v>
      </c>
      <c r="K278" t="s">
        <v>335</v>
      </c>
      <c r="L278" s="7" t="str">
        <f t="shared" si="8"/>
        <v>Yes</v>
      </c>
      <c r="M278" s="16">
        <f t="shared" ca="1" si="9"/>
        <v>282</v>
      </c>
    </row>
    <row r="279" spans="1:13">
      <c r="A279" t="s">
        <v>1394</v>
      </c>
      <c r="B279" t="s">
        <v>127</v>
      </c>
      <c r="C279" t="s">
        <v>399</v>
      </c>
      <c r="D279" t="s">
        <v>1261</v>
      </c>
      <c r="E279" s="4">
        <v>46061.833333333343</v>
      </c>
      <c r="F279">
        <v>48</v>
      </c>
      <c r="G279">
        <v>2.7</v>
      </c>
      <c r="H279">
        <v>129.80000000000001</v>
      </c>
      <c r="I279" t="s">
        <v>1259</v>
      </c>
      <c r="J279" t="s">
        <v>387</v>
      </c>
      <c r="K279" t="s">
        <v>323</v>
      </c>
      <c r="L279" s="7" t="str">
        <f t="shared" si="8"/>
        <v>Yes</v>
      </c>
      <c r="M279" s="16">
        <f t="shared" ca="1" si="9"/>
        <v>0</v>
      </c>
    </row>
    <row r="280" spans="1:13">
      <c r="A280" t="s">
        <v>1395</v>
      </c>
      <c r="B280" t="s">
        <v>32</v>
      </c>
      <c r="C280" t="s">
        <v>381</v>
      </c>
      <c r="D280" t="s">
        <v>1258</v>
      </c>
      <c r="E280" s="4">
        <v>45846.416666666657</v>
      </c>
      <c r="F280">
        <v>72</v>
      </c>
      <c r="G280">
        <v>1.4</v>
      </c>
      <c r="H280">
        <v>91.9</v>
      </c>
      <c r="I280" t="s">
        <v>1259</v>
      </c>
      <c r="J280" t="s">
        <v>366</v>
      </c>
      <c r="K280" t="s">
        <v>328</v>
      </c>
      <c r="L280" s="7" t="str">
        <f t="shared" si="8"/>
        <v>Yes</v>
      </c>
      <c r="M280" s="16">
        <f t="shared" ca="1" si="9"/>
        <v>0</v>
      </c>
    </row>
    <row r="281" spans="1:13">
      <c r="A281" t="s">
        <v>486</v>
      </c>
      <c r="B281" t="s">
        <v>27</v>
      </c>
      <c r="C281" t="s">
        <v>417</v>
      </c>
      <c r="D281" t="s">
        <v>1258</v>
      </c>
      <c r="E281" s="4">
        <v>45891.5</v>
      </c>
      <c r="F281">
        <v>72</v>
      </c>
      <c r="G281">
        <v>3.9</v>
      </c>
      <c r="H281">
        <v>24.8</v>
      </c>
      <c r="I281" t="s">
        <v>1259</v>
      </c>
      <c r="J281" t="s">
        <v>393</v>
      </c>
      <c r="K281" t="s">
        <v>335</v>
      </c>
      <c r="L281" s="7" t="str">
        <f t="shared" si="8"/>
        <v>No</v>
      </c>
      <c r="M281" s="16">
        <f t="shared" ca="1" si="9"/>
        <v>0</v>
      </c>
    </row>
    <row r="282" spans="1:13">
      <c r="A282" t="s">
        <v>521</v>
      </c>
      <c r="B282" t="s">
        <v>49</v>
      </c>
      <c r="C282" t="s">
        <v>381</v>
      </c>
      <c r="D282" t="s">
        <v>1258</v>
      </c>
      <c r="E282" s="4">
        <v>46107.416666666657</v>
      </c>
      <c r="F282">
        <v>48</v>
      </c>
      <c r="G282">
        <v>5.8</v>
      </c>
      <c r="H282">
        <v>133.80000000000001</v>
      </c>
      <c r="I282" t="s">
        <v>1259</v>
      </c>
      <c r="J282" t="s">
        <v>440</v>
      </c>
      <c r="K282" t="s">
        <v>335</v>
      </c>
      <c r="L282" s="7" t="str">
        <f t="shared" si="8"/>
        <v>Yes</v>
      </c>
      <c r="M282" s="16">
        <f t="shared" ca="1" si="9"/>
        <v>0</v>
      </c>
    </row>
    <row r="283" spans="1:13">
      <c r="A283" t="s">
        <v>425</v>
      </c>
      <c r="B283" t="s">
        <v>124</v>
      </c>
      <c r="C283" t="s">
        <v>377</v>
      </c>
      <c r="D283" t="s">
        <v>1261</v>
      </c>
      <c r="E283" s="4">
        <v>46045</v>
      </c>
      <c r="F283">
        <v>8</v>
      </c>
      <c r="G283">
        <v>1.6</v>
      </c>
      <c r="H283">
        <v>132.4</v>
      </c>
      <c r="I283" t="s">
        <v>331</v>
      </c>
      <c r="J283" t="s">
        <v>387</v>
      </c>
      <c r="K283" t="s">
        <v>323</v>
      </c>
      <c r="L283" s="7" t="str">
        <f t="shared" si="8"/>
        <v>Yes</v>
      </c>
      <c r="M283" s="16">
        <f t="shared" ca="1" si="9"/>
        <v>105</v>
      </c>
    </row>
    <row r="284" spans="1:13">
      <c r="A284" t="s">
        <v>1396</v>
      </c>
      <c r="B284" t="s">
        <v>25</v>
      </c>
      <c r="C284" t="s">
        <v>384</v>
      </c>
      <c r="D284" t="s">
        <v>1261</v>
      </c>
      <c r="E284" s="4">
        <v>45858.5</v>
      </c>
      <c r="F284">
        <v>24</v>
      </c>
      <c r="G284">
        <v>5.0999999999999996</v>
      </c>
      <c r="H284">
        <v>84.8</v>
      </c>
      <c r="I284" t="s">
        <v>1259</v>
      </c>
      <c r="J284" t="s">
        <v>387</v>
      </c>
      <c r="K284" t="s">
        <v>323</v>
      </c>
      <c r="L284" s="7" t="str">
        <f t="shared" si="8"/>
        <v>Yes</v>
      </c>
      <c r="M284" s="16">
        <f t="shared" ca="1" si="9"/>
        <v>0</v>
      </c>
    </row>
    <row r="285" spans="1:13">
      <c r="A285" t="s">
        <v>884</v>
      </c>
      <c r="B285" t="s">
        <v>99</v>
      </c>
      <c r="C285" t="s">
        <v>392</v>
      </c>
      <c r="D285" t="s">
        <v>1262</v>
      </c>
      <c r="E285" s="4">
        <v>45863.916666666657</v>
      </c>
      <c r="F285">
        <v>4</v>
      </c>
      <c r="G285">
        <v>2.8</v>
      </c>
      <c r="H285">
        <v>30.2</v>
      </c>
      <c r="I285" t="s">
        <v>1259</v>
      </c>
      <c r="J285" t="s">
        <v>440</v>
      </c>
      <c r="K285" t="s">
        <v>323</v>
      </c>
      <c r="L285" s="7" t="str">
        <f t="shared" si="8"/>
        <v>Yes</v>
      </c>
      <c r="M285" s="16">
        <f t="shared" ca="1" si="9"/>
        <v>0</v>
      </c>
    </row>
    <row r="286" spans="1:13">
      <c r="A286" t="s">
        <v>513</v>
      </c>
      <c r="B286" t="s">
        <v>18</v>
      </c>
      <c r="C286" t="s">
        <v>377</v>
      </c>
      <c r="D286" t="s">
        <v>1262</v>
      </c>
      <c r="E286" s="4">
        <v>45843.375</v>
      </c>
      <c r="F286">
        <v>48</v>
      </c>
      <c r="G286">
        <v>4.4000000000000004</v>
      </c>
      <c r="H286">
        <v>51.4</v>
      </c>
      <c r="I286" t="s">
        <v>331</v>
      </c>
      <c r="J286" t="s">
        <v>374</v>
      </c>
      <c r="K286" t="s">
        <v>323</v>
      </c>
      <c r="L286" s="7" t="str">
        <f t="shared" si="8"/>
        <v>Yes</v>
      </c>
      <c r="M286" s="16">
        <f t="shared" ca="1" si="9"/>
        <v>306.625</v>
      </c>
    </row>
    <row r="287" spans="1:13">
      <c r="A287" t="s">
        <v>1230</v>
      </c>
      <c r="B287" t="s">
        <v>16</v>
      </c>
      <c r="C287" t="s">
        <v>369</v>
      </c>
      <c r="D287" t="s">
        <v>1262</v>
      </c>
      <c r="E287" s="4">
        <v>45892.666666666657</v>
      </c>
      <c r="F287">
        <v>72</v>
      </c>
      <c r="G287">
        <v>0.9</v>
      </c>
      <c r="H287">
        <v>10.199999999999999</v>
      </c>
      <c r="I287" t="s">
        <v>331</v>
      </c>
      <c r="J287" t="s">
        <v>366</v>
      </c>
      <c r="K287" t="s">
        <v>323</v>
      </c>
      <c r="L287" s="7" t="str">
        <f t="shared" si="8"/>
        <v>No</v>
      </c>
      <c r="M287" s="16">
        <f t="shared" ca="1" si="9"/>
        <v>257.33333333334303</v>
      </c>
    </row>
    <row r="288" spans="1:13">
      <c r="A288" t="s">
        <v>1397</v>
      </c>
      <c r="B288" t="s">
        <v>32</v>
      </c>
      <c r="C288" t="s">
        <v>467</v>
      </c>
      <c r="D288" t="s">
        <v>1262</v>
      </c>
      <c r="E288" s="4">
        <v>45942.458333333343</v>
      </c>
      <c r="F288">
        <v>48</v>
      </c>
      <c r="G288">
        <v>2.1</v>
      </c>
      <c r="H288">
        <v>4.5999999999999996</v>
      </c>
      <c r="I288" t="s">
        <v>1259</v>
      </c>
      <c r="J288" t="s">
        <v>366</v>
      </c>
      <c r="K288" t="s">
        <v>323</v>
      </c>
      <c r="L288" s="7" t="str">
        <f t="shared" si="8"/>
        <v>No</v>
      </c>
      <c r="M288" s="16">
        <f t="shared" ca="1" si="9"/>
        <v>0</v>
      </c>
    </row>
    <row r="289" spans="1:13">
      <c r="A289" t="s">
        <v>509</v>
      </c>
      <c r="B289" t="s">
        <v>56</v>
      </c>
      <c r="C289" t="s">
        <v>365</v>
      </c>
      <c r="D289" t="s">
        <v>1258</v>
      </c>
      <c r="E289" s="4">
        <v>45840</v>
      </c>
      <c r="F289">
        <v>4</v>
      </c>
      <c r="G289">
        <v>5.9</v>
      </c>
      <c r="H289">
        <v>112.7</v>
      </c>
      <c r="I289" t="s">
        <v>1259</v>
      </c>
      <c r="J289" t="s">
        <v>403</v>
      </c>
      <c r="K289" t="s">
        <v>328</v>
      </c>
      <c r="L289" s="7" t="str">
        <f t="shared" si="8"/>
        <v>Yes</v>
      </c>
      <c r="M289" s="16">
        <f t="shared" ca="1" si="9"/>
        <v>0</v>
      </c>
    </row>
    <row r="290" spans="1:13">
      <c r="A290" t="s">
        <v>475</v>
      </c>
      <c r="B290" t="s">
        <v>40</v>
      </c>
      <c r="C290" t="s">
        <v>476</v>
      </c>
      <c r="D290" t="s">
        <v>1261</v>
      </c>
      <c r="E290" s="4">
        <v>45890.333333333343</v>
      </c>
      <c r="F290">
        <v>8</v>
      </c>
      <c r="G290">
        <v>3.1</v>
      </c>
      <c r="H290">
        <v>131.4</v>
      </c>
      <c r="I290" t="s">
        <v>331</v>
      </c>
      <c r="J290" t="s">
        <v>387</v>
      </c>
      <c r="K290" t="s">
        <v>328</v>
      </c>
      <c r="L290" s="7" t="str">
        <f t="shared" si="8"/>
        <v>Yes</v>
      </c>
      <c r="M290" s="16">
        <f t="shared" ca="1" si="9"/>
        <v>259.66666666665697</v>
      </c>
    </row>
    <row r="291" spans="1:13">
      <c r="A291" t="s">
        <v>1398</v>
      </c>
      <c r="B291" t="s">
        <v>211</v>
      </c>
      <c r="C291" t="s">
        <v>384</v>
      </c>
      <c r="D291" t="s">
        <v>1262</v>
      </c>
      <c r="E291" s="4">
        <v>45987.458333333343</v>
      </c>
      <c r="F291">
        <v>24</v>
      </c>
      <c r="G291">
        <v>2.9</v>
      </c>
      <c r="H291">
        <v>10.3</v>
      </c>
      <c r="I291" t="s">
        <v>1259</v>
      </c>
      <c r="J291" t="s">
        <v>387</v>
      </c>
      <c r="K291" t="s">
        <v>328</v>
      </c>
      <c r="L291" s="7" t="str">
        <f t="shared" si="8"/>
        <v>No</v>
      </c>
      <c r="M291" s="16">
        <f t="shared" ca="1" si="9"/>
        <v>0</v>
      </c>
    </row>
    <row r="292" spans="1:13">
      <c r="A292" t="s">
        <v>389</v>
      </c>
      <c r="B292" t="s">
        <v>204</v>
      </c>
      <c r="C292" t="s">
        <v>384</v>
      </c>
      <c r="D292" t="s">
        <v>1262</v>
      </c>
      <c r="E292" s="4">
        <v>45926.416666666657</v>
      </c>
      <c r="F292">
        <v>24</v>
      </c>
      <c r="G292">
        <v>5.8</v>
      </c>
      <c r="H292">
        <v>73.400000000000006</v>
      </c>
      <c r="I292" t="s">
        <v>331</v>
      </c>
      <c r="J292" t="s">
        <v>370</v>
      </c>
      <c r="K292" t="s">
        <v>328</v>
      </c>
      <c r="L292" s="7" t="str">
        <f t="shared" si="8"/>
        <v>Yes</v>
      </c>
      <c r="M292" s="16">
        <f t="shared" ca="1" si="9"/>
        <v>223.58333333334303</v>
      </c>
    </row>
    <row r="293" spans="1:13">
      <c r="A293" t="s">
        <v>1399</v>
      </c>
      <c r="B293" t="s">
        <v>91</v>
      </c>
      <c r="C293" t="s">
        <v>417</v>
      </c>
      <c r="D293" t="s">
        <v>1261</v>
      </c>
      <c r="E293" s="4">
        <v>46044.5</v>
      </c>
      <c r="F293">
        <v>48</v>
      </c>
      <c r="G293">
        <v>1.9</v>
      </c>
      <c r="H293">
        <v>53.6</v>
      </c>
      <c r="I293" t="s">
        <v>1259</v>
      </c>
      <c r="J293" t="s">
        <v>400</v>
      </c>
      <c r="K293" t="s">
        <v>323</v>
      </c>
      <c r="L293" s="7" t="str">
        <f t="shared" si="8"/>
        <v>Yes</v>
      </c>
      <c r="M293" s="16">
        <f t="shared" ca="1" si="9"/>
        <v>0</v>
      </c>
    </row>
    <row r="294" spans="1:13">
      <c r="A294" t="s">
        <v>1400</v>
      </c>
      <c r="B294" t="s">
        <v>112</v>
      </c>
      <c r="C294" t="s">
        <v>384</v>
      </c>
      <c r="D294" t="s">
        <v>1261</v>
      </c>
      <c r="E294" s="4">
        <v>45869.208333333343</v>
      </c>
      <c r="F294">
        <v>4</v>
      </c>
      <c r="G294">
        <v>2.8</v>
      </c>
      <c r="H294">
        <v>80.5</v>
      </c>
      <c r="I294" t="s">
        <v>1259</v>
      </c>
      <c r="J294" t="s">
        <v>378</v>
      </c>
      <c r="K294" t="s">
        <v>335</v>
      </c>
      <c r="L294" s="7" t="str">
        <f t="shared" si="8"/>
        <v>Yes</v>
      </c>
      <c r="M294" s="16">
        <f t="shared" ca="1" si="9"/>
        <v>0</v>
      </c>
    </row>
    <row r="295" spans="1:13">
      <c r="A295" t="s">
        <v>1401</v>
      </c>
      <c r="B295" t="s">
        <v>133</v>
      </c>
      <c r="C295" t="s">
        <v>443</v>
      </c>
      <c r="D295" t="s">
        <v>1258</v>
      </c>
      <c r="E295" s="4">
        <v>46022.791666666657</v>
      </c>
      <c r="F295">
        <v>4</v>
      </c>
      <c r="G295">
        <v>5.6</v>
      </c>
      <c r="H295">
        <v>118.6</v>
      </c>
      <c r="I295" t="s">
        <v>1259</v>
      </c>
      <c r="J295" t="s">
        <v>403</v>
      </c>
      <c r="K295" t="s">
        <v>335</v>
      </c>
      <c r="L295" s="7" t="str">
        <f t="shared" si="8"/>
        <v>Yes</v>
      </c>
      <c r="M295" s="16">
        <f t="shared" ca="1" si="9"/>
        <v>0</v>
      </c>
    </row>
    <row r="296" spans="1:13">
      <c r="A296" t="s">
        <v>1402</v>
      </c>
      <c r="B296" t="s">
        <v>215</v>
      </c>
      <c r="C296" t="s">
        <v>365</v>
      </c>
      <c r="D296" t="s">
        <v>1261</v>
      </c>
      <c r="E296" s="4">
        <v>46049.583333333343</v>
      </c>
      <c r="F296">
        <v>4</v>
      </c>
      <c r="G296">
        <v>0.6</v>
      </c>
      <c r="H296">
        <v>89</v>
      </c>
      <c r="I296" t="s">
        <v>1265</v>
      </c>
      <c r="J296" t="s">
        <v>378</v>
      </c>
      <c r="K296" t="s">
        <v>323</v>
      </c>
      <c r="L296" s="7" t="str">
        <f t="shared" si="8"/>
        <v>Yes</v>
      </c>
      <c r="M296" s="16">
        <f t="shared" ca="1" si="9"/>
        <v>100.41666666665697</v>
      </c>
    </row>
    <row r="297" spans="1:13">
      <c r="A297" t="s">
        <v>1403</v>
      </c>
      <c r="B297" t="s">
        <v>269</v>
      </c>
      <c r="C297" t="s">
        <v>381</v>
      </c>
      <c r="D297" t="s">
        <v>1262</v>
      </c>
      <c r="E297" s="4">
        <v>46128.291666666657</v>
      </c>
      <c r="F297">
        <v>24</v>
      </c>
      <c r="G297">
        <v>3.5</v>
      </c>
      <c r="H297">
        <v>53.4</v>
      </c>
      <c r="I297" t="s">
        <v>1259</v>
      </c>
      <c r="J297" t="s">
        <v>400</v>
      </c>
      <c r="K297" t="s">
        <v>323</v>
      </c>
      <c r="L297" s="7" t="str">
        <f t="shared" si="8"/>
        <v>Yes</v>
      </c>
      <c r="M297" s="16">
        <f t="shared" ca="1" si="9"/>
        <v>0</v>
      </c>
    </row>
    <row r="298" spans="1:13">
      <c r="A298" t="s">
        <v>1404</v>
      </c>
      <c r="B298" t="s">
        <v>298</v>
      </c>
      <c r="C298" t="s">
        <v>377</v>
      </c>
      <c r="D298" t="s">
        <v>1258</v>
      </c>
      <c r="E298" s="4">
        <v>46036.166666666657</v>
      </c>
      <c r="F298">
        <v>72</v>
      </c>
      <c r="G298">
        <v>5.8</v>
      </c>
      <c r="H298">
        <v>83.5</v>
      </c>
      <c r="I298" t="s">
        <v>1265</v>
      </c>
      <c r="J298" t="s">
        <v>403</v>
      </c>
      <c r="K298" t="s">
        <v>323</v>
      </c>
      <c r="L298" s="7" t="str">
        <f t="shared" si="8"/>
        <v>Yes</v>
      </c>
      <c r="M298" s="16">
        <f t="shared" ca="1" si="9"/>
        <v>113.83333333334303</v>
      </c>
    </row>
    <row r="299" spans="1:13">
      <c r="A299" t="s">
        <v>1405</v>
      </c>
      <c r="B299" t="s">
        <v>69</v>
      </c>
      <c r="C299" t="s">
        <v>365</v>
      </c>
      <c r="D299" t="s">
        <v>1262</v>
      </c>
      <c r="E299" s="4">
        <v>45923.083333333343</v>
      </c>
      <c r="F299">
        <v>48</v>
      </c>
      <c r="G299">
        <v>2.2000000000000002</v>
      </c>
      <c r="H299">
        <v>26.5</v>
      </c>
      <c r="I299" t="s">
        <v>331</v>
      </c>
      <c r="J299" t="s">
        <v>414</v>
      </c>
      <c r="K299" t="s">
        <v>328</v>
      </c>
      <c r="L299" s="7" t="str">
        <f t="shared" si="8"/>
        <v>No</v>
      </c>
      <c r="M299" s="16">
        <f t="shared" ca="1" si="9"/>
        <v>226.91666666665697</v>
      </c>
    </row>
    <row r="300" spans="1:13">
      <c r="A300" t="s">
        <v>1406</v>
      </c>
      <c r="B300" t="s">
        <v>180</v>
      </c>
      <c r="C300" t="s">
        <v>392</v>
      </c>
      <c r="D300" t="s">
        <v>1258</v>
      </c>
      <c r="E300" s="4">
        <v>45959.083333333343</v>
      </c>
      <c r="F300">
        <v>48</v>
      </c>
      <c r="G300">
        <v>3</v>
      </c>
      <c r="H300">
        <v>78.2</v>
      </c>
      <c r="I300" t="s">
        <v>1265</v>
      </c>
      <c r="J300" t="s">
        <v>440</v>
      </c>
      <c r="K300" t="s">
        <v>335</v>
      </c>
      <c r="L300" s="7" t="str">
        <f t="shared" si="8"/>
        <v>Yes</v>
      </c>
      <c r="M300" s="16">
        <f t="shared" ca="1" si="9"/>
        <v>190.91666666665697</v>
      </c>
    </row>
    <row r="301" spans="1:13">
      <c r="A301" t="s">
        <v>1407</v>
      </c>
      <c r="B301" t="s">
        <v>199</v>
      </c>
      <c r="C301" t="s">
        <v>399</v>
      </c>
      <c r="D301" t="s">
        <v>1266</v>
      </c>
      <c r="E301" s="4">
        <v>45848.125</v>
      </c>
      <c r="F301">
        <v>48</v>
      </c>
      <c r="G301">
        <v>2.8</v>
      </c>
      <c r="H301">
        <v>43.5</v>
      </c>
      <c r="I301" t="s">
        <v>1265</v>
      </c>
      <c r="J301" t="s">
        <v>456</v>
      </c>
      <c r="K301" t="s">
        <v>323</v>
      </c>
      <c r="L301" s="7" t="str">
        <f t="shared" si="8"/>
        <v>No</v>
      </c>
      <c r="M301" s="16">
        <f t="shared" ca="1" si="9"/>
        <v>301.875</v>
      </c>
    </row>
    <row r="302" spans="1:13">
      <c r="A302" t="s">
        <v>1015</v>
      </c>
      <c r="B302" t="s">
        <v>89</v>
      </c>
      <c r="C302" t="s">
        <v>392</v>
      </c>
      <c r="D302" t="s">
        <v>1258</v>
      </c>
      <c r="E302" s="4">
        <v>46099.708333333343</v>
      </c>
      <c r="F302">
        <v>8</v>
      </c>
      <c r="G302">
        <v>4.3</v>
      </c>
      <c r="H302">
        <v>62.8</v>
      </c>
      <c r="I302" t="s">
        <v>1259</v>
      </c>
      <c r="J302" t="s">
        <v>387</v>
      </c>
      <c r="K302" t="s">
        <v>328</v>
      </c>
      <c r="L302" s="7" t="str">
        <f t="shared" si="8"/>
        <v>Yes</v>
      </c>
      <c r="M302" s="16">
        <f t="shared" ca="1" si="9"/>
        <v>0</v>
      </c>
    </row>
    <row r="303" spans="1:13">
      <c r="A303" t="s">
        <v>1408</v>
      </c>
      <c r="B303" t="s">
        <v>69</v>
      </c>
      <c r="C303" t="s">
        <v>365</v>
      </c>
      <c r="D303" t="s">
        <v>1258</v>
      </c>
      <c r="E303" s="4">
        <v>46146.625</v>
      </c>
      <c r="F303">
        <v>24</v>
      </c>
      <c r="G303">
        <v>4.7</v>
      </c>
      <c r="H303">
        <v>17.8</v>
      </c>
      <c r="I303" t="s">
        <v>1259</v>
      </c>
      <c r="J303" t="s">
        <v>366</v>
      </c>
      <c r="K303" t="s">
        <v>328</v>
      </c>
      <c r="L303" s="7" t="str">
        <f t="shared" si="8"/>
        <v>No</v>
      </c>
      <c r="M303" s="16">
        <f t="shared" ca="1" si="9"/>
        <v>0</v>
      </c>
    </row>
    <row r="304" spans="1:13">
      <c r="A304" t="s">
        <v>1409</v>
      </c>
      <c r="B304" t="s">
        <v>217</v>
      </c>
      <c r="C304" t="s">
        <v>417</v>
      </c>
      <c r="D304" t="s">
        <v>1262</v>
      </c>
      <c r="E304" s="4">
        <v>45988.708333333343</v>
      </c>
      <c r="F304">
        <v>72</v>
      </c>
      <c r="G304">
        <v>2.6</v>
      </c>
      <c r="H304">
        <v>9.6</v>
      </c>
      <c r="I304" t="s">
        <v>1259</v>
      </c>
      <c r="J304" t="s">
        <v>440</v>
      </c>
      <c r="K304" t="s">
        <v>328</v>
      </c>
      <c r="L304" s="7" t="str">
        <f t="shared" si="8"/>
        <v>No</v>
      </c>
      <c r="M304" s="16">
        <f t="shared" ca="1" si="9"/>
        <v>0</v>
      </c>
    </row>
    <row r="305" spans="1:13">
      <c r="A305" t="s">
        <v>953</v>
      </c>
      <c r="B305" t="s">
        <v>73</v>
      </c>
      <c r="C305" t="s">
        <v>381</v>
      </c>
      <c r="D305" t="s">
        <v>1262</v>
      </c>
      <c r="E305" s="4">
        <v>46048.125</v>
      </c>
      <c r="F305">
        <v>24</v>
      </c>
      <c r="G305">
        <v>4</v>
      </c>
      <c r="H305">
        <v>15.7</v>
      </c>
      <c r="I305" t="s">
        <v>1263</v>
      </c>
      <c r="J305" t="s">
        <v>400</v>
      </c>
      <c r="K305" t="s">
        <v>328</v>
      </c>
      <c r="L305" s="7" t="str">
        <f t="shared" si="8"/>
        <v>No</v>
      </c>
      <c r="M305" s="16">
        <f t="shared" ca="1" si="9"/>
        <v>101.875</v>
      </c>
    </row>
    <row r="306" spans="1:13">
      <c r="A306" t="s">
        <v>725</v>
      </c>
      <c r="B306" t="s">
        <v>49</v>
      </c>
      <c r="C306" t="s">
        <v>377</v>
      </c>
      <c r="D306" t="s">
        <v>1262</v>
      </c>
      <c r="E306" s="4">
        <v>45894.541666666657</v>
      </c>
      <c r="F306">
        <v>4</v>
      </c>
      <c r="G306">
        <v>6</v>
      </c>
      <c r="H306">
        <v>64.599999999999994</v>
      </c>
      <c r="I306" t="s">
        <v>1259</v>
      </c>
      <c r="J306" t="s">
        <v>440</v>
      </c>
      <c r="K306" t="s">
        <v>335</v>
      </c>
      <c r="L306" s="7" t="str">
        <f t="shared" si="8"/>
        <v>Yes</v>
      </c>
      <c r="M306" s="16">
        <f t="shared" ca="1" si="9"/>
        <v>0</v>
      </c>
    </row>
    <row r="307" spans="1:13">
      <c r="A307" t="s">
        <v>1410</v>
      </c>
      <c r="B307" t="s">
        <v>249</v>
      </c>
      <c r="C307" t="s">
        <v>443</v>
      </c>
      <c r="D307" t="s">
        <v>1266</v>
      </c>
      <c r="E307" s="4">
        <v>45907.625</v>
      </c>
      <c r="F307">
        <v>4</v>
      </c>
      <c r="G307">
        <v>3.5</v>
      </c>
      <c r="H307">
        <v>5.3</v>
      </c>
      <c r="I307" t="s">
        <v>1263</v>
      </c>
      <c r="J307" t="s">
        <v>374</v>
      </c>
      <c r="K307" t="s">
        <v>335</v>
      </c>
      <c r="L307" s="7" t="str">
        <f t="shared" si="8"/>
        <v>Yes</v>
      </c>
      <c r="M307" s="16">
        <f t="shared" ca="1" si="9"/>
        <v>242.375</v>
      </c>
    </row>
    <row r="308" spans="1:13">
      <c r="A308" t="s">
        <v>1411</v>
      </c>
      <c r="B308" t="s">
        <v>129</v>
      </c>
      <c r="C308" t="s">
        <v>476</v>
      </c>
      <c r="D308" t="s">
        <v>1262</v>
      </c>
      <c r="E308" s="4">
        <v>45929.916666666657</v>
      </c>
      <c r="F308">
        <v>72</v>
      </c>
      <c r="G308">
        <v>1.3</v>
      </c>
      <c r="H308">
        <v>62.9</v>
      </c>
      <c r="I308" t="s">
        <v>331</v>
      </c>
      <c r="J308" t="s">
        <v>378</v>
      </c>
      <c r="K308" t="s">
        <v>323</v>
      </c>
      <c r="L308" s="7" t="str">
        <f t="shared" si="8"/>
        <v>No</v>
      </c>
      <c r="M308" s="16">
        <f t="shared" ca="1" si="9"/>
        <v>220.08333333334303</v>
      </c>
    </row>
    <row r="309" spans="1:13">
      <c r="A309" t="s">
        <v>478</v>
      </c>
      <c r="B309" t="s">
        <v>51</v>
      </c>
      <c r="C309" t="s">
        <v>417</v>
      </c>
      <c r="D309" t="s">
        <v>1258</v>
      </c>
      <c r="E309" s="4">
        <v>46035.541666666657</v>
      </c>
      <c r="F309">
        <v>72</v>
      </c>
      <c r="G309">
        <v>6</v>
      </c>
      <c r="H309">
        <v>103.1</v>
      </c>
      <c r="I309" t="s">
        <v>331</v>
      </c>
      <c r="J309" t="s">
        <v>396</v>
      </c>
      <c r="K309" t="s">
        <v>335</v>
      </c>
      <c r="L309" s="7" t="str">
        <f t="shared" si="8"/>
        <v>Yes</v>
      </c>
      <c r="M309" s="16">
        <f t="shared" ca="1" si="9"/>
        <v>114.45833333334303</v>
      </c>
    </row>
    <row r="310" spans="1:13">
      <c r="A310" t="s">
        <v>786</v>
      </c>
      <c r="B310" t="s">
        <v>103</v>
      </c>
      <c r="C310" t="s">
        <v>384</v>
      </c>
      <c r="D310" t="s">
        <v>1261</v>
      </c>
      <c r="E310" s="4">
        <v>46147.916666666657</v>
      </c>
      <c r="F310">
        <v>72</v>
      </c>
      <c r="G310">
        <v>2.1</v>
      </c>
      <c r="H310">
        <v>95.1</v>
      </c>
      <c r="I310" t="s">
        <v>1259</v>
      </c>
      <c r="J310" t="s">
        <v>370</v>
      </c>
      <c r="K310" t="s">
        <v>323</v>
      </c>
      <c r="L310" s="7" t="str">
        <f t="shared" si="8"/>
        <v>Yes</v>
      </c>
      <c r="M310" s="16">
        <f t="shared" ca="1" si="9"/>
        <v>0</v>
      </c>
    </row>
    <row r="311" spans="1:13">
      <c r="A311" t="s">
        <v>866</v>
      </c>
      <c r="B311" t="s">
        <v>56</v>
      </c>
      <c r="C311" t="s">
        <v>476</v>
      </c>
      <c r="D311" t="s">
        <v>1262</v>
      </c>
      <c r="E311" s="4">
        <v>45941.25</v>
      </c>
      <c r="F311">
        <v>72</v>
      </c>
      <c r="G311">
        <v>4.7</v>
      </c>
      <c r="H311">
        <v>53.2</v>
      </c>
      <c r="I311" t="s">
        <v>1263</v>
      </c>
      <c r="J311" t="s">
        <v>403</v>
      </c>
      <c r="K311" t="s">
        <v>323</v>
      </c>
      <c r="L311" s="7" t="str">
        <f t="shared" si="8"/>
        <v>No</v>
      </c>
      <c r="M311" s="16">
        <f t="shared" ca="1" si="9"/>
        <v>208.75</v>
      </c>
    </row>
    <row r="312" spans="1:13">
      <c r="A312" t="s">
        <v>383</v>
      </c>
      <c r="B312" t="s">
        <v>173</v>
      </c>
      <c r="C312" t="s">
        <v>384</v>
      </c>
      <c r="D312" t="s">
        <v>1258</v>
      </c>
      <c r="E312" s="4">
        <v>46004.916666666657</v>
      </c>
      <c r="F312">
        <v>4</v>
      </c>
      <c r="G312">
        <v>5</v>
      </c>
      <c r="H312">
        <v>76.8</v>
      </c>
      <c r="I312" t="s">
        <v>1259</v>
      </c>
      <c r="J312" t="s">
        <v>378</v>
      </c>
      <c r="K312" t="s">
        <v>323</v>
      </c>
      <c r="L312" s="7" t="str">
        <f t="shared" si="8"/>
        <v>Yes</v>
      </c>
      <c r="M312" s="16">
        <f t="shared" ca="1" si="9"/>
        <v>0</v>
      </c>
    </row>
    <row r="313" spans="1:13">
      <c r="A313" t="s">
        <v>975</v>
      </c>
      <c r="B313" t="s">
        <v>247</v>
      </c>
      <c r="C313" t="s">
        <v>392</v>
      </c>
      <c r="D313" t="s">
        <v>1262</v>
      </c>
      <c r="E313" s="4">
        <v>46112.375</v>
      </c>
      <c r="F313">
        <v>48</v>
      </c>
      <c r="G313">
        <v>5.3</v>
      </c>
      <c r="H313">
        <v>40.9</v>
      </c>
      <c r="I313" t="s">
        <v>1265</v>
      </c>
      <c r="J313" t="s">
        <v>403</v>
      </c>
      <c r="K313" t="s">
        <v>328</v>
      </c>
      <c r="L313" s="7" t="str">
        <f t="shared" si="8"/>
        <v>No</v>
      </c>
      <c r="M313" s="16">
        <f t="shared" ca="1" si="9"/>
        <v>37.625</v>
      </c>
    </row>
    <row r="314" spans="1:13">
      <c r="A314" t="s">
        <v>1412</v>
      </c>
      <c r="B314" t="s">
        <v>147</v>
      </c>
      <c r="C314" t="s">
        <v>373</v>
      </c>
      <c r="D314" t="s">
        <v>1261</v>
      </c>
      <c r="E314" s="4">
        <v>45921.375</v>
      </c>
      <c r="F314">
        <v>24</v>
      </c>
      <c r="G314">
        <v>1.1000000000000001</v>
      </c>
      <c r="H314">
        <v>11</v>
      </c>
      <c r="I314" t="s">
        <v>1259</v>
      </c>
      <c r="J314" t="s">
        <v>366</v>
      </c>
      <c r="K314" t="s">
        <v>323</v>
      </c>
      <c r="L314" s="7" t="str">
        <f t="shared" si="8"/>
        <v>No</v>
      </c>
      <c r="M314" s="16">
        <f t="shared" ca="1" si="9"/>
        <v>0</v>
      </c>
    </row>
    <row r="315" spans="1:13">
      <c r="A315" t="s">
        <v>1413</v>
      </c>
      <c r="B315" t="s">
        <v>57</v>
      </c>
      <c r="C315" t="s">
        <v>417</v>
      </c>
      <c r="D315" t="s">
        <v>1262</v>
      </c>
      <c r="E315" s="4">
        <v>45891.791666666657</v>
      </c>
      <c r="F315">
        <v>72</v>
      </c>
      <c r="G315">
        <v>5.6</v>
      </c>
      <c r="H315">
        <v>57.4</v>
      </c>
      <c r="I315" t="s">
        <v>1259</v>
      </c>
      <c r="J315" t="s">
        <v>366</v>
      </c>
      <c r="K315" t="s">
        <v>323</v>
      </c>
      <c r="L315" s="7" t="str">
        <f t="shared" si="8"/>
        <v>No</v>
      </c>
      <c r="M315" s="16">
        <f t="shared" ca="1" si="9"/>
        <v>0</v>
      </c>
    </row>
    <row r="316" spans="1:13">
      <c r="A316" t="s">
        <v>1414</v>
      </c>
      <c r="B316" t="s">
        <v>127</v>
      </c>
      <c r="C316" t="s">
        <v>381</v>
      </c>
      <c r="D316" t="s">
        <v>1261</v>
      </c>
      <c r="E316" s="4">
        <v>45863.5</v>
      </c>
      <c r="F316">
        <v>48</v>
      </c>
      <c r="G316">
        <v>2.8</v>
      </c>
      <c r="H316">
        <v>106.5</v>
      </c>
      <c r="I316" t="s">
        <v>1259</v>
      </c>
      <c r="J316" t="s">
        <v>414</v>
      </c>
      <c r="K316" t="s">
        <v>328</v>
      </c>
      <c r="L316" s="7" t="str">
        <f t="shared" si="8"/>
        <v>Yes</v>
      </c>
      <c r="M316" s="16">
        <f t="shared" ca="1" si="9"/>
        <v>0</v>
      </c>
    </row>
    <row r="317" spans="1:13">
      <c r="A317" t="s">
        <v>766</v>
      </c>
      <c r="B317" t="s">
        <v>97</v>
      </c>
      <c r="C317" t="s">
        <v>381</v>
      </c>
      <c r="D317" t="s">
        <v>1261</v>
      </c>
      <c r="E317" s="4">
        <v>46065.291666666657</v>
      </c>
      <c r="F317">
        <v>24</v>
      </c>
      <c r="G317">
        <v>5</v>
      </c>
      <c r="H317">
        <v>74.7</v>
      </c>
      <c r="I317" t="s">
        <v>1259</v>
      </c>
      <c r="J317" t="s">
        <v>370</v>
      </c>
      <c r="K317" t="s">
        <v>328</v>
      </c>
      <c r="L317" s="7" t="str">
        <f t="shared" si="8"/>
        <v>Yes</v>
      </c>
      <c r="M317" s="16">
        <f t="shared" ca="1" si="9"/>
        <v>0</v>
      </c>
    </row>
    <row r="318" spans="1:13">
      <c r="A318" t="s">
        <v>1415</v>
      </c>
      <c r="B318" t="s">
        <v>144</v>
      </c>
      <c r="C318" t="s">
        <v>365</v>
      </c>
      <c r="D318" t="s">
        <v>1261</v>
      </c>
      <c r="E318" s="4">
        <v>45877.208333333343</v>
      </c>
      <c r="F318">
        <v>8</v>
      </c>
      <c r="G318">
        <v>4.8</v>
      </c>
      <c r="H318">
        <v>18.5</v>
      </c>
      <c r="I318" t="s">
        <v>1265</v>
      </c>
      <c r="J318" t="s">
        <v>393</v>
      </c>
      <c r="K318" t="s">
        <v>323</v>
      </c>
      <c r="L318" s="7" t="str">
        <f t="shared" si="8"/>
        <v>Yes</v>
      </c>
      <c r="M318" s="16">
        <f t="shared" ca="1" si="9"/>
        <v>272.79166666665697</v>
      </c>
    </row>
    <row r="319" spans="1:13">
      <c r="A319" t="s">
        <v>1416</v>
      </c>
      <c r="B319" t="s">
        <v>23</v>
      </c>
      <c r="C319" t="s">
        <v>384</v>
      </c>
      <c r="D319" t="s">
        <v>1261</v>
      </c>
      <c r="E319" s="4">
        <v>45969</v>
      </c>
      <c r="F319">
        <v>24</v>
      </c>
      <c r="G319">
        <v>3.1</v>
      </c>
      <c r="H319">
        <v>126.2</v>
      </c>
      <c r="I319" t="s">
        <v>1265</v>
      </c>
      <c r="J319" t="s">
        <v>396</v>
      </c>
      <c r="K319" t="s">
        <v>323</v>
      </c>
      <c r="L319" s="7" t="str">
        <f t="shared" si="8"/>
        <v>Yes</v>
      </c>
      <c r="M319" s="16">
        <f t="shared" ca="1" si="9"/>
        <v>181</v>
      </c>
    </row>
    <row r="320" spans="1:13">
      <c r="A320" t="s">
        <v>824</v>
      </c>
      <c r="B320" t="s">
        <v>197</v>
      </c>
      <c r="C320" t="s">
        <v>392</v>
      </c>
      <c r="D320" t="s">
        <v>1262</v>
      </c>
      <c r="E320" s="4">
        <v>45993.625</v>
      </c>
      <c r="F320">
        <v>72</v>
      </c>
      <c r="G320">
        <v>3.7</v>
      </c>
      <c r="H320">
        <v>7.1</v>
      </c>
      <c r="I320" t="s">
        <v>1259</v>
      </c>
      <c r="J320" t="s">
        <v>414</v>
      </c>
      <c r="K320" t="s">
        <v>328</v>
      </c>
      <c r="L320" s="7" t="str">
        <f t="shared" si="8"/>
        <v>No</v>
      </c>
      <c r="M320" s="16">
        <f t="shared" ca="1" si="9"/>
        <v>0</v>
      </c>
    </row>
    <row r="321" spans="1:13">
      <c r="A321" t="s">
        <v>1417</v>
      </c>
      <c r="B321" t="s">
        <v>133</v>
      </c>
      <c r="C321" t="s">
        <v>476</v>
      </c>
      <c r="D321" t="s">
        <v>1261</v>
      </c>
      <c r="E321" s="4">
        <v>46097.208333333343</v>
      </c>
      <c r="F321">
        <v>48</v>
      </c>
      <c r="G321">
        <v>3.6</v>
      </c>
      <c r="H321">
        <v>55.9</v>
      </c>
      <c r="I321" t="s">
        <v>1259</v>
      </c>
      <c r="J321" t="s">
        <v>366</v>
      </c>
      <c r="K321" t="s">
        <v>323</v>
      </c>
      <c r="L321" s="7" t="str">
        <f t="shared" si="8"/>
        <v>Yes</v>
      </c>
      <c r="M321" s="16">
        <f t="shared" ca="1" si="9"/>
        <v>0</v>
      </c>
    </row>
    <row r="322" spans="1:13">
      <c r="A322" t="s">
        <v>677</v>
      </c>
      <c r="B322" t="s">
        <v>11</v>
      </c>
      <c r="C322" t="s">
        <v>417</v>
      </c>
      <c r="D322" t="s">
        <v>1258</v>
      </c>
      <c r="E322" s="4">
        <v>45950.791666666657</v>
      </c>
      <c r="F322">
        <v>72</v>
      </c>
      <c r="G322">
        <v>3.2</v>
      </c>
      <c r="H322">
        <v>76.7</v>
      </c>
      <c r="I322" t="s">
        <v>1259</v>
      </c>
      <c r="J322" t="s">
        <v>378</v>
      </c>
      <c r="K322" t="s">
        <v>328</v>
      </c>
      <c r="L322" s="7" t="str">
        <f t="shared" ref="L322:L385" si="10">IF(H322&gt;F322,"Yes","No")</f>
        <v>Yes</v>
      </c>
      <c r="M322" s="16">
        <f t="shared" ref="M322:M385" ca="1" si="11">IF(I322="Closed",0,TODAY()-E322)</f>
        <v>0</v>
      </c>
    </row>
    <row r="323" spans="1:13">
      <c r="A323" t="s">
        <v>1418</v>
      </c>
      <c r="B323" t="s">
        <v>36</v>
      </c>
      <c r="C323" t="s">
        <v>392</v>
      </c>
      <c r="D323" t="s">
        <v>1258</v>
      </c>
      <c r="E323" s="4">
        <v>45962.833333333343</v>
      </c>
      <c r="F323">
        <v>72</v>
      </c>
      <c r="G323">
        <v>6</v>
      </c>
      <c r="H323">
        <v>34.9</v>
      </c>
      <c r="I323" t="s">
        <v>1265</v>
      </c>
      <c r="J323" t="s">
        <v>396</v>
      </c>
      <c r="K323" t="s">
        <v>335</v>
      </c>
      <c r="L323" s="7" t="str">
        <f t="shared" si="10"/>
        <v>No</v>
      </c>
      <c r="M323" s="16">
        <f t="shared" ca="1" si="11"/>
        <v>187.16666666665697</v>
      </c>
    </row>
    <row r="324" spans="1:13">
      <c r="A324" t="s">
        <v>895</v>
      </c>
      <c r="B324" t="s">
        <v>215</v>
      </c>
      <c r="C324" t="s">
        <v>399</v>
      </c>
      <c r="D324" t="s">
        <v>1258</v>
      </c>
      <c r="E324" s="4">
        <v>46115.958333333343</v>
      </c>
      <c r="F324">
        <v>24</v>
      </c>
      <c r="G324">
        <v>0.4</v>
      </c>
      <c r="H324">
        <v>70.8</v>
      </c>
      <c r="I324" t="s">
        <v>1259</v>
      </c>
      <c r="J324" t="s">
        <v>414</v>
      </c>
      <c r="K324" t="s">
        <v>323</v>
      </c>
      <c r="L324" s="7" t="str">
        <f t="shared" si="10"/>
        <v>Yes</v>
      </c>
      <c r="M324" s="16">
        <f t="shared" ca="1" si="11"/>
        <v>0</v>
      </c>
    </row>
    <row r="325" spans="1:13">
      <c r="A325" t="s">
        <v>1419</v>
      </c>
      <c r="B325" t="s">
        <v>103</v>
      </c>
      <c r="C325" t="s">
        <v>365</v>
      </c>
      <c r="D325" t="s">
        <v>1261</v>
      </c>
      <c r="E325" s="4">
        <v>45937.416666666657</v>
      </c>
      <c r="F325">
        <v>72</v>
      </c>
      <c r="G325">
        <v>0.7</v>
      </c>
      <c r="H325">
        <v>15.4</v>
      </c>
      <c r="I325" t="s">
        <v>1263</v>
      </c>
      <c r="J325" t="s">
        <v>414</v>
      </c>
      <c r="K325" t="s">
        <v>323</v>
      </c>
      <c r="L325" s="7" t="str">
        <f t="shared" si="10"/>
        <v>No</v>
      </c>
      <c r="M325" s="16">
        <f t="shared" ca="1" si="11"/>
        <v>212.58333333334303</v>
      </c>
    </row>
    <row r="326" spans="1:13">
      <c r="A326" t="s">
        <v>433</v>
      </c>
      <c r="B326" t="s">
        <v>7</v>
      </c>
      <c r="C326" t="s">
        <v>392</v>
      </c>
      <c r="D326" t="s">
        <v>1261</v>
      </c>
      <c r="E326" s="4">
        <v>45948.875</v>
      </c>
      <c r="F326">
        <v>48</v>
      </c>
      <c r="G326">
        <v>5.5</v>
      </c>
      <c r="H326">
        <v>29.9</v>
      </c>
      <c r="I326" t="s">
        <v>1259</v>
      </c>
      <c r="J326" t="s">
        <v>370</v>
      </c>
      <c r="K326" t="s">
        <v>335</v>
      </c>
      <c r="L326" s="7" t="str">
        <f t="shared" si="10"/>
        <v>No</v>
      </c>
      <c r="M326" s="16">
        <f t="shared" ca="1" si="11"/>
        <v>0</v>
      </c>
    </row>
    <row r="327" spans="1:13">
      <c r="A327" t="s">
        <v>1420</v>
      </c>
      <c r="B327" t="s">
        <v>34</v>
      </c>
      <c r="C327" t="s">
        <v>399</v>
      </c>
      <c r="D327" t="s">
        <v>1262</v>
      </c>
      <c r="E327" s="4">
        <v>45917</v>
      </c>
      <c r="F327">
        <v>48</v>
      </c>
      <c r="G327">
        <v>4.7</v>
      </c>
      <c r="H327">
        <v>4.4000000000000004</v>
      </c>
      <c r="I327" t="s">
        <v>1265</v>
      </c>
      <c r="J327" t="s">
        <v>403</v>
      </c>
      <c r="K327" t="s">
        <v>335</v>
      </c>
      <c r="L327" s="7" t="str">
        <f t="shared" si="10"/>
        <v>No</v>
      </c>
      <c r="M327" s="16">
        <f t="shared" ca="1" si="11"/>
        <v>233</v>
      </c>
    </row>
    <row r="328" spans="1:13">
      <c r="A328" t="s">
        <v>1421</v>
      </c>
      <c r="B328" t="s">
        <v>162</v>
      </c>
      <c r="C328" t="s">
        <v>399</v>
      </c>
      <c r="D328" t="s">
        <v>1262</v>
      </c>
      <c r="E328" s="4">
        <v>45955.333333333343</v>
      </c>
      <c r="F328">
        <v>48</v>
      </c>
      <c r="G328">
        <v>2.6</v>
      </c>
      <c r="H328">
        <v>49</v>
      </c>
      <c r="I328" t="s">
        <v>1259</v>
      </c>
      <c r="J328" t="s">
        <v>387</v>
      </c>
      <c r="K328" t="s">
        <v>335</v>
      </c>
      <c r="L328" s="7" t="str">
        <f t="shared" si="10"/>
        <v>Yes</v>
      </c>
      <c r="M328" s="16">
        <f t="shared" ca="1" si="11"/>
        <v>0</v>
      </c>
    </row>
    <row r="329" spans="1:13">
      <c r="A329" t="s">
        <v>1422</v>
      </c>
      <c r="B329" t="s">
        <v>185</v>
      </c>
      <c r="C329" t="s">
        <v>399</v>
      </c>
      <c r="D329" t="s">
        <v>1258</v>
      </c>
      <c r="E329" s="4">
        <v>45871.958333333343</v>
      </c>
      <c r="F329">
        <v>72</v>
      </c>
      <c r="G329">
        <v>0.5</v>
      </c>
      <c r="H329">
        <v>114.4</v>
      </c>
      <c r="I329" t="s">
        <v>1259</v>
      </c>
      <c r="J329" t="s">
        <v>414</v>
      </c>
      <c r="K329" t="s">
        <v>328</v>
      </c>
      <c r="L329" s="7" t="str">
        <f t="shared" si="10"/>
        <v>Yes</v>
      </c>
      <c r="M329" s="16">
        <f t="shared" ca="1" si="11"/>
        <v>0</v>
      </c>
    </row>
    <row r="330" spans="1:13">
      <c r="A330" t="s">
        <v>1423</v>
      </c>
      <c r="B330" t="s">
        <v>144</v>
      </c>
      <c r="C330" t="s">
        <v>392</v>
      </c>
      <c r="D330" t="s">
        <v>1258</v>
      </c>
      <c r="E330" s="4">
        <v>45883.375</v>
      </c>
      <c r="F330">
        <v>48</v>
      </c>
      <c r="G330">
        <v>2.6</v>
      </c>
      <c r="H330">
        <v>111</v>
      </c>
      <c r="I330" t="s">
        <v>1265</v>
      </c>
      <c r="J330" t="s">
        <v>403</v>
      </c>
      <c r="K330" t="s">
        <v>323</v>
      </c>
      <c r="L330" s="7" t="str">
        <f t="shared" si="10"/>
        <v>Yes</v>
      </c>
      <c r="M330" s="16">
        <f t="shared" ca="1" si="11"/>
        <v>266.625</v>
      </c>
    </row>
    <row r="331" spans="1:13">
      <c r="A331" t="s">
        <v>1424</v>
      </c>
      <c r="B331" t="s">
        <v>235</v>
      </c>
      <c r="C331" t="s">
        <v>384</v>
      </c>
      <c r="D331" t="s">
        <v>1262</v>
      </c>
      <c r="E331" s="4">
        <v>46118.375</v>
      </c>
      <c r="F331">
        <v>8</v>
      </c>
      <c r="G331">
        <v>2.1</v>
      </c>
      <c r="H331">
        <v>68.3</v>
      </c>
      <c r="I331" t="s">
        <v>1263</v>
      </c>
      <c r="J331" t="s">
        <v>370</v>
      </c>
      <c r="K331" t="s">
        <v>323</v>
      </c>
      <c r="L331" s="7" t="str">
        <f t="shared" si="10"/>
        <v>Yes</v>
      </c>
      <c r="M331" s="16">
        <f t="shared" ca="1" si="11"/>
        <v>31.625</v>
      </c>
    </row>
    <row r="332" spans="1:13">
      <c r="A332" t="s">
        <v>1425</v>
      </c>
      <c r="B332" t="s">
        <v>91</v>
      </c>
      <c r="C332" t="s">
        <v>373</v>
      </c>
      <c r="D332" t="s">
        <v>1262</v>
      </c>
      <c r="E332" s="4">
        <v>46123.166666666657</v>
      </c>
      <c r="F332">
        <v>4</v>
      </c>
      <c r="G332">
        <v>0.5</v>
      </c>
      <c r="H332">
        <v>44.7</v>
      </c>
      <c r="I332" t="s">
        <v>1259</v>
      </c>
      <c r="J332" t="s">
        <v>414</v>
      </c>
      <c r="K332" t="s">
        <v>328</v>
      </c>
      <c r="L332" s="7" t="str">
        <f t="shared" si="10"/>
        <v>Yes</v>
      </c>
      <c r="M332" s="16">
        <f t="shared" ca="1" si="11"/>
        <v>0</v>
      </c>
    </row>
    <row r="333" spans="1:13">
      <c r="A333" t="s">
        <v>445</v>
      </c>
      <c r="B333" t="s">
        <v>295</v>
      </c>
      <c r="C333" t="s">
        <v>377</v>
      </c>
      <c r="D333" t="s">
        <v>1262</v>
      </c>
      <c r="E333" s="4">
        <v>46015.25</v>
      </c>
      <c r="F333">
        <v>48</v>
      </c>
      <c r="G333">
        <v>5.9</v>
      </c>
      <c r="H333">
        <v>65.599999999999994</v>
      </c>
      <c r="I333" t="s">
        <v>331</v>
      </c>
      <c r="J333" t="s">
        <v>403</v>
      </c>
      <c r="K333" t="s">
        <v>328</v>
      </c>
      <c r="L333" s="7" t="str">
        <f t="shared" si="10"/>
        <v>Yes</v>
      </c>
      <c r="M333" s="16">
        <f t="shared" ca="1" si="11"/>
        <v>134.75</v>
      </c>
    </row>
    <row r="334" spans="1:13">
      <c r="A334" t="s">
        <v>1101</v>
      </c>
      <c r="B334" t="s">
        <v>245</v>
      </c>
      <c r="C334" t="s">
        <v>467</v>
      </c>
      <c r="D334" t="s">
        <v>1261</v>
      </c>
      <c r="E334" s="4">
        <v>45931.875</v>
      </c>
      <c r="F334">
        <v>72</v>
      </c>
      <c r="G334">
        <v>5.6</v>
      </c>
      <c r="H334">
        <v>114.8</v>
      </c>
      <c r="I334" t="s">
        <v>1263</v>
      </c>
      <c r="J334" t="s">
        <v>414</v>
      </c>
      <c r="K334" t="s">
        <v>335</v>
      </c>
      <c r="L334" s="7" t="str">
        <f t="shared" si="10"/>
        <v>Yes</v>
      </c>
      <c r="M334" s="16">
        <f t="shared" ca="1" si="11"/>
        <v>218.125</v>
      </c>
    </row>
    <row r="335" spans="1:13">
      <c r="A335" t="s">
        <v>740</v>
      </c>
      <c r="B335" t="s">
        <v>34</v>
      </c>
      <c r="C335" t="s">
        <v>476</v>
      </c>
      <c r="D335" t="s">
        <v>1261</v>
      </c>
      <c r="E335" s="4">
        <v>45873.333333333343</v>
      </c>
      <c r="F335">
        <v>4</v>
      </c>
      <c r="G335">
        <v>1.4</v>
      </c>
      <c r="H335">
        <v>79.2</v>
      </c>
      <c r="I335" t="s">
        <v>1263</v>
      </c>
      <c r="J335" t="s">
        <v>396</v>
      </c>
      <c r="K335" t="s">
        <v>328</v>
      </c>
      <c r="L335" s="7" t="str">
        <f t="shared" si="10"/>
        <v>Yes</v>
      </c>
      <c r="M335" s="16">
        <f t="shared" ca="1" si="11"/>
        <v>276.66666666665697</v>
      </c>
    </row>
    <row r="336" spans="1:13">
      <c r="A336" t="s">
        <v>706</v>
      </c>
      <c r="B336" t="s">
        <v>147</v>
      </c>
      <c r="C336" t="s">
        <v>392</v>
      </c>
      <c r="D336" t="s">
        <v>1261</v>
      </c>
      <c r="E336" s="4">
        <v>45984.791666666657</v>
      </c>
      <c r="F336">
        <v>4</v>
      </c>
      <c r="G336">
        <v>5.9</v>
      </c>
      <c r="H336">
        <v>44.6</v>
      </c>
      <c r="I336" t="s">
        <v>1259</v>
      </c>
      <c r="J336" t="s">
        <v>374</v>
      </c>
      <c r="K336" t="s">
        <v>323</v>
      </c>
      <c r="L336" s="7" t="str">
        <f t="shared" si="10"/>
        <v>Yes</v>
      </c>
      <c r="M336" s="16">
        <f t="shared" ca="1" si="11"/>
        <v>0</v>
      </c>
    </row>
    <row r="337" spans="1:13">
      <c r="A337" t="s">
        <v>1426</v>
      </c>
      <c r="B337" t="s">
        <v>295</v>
      </c>
      <c r="C337" t="s">
        <v>381</v>
      </c>
      <c r="D337" t="s">
        <v>1262</v>
      </c>
      <c r="E337" s="4">
        <v>46128.75</v>
      </c>
      <c r="F337">
        <v>24</v>
      </c>
      <c r="G337">
        <v>5.3</v>
      </c>
      <c r="H337">
        <v>73.7</v>
      </c>
      <c r="I337" t="s">
        <v>331</v>
      </c>
      <c r="J337" t="s">
        <v>396</v>
      </c>
      <c r="K337" t="s">
        <v>328</v>
      </c>
      <c r="L337" s="7" t="str">
        <f t="shared" si="10"/>
        <v>Yes</v>
      </c>
      <c r="M337" s="16">
        <f t="shared" ca="1" si="11"/>
        <v>21.25</v>
      </c>
    </row>
    <row r="338" spans="1:13">
      <c r="A338" t="s">
        <v>696</v>
      </c>
      <c r="B338" t="s">
        <v>127</v>
      </c>
      <c r="C338" t="s">
        <v>377</v>
      </c>
      <c r="D338" t="s">
        <v>1262</v>
      </c>
      <c r="E338" s="4">
        <v>46062.333333333343</v>
      </c>
      <c r="F338">
        <v>24</v>
      </c>
      <c r="G338">
        <v>1</v>
      </c>
      <c r="H338">
        <v>56.7</v>
      </c>
      <c r="I338" t="s">
        <v>1259</v>
      </c>
      <c r="J338" t="s">
        <v>440</v>
      </c>
      <c r="K338" t="s">
        <v>335</v>
      </c>
      <c r="L338" s="7" t="str">
        <f t="shared" si="10"/>
        <v>Yes</v>
      </c>
      <c r="M338" s="16">
        <f t="shared" ca="1" si="11"/>
        <v>0</v>
      </c>
    </row>
    <row r="339" spans="1:13">
      <c r="A339" t="s">
        <v>1427</v>
      </c>
      <c r="B339" t="s">
        <v>151</v>
      </c>
      <c r="C339" t="s">
        <v>467</v>
      </c>
      <c r="D339" t="s">
        <v>1258</v>
      </c>
      <c r="E339" s="4">
        <v>45894.208333333343</v>
      </c>
      <c r="F339">
        <v>72</v>
      </c>
      <c r="G339">
        <v>0.7</v>
      </c>
      <c r="H339">
        <v>39.700000000000003</v>
      </c>
      <c r="I339" t="s">
        <v>1259</v>
      </c>
      <c r="J339" t="s">
        <v>414</v>
      </c>
      <c r="K339" t="s">
        <v>328</v>
      </c>
      <c r="L339" s="7" t="str">
        <f t="shared" si="10"/>
        <v>No</v>
      </c>
      <c r="M339" s="16">
        <f t="shared" ca="1" si="11"/>
        <v>0</v>
      </c>
    </row>
    <row r="340" spans="1:13">
      <c r="A340" t="s">
        <v>690</v>
      </c>
      <c r="B340" t="s">
        <v>23</v>
      </c>
      <c r="C340" t="s">
        <v>381</v>
      </c>
      <c r="D340" t="s">
        <v>1262</v>
      </c>
      <c r="E340" s="4">
        <v>45878.958333333343</v>
      </c>
      <c r="F340">
        <v>4</v>
      </c>
      <c r="G340">
        <v>5.8</v>
      </c>
      <c r="H340">
        <v>65.5</v>
      </c>
      <c r="I340" t="s">
        <v>1259</v>
      </c>
      <c r="J340" t="s">
        <v>374</v>
      </c>
      <c r="K340" t="s">
        <v>323</v>
      </c>
      <c r="L340" s="7" t="str">
        <f t="shared" si="10"/>
        <v>Yes</v>
      </c>
      <c r="M340" s="16">
        <f t="shared" ca="1" si="11"/>
        <v>0</v>
      </c>
    </row>
    <row r="341" spans="1:13">
      <c r="A341" t="s">
        <v>596</v>
      </c>
      <c r="B341" t="s">
        <v>110</v>
      </c>
      <c r="C341" t="s">
        <v>443</v>
      </c>
      <c r="D341" t="s">
        <v>1261</v>
      </c>
      <c r="E341" s="4">
        <v>45857.708333333343</v>
      </c>
      <c r="F341">
        <v>24</v>
      </c>
      <c r="G341">
        <v>3.6</v>
      </c>
      <c r="H341">
        <v>134.19999999999999</v>
      </c>
      <c r="I341" t="s">
        <v>1259</v>
      </c>
      <c r="J341" t="s">
        <v>403</v>
      </c>
      <c r="K341" t="s">
        <v>335</v>
      </c>
      <c r="L341" s="7" t="str">
        <f t="shared" si="10"/>
        <v>Yes</v>
      </c>
      <c r="M341" s="16">
        <f t="shared" ca="1" si="11"/>
        <v>0</v>
      </c>
    </row>
    <row r="342" spans="1:13">
      <c r="A342" t="s">
        <v>794</v>
      </c>
      <c r="B342" t="s">
        <v>21</v>
      </c>
      <c r="C342" t="s">
        <v>377</v>
      </c>
      <c r="D342" t="s">
        <v>1262</v>
      </c>
      <c r="E342" s="4">
        <v>46140.958333333343</v>
      </c>
      <c r="F342">
        <v>24</v>
      </c>
      <c r="G342">
        <v>1</v>
      </c>
      <c r="H342">
        <v>39.299999999999997</v>
      </c>
      <c r="I342" t="s">
        <v>1265</v>
      </c>
      <c r="J342" t="s">
        <v>396</v>
      </c>
      <c r="K342" t="s">
        <v>323</v>
      </c>
      <c r="L342" s="7" t="str">
        <f t="shared" si="10"/>
        <v>Yes</v>
      </c>
      <c r="M342" s="16">
        <f t="shared" ca="1" si="11"/>
        <v>9.0416666666569654</v>
      </c>
    </row>
    <row r="343" spans="1:13">
      <c r="A343" t="s">
        <v>1038</v>
      </c>
      <c r="B343" t="s">
        <v>97</v>
      </c>
      <c r="C343" t="s">
        <v>392</v>
      </c>
      <c r="D343" t="s">
        <v>1261</v>
      </c>
      <c r="E343" s="4">
        <v>45923.666666666657</v>
      </c>
      <c r="F343">
        <v>8</v>
      </c>
      <c r="G343">
        <v>3</v>
      </c>
      <c r="H343">
        <v>26.4</v>
      </c>
      <c r="I343" t="s">
        <v>1263</v>
      </c>
      <c r="J343" t="s">
        <v>378</v>
      </c>
      <c r="K343" t="s">
        <v>328</v>
      </c>
      <c r="L343" s="7" t="str">
        <f t="shared" si="10"/>
        <v>Yes</v>
      </c>
      <c r="M343" s="16">
        <f t="shared" ca="1" si="11"/>
        <v>226.33333333334303</v>
      </c>
    </row>
    <row r="344" spans="1:13">
      <c r="A344" t="s">
        <v>1428</v>
      </c>
      <c r="B344" t="s">
        <v>228</v>
      </c>
      <c r="C344" t="s">
        <v>381</v>
      </c>
      <c r="D344" t="s">
        <v>1258</v>
      </c>
      <c r="E344" s="4">
        <v>46022.041666666657</v>
      </c>
      <c r="F344">
        <v>8</v>
      </c>
      <c r="G344">
        <v>5</v>
      </c>
      <c r="H344">
        <v>33.299999999999997</v>
      </c>
      <c r="I344" t="s">
        <v>331</v>
      </c>
      <c r="J344" t="s">
        <v>366</v>
      </c>
      <c r="K344" t="s">
        <v>328</v>
      </c>
      <c r="L344" s="7" t="str">
        <f t="shared" si="10"/>
        <v>Yes</v>
      </c>
      <c r="M344" s="16">
        <f t="shared" ca="1" si="11"/>
        <v>127.95833333334303</v>
      </c>
    </row>
    <row r="345" spans="1:13">
      <c r="A345" t="s">
        <v>588</v>
      </c>
      <c r="B345" t="s">
        <v>147</v>
      </c>
      <c r="C345" t="s">
        <v>377</v>
      </c>
      <c r="D345" t="s">
        <v>1258</v>
      </c>
      <c r="E345" s="4">
        <v>46023.5</v>
      </c>
      <c r="F345">
        <v>48</v>
      </c>
      <c r="G345">
        <v>6</v>
      </c>
      <c r="H345">
        <v>118.8</v>
      </c>
      <c r="I345" t="s">
        <v>1265</v>
      </c>
      <c r="J345" t="s">
        <v>378</v>
      </c>
      <c r="K345" t="s">
        <v>335</v>
      </c>
      <c r="L345" s="7" t="str">
        <f t="shared" si="10"/>
        <v>Yes</v>
      </c>
      <c r="M345" s="16">
        <f t="shared" ca="1" si="11"/>
        <v>126.5</v>
      </c>
    </row>
    <row r="346" spans="1:13">
      <c r="A346" t="s">
        <v>1429</v>
      </c>
      <c r="B346" t="s">
        <v>99</v>
      </c>
      <c r="C346" t="s">
        <v>381</v>
      </c>
      <c r="D346" t="s">
        <v>1266</v>
      </c>
      <c r="E346" s="4">
        <v>45979.958333333343</v>
      </c>
      <c r="F346">
        <v>24</v>
      </c>
      <c r="G346">
        <v>3.8</v>
      </c>
      <c r="H346">
        <v>44.5</v>
      </c>
      <c r="I346" t="s">
        <v>1259</v>
      </c>
      <c r="J346" t="s">
        <v>400</v>
      </c>
      <c r="K346" t="s">
        <v>335</v>
      </c>
      <c r="L346" s="7" t="str">
        <f t="shared" si="10"/>
        <v>Yes</v>
      </c>
      <c r="M346" s="16">
        <f t="shared" ca="1" si="11"/>
        <v>0</v>
      </c>
    </row>
    <row r="347" spans="1:13">
      <c r="A347" t="s">
        <v>1430</v>
      </c>
      <c r="B347" t="s">
        <v>168</v>
      </c>
      <c r="C347" t="s">
        <v>392</v>
      </c>
      <c r="D347" t="s">
        <v>1262</v>
      </c>
      <c r="E347" s="4">
        <v>45878.666666666657</v>
      </c>
      <c r="F347">
        <v>24</v>
      </c>
      <c r="G347">
        <v>2.6</v>
      </c>
      <c r="H347">
        <v>69.8</v>
      </c>
      <c r="I347" t="s">
        <v>1259</v>
      </c>
      <c r="J347" t="s">
        <v>396</v>
      </c>
      <c r="K347" t="s">
        <v>335</v>
      </c>
      <c r="L347" s="7" t="str">
        <f t="shared" si="10"/>
        <v>Yes</v>
      </c>
      <c r="M347" s="16">
        <f t="shared" ca="1" si="11"/>
        <v>0</v>
      </c>
    </row>
    <row r="348" spans="1:13">
      <c r="A348" t="s">
        <v>1431</v>
      </c>
      <c r="B348" t="s">
        <v>194</v>
      </c>
      <c r="C348" t="s">
        <v>365</v>
      </c>
      <c r="D348" t="s">
        <v>1262</v>
      </c>
      <c r="E348" s="4">
        <v>45842.666666666657</v>
      </c>
      <c r="F348">
        <v>8</v>
      </c>
      <c r="G348">
        <v>3</v>
      </c>
      <c r="H348">
        <v>18.899999999999999</v>
      </c>
      <c r="I348" t="s">
        <v>1259</v>
      </c>
      <c r="J348" t="s">
        <v>393</v>
      </c>
      <c r="K348" t="s">
        <v>328</v>
      </c>
      <c r="L348" s="7" t="str">
        <f t="shared" si="10"/>
        <v>Yes</v>
      </c>
      <c r="M348" s="16">
        <f t="shared" ca="1" si="11"/>
        <v>0</v>
      </c>
    </row>
    <row r="349" spans="1:13">
      <c r="A349" t="s">
        <v>1432</v>
      </c>
      <c r="B349" t="s">
        <v>18</v>
      </c>
      <c r="C349" t="s">
        <v>384</v>
      </c>
      <c r="D349" t="s">
        <v>1261</v>
      </c>
      <c r="E349" s="4">
        <v>46147.916666666657</v>
      </c>
      <c r="F349">
        <v>4</v>
      </c>
      <c r="G349">
        <v>4.4000000000000004</v>
      </c>
      <c r="H349">
        <v>57.4</v>
      </c>
      <c r="I349" t="s">
        <v>1259</v>
      </c>
      <c r="J349" t="s">
        <v>456</v>
      </c>
      <c r="K349" t="s">
        <v>335</v>
      </c>
      <c r="L349" s="7" t="str">
        <f t="shared" si="10"/>
        <v>Yes</v>
      </c>
      <c r="M349" s="16">
        <f t="shared" ca="1" si="11"/>
        <v>0</v>
      </c>
    </row>
    <row r="350" spans="1:13">
      <c r="A350" t="s">
        <v>431</v>
      </c>
      <c r="B350" t="s">
        <v>185</v>
      </c>
      <c r="C350" t="s">
        <v>365</v>
      </c>
      <c r="D350" t="s">
        <v>1258</v>
      </c>
      <c r="E350" s="4">
        <v>46141.208333333343</v>
      </c>
      <c r="F350">
        <v>48</v>
      </c>
      <c r="G350">
        <v>0.3</v>
      </c>
      <c r="H350">
        <v>8.5</v>
      </c>
      <c r="I350" t="s">
        <v>1259</v>
      </c>
      <c r="J350" t="s">
        <v>403</v>
      </c>
      <c r="K350" t="s">
        <v>328</v>
      </c>
      <c r="L350" s="7" t="str">
        <f t="shared" si="10"/>
        <v>No</v>
      </c>
      <c r="M350" s="16">
        <f t="shared" ca="1" si="11"/>
        <v>0</v>
      </c>
    </row>
    <row r="351" spans="1:13">
      <c r="A351" t="s">
        <v>1433</v>
      </c>
      <c r="B351" t="s">
        <v>140</v>
      </c>
      <c r="C351" t="s">
        <v>476</v>
      </c>
      <c r="D351" t="s">
        <v>1261</v>
      </c>
      <c r="E351" s="4">
        <v>46132.166666666657</v>
      </c>
      <c r="F351">
        <v>4</v>
      </c>
      <c r="G351">
        <v>1.2</v>
      </c>
      <c r="H351">
        <v>124.2</v>
      </c>
      <c r="I351" t="s">
        <v>1259</v>
      </c>
      <c r="J351" t="s">
        <v>400</v>
      </c>
      <c r="K351" t="s">
        <v>323</v>
      </c>
      <c r="L351" s="7" t="str">
        <f t="shared" si="10"/>
        <v>Yes</v>
      </c>
      <c r="M351" s="16">
        <f t="shared" ca="1" si="11"/>
        <v>0</v>
      </c>
    </row>
    <row r="352" spans="1:13">
      <c r="A352" t="s">
        <v>484</v>
      </c>
      <c r="B352" t="s">
        <v>71</v>
      </c>
      <c r="C352" t="s">
        <v>392</v>
      </c>
      <c r="D352" t="s">
        <v>1261</v>
      </c>
      <c r="E352" s="4">
        <v>45984.083333333343</v>
      </c>
      <c r="F352">
        <v>8</v>
      </c>
      <c r="G352">
        <v>3</v>
      </c>
      <c r="H352">
        <v>133.4</v>
      </c>
      <c r="I352" t="s">
        <v>1259</v>
      </c>
      <c r="J352" t="s">
        <v>403</v>
      </c>
      <c r="K352" t="s">
        <v>328</v>
      </c>
      <c r="L352" s="7" t="str">
        <f t="shared" si="10"/>
        <v>Yes</v>
      </c>
      <c r="M352" s="16">
        <f t="shared" ca="1" si="11"/>
        <v>0</v>
      </c>
    </row>
    <row r="353" spans="1:13">
      <c r="A353" t="s">
        <v>1434</v>
      </c>
      <c r="B353" t="s">
        <v>190</v>
      </c>
      <c r="C353" t="s">
        <v>369</v>
      </c>
      <c r="D353" t="s">
        <v>1262</v>
      </c>
      <c r="E353" s="4">
        <v>46137.208333333343</v>
      </c>
      <c r="F353">
        <v>72</v>
      </c>
      <c r="G353">
        <v>4.4000000000000004</v>
      </c>
      <c r="H353">
        <v>21.5</v>
      </c>
      <c r="I353" t="s">
        <v>1259</v>
      </c>
      <c r="J353" t="s">
        <v>396</v>
      </c>
      <c r="K353" t="s">
        <v>335</v>
      </c>
      <c r="L353" s="7" t="str">
        <f t="shared" si="10"/>
        <v>No</v>
      </c>
      <c r="M353" s="16">
        <f t="shared" ca="1" si="11"/>
        <v>0</v>
      </c>
    </row>
    <row r="354" spans="1:13">
      <c r="A354" t="s">
        <v>1435</v>
      </c>
      <c r="B354" t="s">
        <v>108</v>
      </c>
      <c r="C354" t="s">
        <v>443</v>
      </c>
      <c r="D354" t="s">
        <v>1261</v>
      </c>
      <c r="E354" s="4">
        <v>46032.5</v>
      </c>
      <c r="F354">
        <v>8</v>
      </c>
      <c r="G354">
        <v>0.9</v>
      </c>
      <c r="H354">
        <v>29.4</v>
      </c>
      <c r="I354" t="s">
        <v>1259</v>
      </c>
      <c r="J354" t="s">
        <v>414</v>
      </c>
      <c r="K354" t="s">
        <v>323</v>
      </c>
      <c r="L354" s="7" t="str">
        <f t="shared" si="10"/>
        <v>Yes</v>
      </c>
      <c r="M354" s="16">
        <f t="shared" ca="1" si="11"/>
        <v>0</v>
      </c>
    </row>
    <row r="355" spans="1:13">
      <c r="A355" t="s">
        <v>1436</v>
      </c>
      <c r="B355" t="s">
        <v>247</v>
      </c>
      <c r="C355" t="s">
        <v>384</v>
      </c>
      <c r="D355" t="s">
        <v>1262</v>
      </c>
      <c r="E355" s="4">
        <v>45929.625</v>
      </c>
      <c r="F355">
        <v>72</v>
      </c>
      <c r="G355">
        <v>4</v>
      </c>
      <c r="H355">
        <v>67.599999999999994</v>
      </c>
      <c r="I355" t="s">
        <v>1259</v>
      </c>
      <c r="J355" t="s">
        <v>456</v>
      </c>
      <c r="K355" t="s">
        <v>328</v>
      </c>
      <c r="L355" s="7" t="str">
        <f t="shared" si="10"/>
        <v>No</v>
      </c>
      <c r="M355" s="16">
        <f t="shared" ca="1" si="11"/>
        <v>0</v>
      </c>
    </row>
    <row r="356" spans="1:13">
      <c r="A356" t="s">
        <v>1437</v>
      </c>
      <c r="B356" t="s">
        <v>212</v>
      </c>
      <c r="C356" t="s">
        <v>392</v>
      </c>
      <c r="D356" t="s">
        <v>1261</v>
      </c>
      <c r="E356" s="4">
        <v>46147.708333333343</v>
      </c>
      <c r="F356">
        <v>4</v>
      </c>
      <c r="G356">
        <v>5.9</v>
      </c>
      <c r="H356">
        <v>104.8</v>
      </c>
      <c r="I356" t="s">
        <v>1259</v>
      </c>
      <c r="J356" t="s">
        <v>414</v>
      </c>
      <c r="K356" t="s">
        <v>335</v>
      </c>
      <c r="L356" s="7" t="str">
        <f t="shared" si="10"/>
        <v>Yes</v>
      </c>
      <c r="M356" s="16">
        <f t="shared" ca="1" si="11"/>
        <v>0</v>
      </c>
    </row>
    <row r="357" spans="1:13">
      <c r="A357" t="s">
        <v>1438</v>
      </c>
      <c r="B357" t="s">
        <v>91</v>
      </c>
      <c r="C357" t="s">
        <v>373</v>
      </c>
      <c r="D357" t="s">
        <v>1262</v>
      </c>
      <c r="E357" s="4">
        <v>46058.291666666657</v>
      </c>
      <c r="F357">
        <v>48</v>
      </c>
      <c r="G357">
        <v>5.2</v>
      </c>
      <c r="H357">
        <v>30.3</v>
      </c>
      <c r="I357" t="s">
        <v>1259</v>
      </c>
      <c r="J357" t="s">
        <v>370</v>
      </c>
      <c r="K357" t="s">
        <v>323</v>
      </c>
      <c r="L357" s="7" t="str">
        <f t="shared" si="10"/>
        <v>No</v>
      </c>
      <c r="M357" s="16">
        <f t="shared" ca="1" si="11"/>
        <v>0</v>
      </c>
    </row>
    <row r="358" spans="1:13">
      <c r="A358" t="s">
        <v>850</v>
      </c>
      <c r="B358" t="s">
        <v>66</v>
      </c>
      <c r="C358" t="s">
        <v>399</v>
      </c>
      <c r="D358" t="s">
        <v>1258</v>
      </c>
      <c r="E358" s="4">
        <v>45969.625</v>
      </c>
      <c r="F358">
        <v>8</v>
      </c>
      <c r="G358">
        <v>5.9</v>
      </c>
      <c r="H358">
        <v>13.8</v>
      </c>
      <c r="I358" t="s">
        <v>1259</v>
      </c>
      <c r="J358" t="s">
        <v>414</v>
      </c>
      <c r="K358" t="s">
        <v>335</v>
      </c>
      <c r="L358" s="7" t="str">
        <f t="shared" si="10"/>
        <v>Yes</v>
      </c>
      <c r="M358" s="16">
        <f t="shared" ca="1" si="11"/>
        <v>0</v>
      </c>
    </row>
    <row r="359" spans="1:13">
      <c r="A359" t="s">
        <v>1439</v>
      </c>
      <c r="B359" t="s">
        <v>262</v>
      </c>
      <c r="C359" t="s">
        <v>377</v>
      </c>
      <c r="D359" t="s">
        <v>1261</v>
      </c>
      <c r="E359" s="4">
        <v>45842.75</v>
      </c>
      <c r="F359">
        <v>72</v>
      </c>
      <c r="G359">
        <v>0.9</v>
      </c>
      <c r="H359">
        <v>3.7</v>
      </c>
      <c r="I359" t="s">
        <v>1259</v>
      </c>
      <c r="J359" t="s">
        <v>370</v>
      </c>
      <c r="K359" t="s">
        <v>335</v>
      </c>
      <c r="L359" s="7" t="str">
        <f t="shared" si="10"/>
        <v>No</v>
      </c>
      <c r="M359" s="16">
        <f t="shared" ca="1" si="11"/>
        <v>0</v>
      </c>
    </row>
    <row r="360" spans="1:13">
      <c r="A360" t="s">
        <v>1440</v>
      </c>
      <c r="B360" t="s">
        <v>281</v>
      </c>
      <c r="C360" t="s">
        <v>417</v>
      </c>
      <c r="D360" t="s">
        <v>1261</v>
      </c>
      <c r="E360" s="4">
        <v>46057.833333333343</v>
      </c>
      <c r="F360">
        <v>72</v>
      </c>
      <c r="G360">
        <v>1.8</v>
      </c>
      <c r="H360">
        <v>115.3</v>
      </c>
      <c r="I360" t="s">
        <v>1259</v>
      </c>
      <c r="J360" t="s">
        <v>396</v>
      </c>
      <c r="K360" t="s">
        <v>323</v>
      </c>
      <c r="L360" s="7" t="str">
        <f t="shared" si="10"/>
        <v>Yes</v>
      </c>
      <c r="M360" s="16">
        <f t="shared" ca="1" si="11"/>
        <v>0</v>
      </c>
    </row>
    <row r="361" spans="1:13">
      <c r="A361" t="s">
        <v>473</v>
      </c>
      <c r="B361" t="s">
        <v>106</v>
      </c>
      <c r="C361" t="s">
        <v>392</v>
      </c>
      <c r="D361" t="s">
        <v>1258</v>
      </c>
      <c r="E361" s="4">
        <v>45943.541666666657</v>
      </c>
      <c r="F361">
        <v>72</v>
      </c>
      <c r="G361">
        <v>5.0999999999999996</v>
      </c>
      <c r="H361">
        <v>66.3</v>
      </c>
      <c r="I361" t="s">
        <v>1259</v>
      </c>
      <c r="J361" t="s">
        <v>414</v>
      </c>
      <c r="K361" t="s">
        <v>335</v>
      </c>
      <c r="L361" s="7" t="str">
        <f t="shared" si="10"/>
        <v>No</v>
      </c>
      <c r="M361" s="16">
        <f t="shared" ca="1" si="11"/>
        <v>0</v>
      </c>
    </row>
    <row r="362" spans="1:13">
      <c r="A362" t="s">
        <v>1441</v>
      </c>
      <c r="B362" t="s">
        <v>262</v>
      </c>
      <c r="C362" t="s">
        <v>467</v>
      </c>
      <c r="D362" t="s">
        <v>1262</v>
      </c>
      <c r="E362" s="4">
        <v>46042.958333333343</v>
      </c>
      <c r="F362">
        <v>8</v>
      </c>
      <c r="G362">
        <v>5.6</v>
      </c>
      <c r="H362">
        <v>51.2</v>
      </c>
      <c r="I362" t="s">
        <v>1259</v>
      </c>
      <c r="J362" t="s">
        <v>440</v>
      </c>
      <c r="K362" t="s">
        <v>323</v>
      </c>
      <c r="L362" s="7" t="str">
        <f t="shared" si="10"/>
        <v>Yes</v>
      </c>
      <c r="M362" s="16">
        <f t="shared" ca="1" si="11"/>
        <v>0</v>
      </c>
    </row>
    <row r="363" spans="1:13">
      <c r="A363" t="s">
        <v>1075</v>
      </c>
      <c r="B363" t="s">
        <v>285</v>
      </c>
      <c r="C363" t="s">
        <v>399</v>
      </c>
      <c r="D363" t="s">
        <v>1261</v>
      </c>
      <c r="E363" s="4">
        <v>46044.416666666657</v>
      </c>
      <c r="F363">
        <v>72</v>
      </c>
      <c r="G363">
        <v>4.0999999999999996</v>
      </c>
      <c r="H363">
        <v>92.9</v>
      </c>
      <c r="I363" t="s">
        <v>1265</v>
      </c>
      <c r="J363" t="s">
        <v>400</v>
      </c>
      <c r="K363" t="s">
        <v>323</v>
      </c>
      <c r="L363" s="7" t="str">
        <f t="shared" si="10"/>
        <v>Yes</v>
      </c>
      <c r="M363" s="16">
        <f t="shared" ca="1" si="11"/>
        <v>105.58333333334303</v>
      </c>
    </row>
    <row r="364" spans="1:13">
      <c r="A364" t="s">
        <v>1442</v>
      </c>
      <c r="B364" t="s">
        <v>7</v>
      </c>
      <c r="C364" t="s">
        <v>399</v>
      </c>
      <c r="D364" t="s">
        <v>1262</v>
      </c>
      <c r="E364" s="4">
        <v>46080.791666666657</v>
      </c>
      <c r="F364">
        <v>48</v>
      </c>
      <c r="G364">
        <v>0.8</v>
      </c>
      <c r="H364">
        <v>21.4</v>
      </c>
      <c r="I364" t="s">
        <v>1259</v>
      </c>
      <c r="J364" t="s">
        <v>374</v>
      </c>
      <c r="K364" t="s">
        <v>328</v>
      </c>
      <c r="L364" s="7" t="str">
        <f t="shared" si="10"/>
        <v>No</v>
      </c>
      <c r="M364" s="16">
        <f t="shared" ca="1" si="11"/>
        <v>0</v>
      </c>
    </row>
    <row r="365" spans="1:13">
      <c r="A365" t="s">
        <v>1443</v>
      </c>
      <c r="B365" t="s">
        <v>170</v>
      </c>
      <c r="C365" t="s">
        <v>369</v>
      </c>
      <c r="D365" t="s">
        <v>1266</v>
      </c>
      <c r="E365" s="4">
        <v>46044.791666666657</v>
      </c>
      <c r="F365">
        <v>72</v>
      </c>
      <c r="G365">
        <v>2</v>
      </c>
      <c r="H365">
        <v>74.099999999999994</v>
      </c>
      <c r="I365" t="s">
        <v>1265</v>
      </c>
      <c r="J365" t="s">
        <v>403</v>
      </c>
      <c r="K365" t="s">
        <v>323</v>
      </c>
      <c r="L365" s="7" t="str">
        <f t="shared" si="10"/>
        <v>Yes</v>
      </c>
      <c r="M365" s="16">
        <f t="shared" ca="1" si="11"/>
        <v>105.20833333334303</v>
      </c>
    </row>
    <row r="366" spans="1:13">
      <c r="A366" t="s">
        <v>1172</v>
      </c>
      <c r="B366" t="s">
        <v>87</v>
      </c>
      <c r="C366" t="s">
        <v>365</v>
      </c>
      <c r="D366" t="s">
        <v>1261</v>
      </c>
      <c r="E366" s="4">
        <v>46104.375</v>
      </c>
      <c r="F366">
        <v>8</v>
      </c>
      <c r="G366">
        <v>0.4</v>
      </c>
      <c r="H366">
        <v>81.7</v>
      </c>
      <c r="I366" t="s">
        <v>1259</v>
      </c>
      <c r="J366" t="s">
        <v>366</v>
      </c>
      <c r="K366" t="s">
        <v>323</v>
      </c>
      <c r="L366" s="7" t="str">
        <f t="shared" si="10"/>
        <v>Yes</v>
      </c>
      <c r="M366" s="16">
        <f t="shared" ca="1" si="11"/>
        <v>0</v>
      </c>
    </row>
    <row r="367" spans="1:13">
      <c r="A367" t="s">
        <v>1444</v>
      </c>
      <c r="B367" t="s">
        <v>219</v>
      </c>
      <c r="C367" t="s">
        <v>392</v>
      </c>
      <c r="D367" t="s">
        <v>1261</v>
      </c>
      <c r="E367" s="4">
        <v>45961.833333333343</v>
      </c>
      <c r="F367">
        <v>4</v>
      </c>
      <c r="G367">
        <v>6.3</v>
      </c>
      <c r="H367">
        <v>14.2</v>
      </c>
      <c r="I367" t="s">
        <v>331</v>
      </c>
      <c r="J367" t="s">
        <v>400</v>
      </c>
      <c r="K367" t="s">
        <v>335</v>
      </c>
      <c r="L367" s="7" t="str">
        <f t="shared" si="10"/>
        <v>Yes</v>
      </c>
      <c r="M367" s="16">
        <f t="shared" ca="1" si="11"/>
        <v>188.16666666665697</v>
      </c>
    </row>
    <row r="368" spans="1:13">
      <c r="A368" t="s">
        <v>505</v>
      </c>
      <c r="B368" t="s">
        <v>147</v>
      </c>
      <c r="C368" t="s">
        <v>369</v>
      </c>
      <c r="D368" t="s">
        <v>1258</v>
      </c>
      <c r="E368" s="4">
        <v>45941.666666666657</v>
      </c>
      <c r="F368">
        <v>4</v>
      </c>
      <c r="G368">
        <v>4.8</v>
      </c>
      <c r="H368">
        <v>11.8</v>
      </c>
      <c r="I368" t="s">
        <v>1265</v>
      </c>
      <c r="J368" t="s">
        <v>393</v>
      </c>
      <c r="K368" t="s">
        <v>323</v>
      </c>
      <c r="L368" s="7" t="str">
        <f t="shared" si="10"/>
        <v>Yes</v>
      </c>
      <c r="M368" s="16">
        <f t="shared" ca="1" si="11"/>
        <v>208.33333333334303</v>
      </c>
    </row>
    <row r="369" spans="1:13">
      <c r="A369" t="s">
        <v>1022</v>
      </c>
      <c r="B369" t="s">
        <v>190</v>
      </c>
      <c r="C369" t="s">
        <v>476</v>
      </c>
      <c r="D369" t="s">
        <v>1266</v>
      </c>
      <c r="E369" s="4">
        <v>46017.458333333343</v>
      </c>
      <c r="F369">
        <v>24</v>
      </c>
      <c r="G369">
        <v>1.6</v>
      </c>
      <c r="H369">
        <v>74</v>
      </c>
      <c r="I369" t="s">
        <v>1259</v>
      </c>
      <c r="J369" t="s">
        <v>400</v>
      </c>
      <c r="K369" t="s">
        <v>323</v>
      </c>
      <c r="L369" s="7" t="str">
        <f t="shared" si="10"/>
        <v>Yes</v>
      </c>
      <c r="M369" s="16">
        <f t="shared" ca="1" si="11"/>
        <v>0</v>
      </c>
    </row>
    <row r="370" spans="1:13">
      <c r="A370" t="s">
        <v>602</v>
      </c>
      <c r="B370" t="s">
        <v>7</v>
      </c>
      <c r="C370" t="s">
        <v>467</v>
      </c>
      <c r="D370" t="s">
        <v>1261</v>
      </c>
      <c r="E370" s="4">
        <v>46098.125</v>
      </c>
      <c r="F370">
        <v>72</v>
      </c>
      <c r="G370">
        <v>0.7</v>
      </c>
      <c r="H370">
        <v>41.5</v>
      </c>
      <c r="I370" t="s">
        <v>1263</v>
      </c>
      <c r="J370" t="s">
        <v>414</v>
      </c>
      <c r="K370" t="s">
        <v>335</v>
      </c>
      <c r="L370" s="7" t="str">
        <f t="shared" si="10"/>
        <v>No</v>
      </c>
      <c r="M370" s="16">
        <f t="shared" ca="1" si="11"/>
        <v>51.875</v>
      </c>
    </row>
    <row r="371" spans="1:13">
      <c r="A371" t="s">
        <v>1445</v>
      </c>
      <c r="B371" t="s">
        <v>164</v>
      </c>
      <c r="C371" t="s">
        <v>476</v>
      </c>
      <c r="D371" t="s">
        <v>1262</v>
      </c>
      <c r="E371" s="4">
        <v>46133.333333333343</v>
      </c>
      <c r="F371">
        <v>48</v>
      </c>
      <c r="G371">
        <v>6.3</v>
      </c>
      <c r="H371">
        <v>44</v>
      </c>
      <c r="I371" t="s">
        <v>1259</v>
      </c>
      <c r="J371" t="s">
        <v>396</v>
      </c>
      <c r="K371" t="s">
        <v>335</v>
      </c>
      <c r="L371" s="7" t="str">
        <f t="shared" si="10"/>
        <v>No</v>
      </c>
      <c r="M371" s="16">
        <f t="shared" ca="1" si="11"/>
        <v>0</v>
      </c>
    </row>
    <row r="372" spans="1:13">
      <c r="A372" t="s">
        <v>531</v>
      </c>
      <c r="B372" t="s">
        <v>226</v>
      </c>
      <c r="C372" t="s">
        <v>365</v>
      </c>
      <c r="D372" t="s">
        <v>1262</v>
      </c>
      <c r="E372" s="4">
        <v>45853.625</v>
      </c>
      <c r="F372">
        <v>4</v>
      </c>
      <c r="G372">
        <v>1.8</v>
      </c>
      <c r="H372">
        <v>30.4</v>
      </c>
      <c r="I372" t="s">
        <v>1259</v>
      </c>
      <c r="J372" t="s">
        <v>366</v>
      </c>
      <c r="K372" t="s">
        <v>323</v>
      </c>
      <c r="L372" s="7" t="str">
        <f t="shared" si="10"/>
        <v>Yes</v>
      </c>
      <c r="M372" s="16">
        <f t="shared" ca="1" si="11"/>
        <v>0</v>
      </c>
    </row>
    <row r="373" spans="1:13">
      <c r="A373" t="s">
        <v>1446</v>
      </c>
      <c r="B373" t="s">
        <v>232</v>
      </c>
      <c r="C373" t="s">
        <v>377</v>
      </c>
      <c r="D373" t="s">
        <v>1262</v>
      </c>
      <c r="E373" s="4">
        <v>46050.458333333343</v>
      </c>
      <c r="F373">
        <v>72</v>
      </c>
      <c r="G373">
        <v>3.6</v>
      </c>
      <c r="H373">
        <v>54.3</v>
      </c>
      <c r="I373" t="s">
        <v>331</v>
      </c>
      <c r="J373" t="s">
        <v>393</v>
      </c>
      <c r="K373" t="s">
        <v>328</v>
      </c>
      <c r="L373" s="7" t="str">
        <f t="shared" si="10"/>
        <v>No</v>
      </c>
      <c r="M373" s="16">
        <f t="shared" ca="1" si="11"/>
        <v>99.541666666656965</v>
      </c>
    </row>
    <row r="374" spans="1:13">
      <c r="A374" t="s">
        <v>1447</v>
      </c>
      <c r="B374" t="s">
        <v>110</v>
      </c>
      <c r="C374" t="s">
        <v>392</v>
      </c>
      <c r="D374" t="s">
        <v>1262</v>
      </c>
      <c r="E374" s="4">
        <v>46014.083333333343</v>
      </c>
      <c r="F374">
        <v>72</v>
      </c>
      <c r="G374">
        <v>6.1</v>
      </c>
      <c r="H374">
        <v>37.4</v>
      </c>
      <c r="I374" t="s">
        <v>1259</v>
      </c>
      <c r="J374" t="s">
        <v>374</v>
      </c>
      <c r="K374" t="s">
        <v>335</v>
      </c>
      <c r="L374" s="7" t="str">
        <f t="shared" si="10"/>
        <v>No</v>
      </c>
      <c r="M374" s="16">
        <f t="shared" ca="1" si="11"/>
        <v>0</v>
      </c>
    </row>
    <row r="375" spans="1:13">
      <c r="A375" t="s">
        <v>947</v>
      </c>
      <c r="B375" t="s">
        <v>133</v>
      </c>
      <c r="C375" t="s">
        <v>381</v>
      </c>
      <c r="D375" t="s">
        <v>1262</v>
      </c>
      <c r="E375" s="4">
        <v>45936.625</v>
      </c>
      <c r="F375">
        <v>8</v>
      </c>
      <c r="G375">
        <v>1.7</v>
      </c>
      <c r="H375">
        <v>19.8</v>
      </c>
      <c r="I375" t="s">
        <v>331</v>
      </c>
      <c r="J375" t="s">
        <v>366</v>
      </c>
      <c r="K375" t="s">
        <v>328</v>
      </c>
      <c r="L375" s="7" t="str">
        <f t="shared" si="10"/>
        <v>Yes</v>
      </c>
      <c r="M375" s="16">
        <f t="shared" ca="1" si="11"/>
        <v>213.375</v>
      </c>
    </row>
    <row r="376" spans="1:13">
      <c r="A376" t="s">
        <v>1448</v>
      </c>
      <c r="B376" t="s">
        <v>190</v>
      </c>
      <c r="C376" t="s">
        <v>377</v>
      </c>
      <c r="D376" t="s">
        <v>1262</v>
      </c>
      <c r="E376" s="4">
        <v>46021.166666666657</v>
      </c>
      <c r="F376">
        <v>4</v>
      </c>
      <c r="G376">
        <v>1</v>
      </c>
      <c r="H376">
        <v>7.5</v>
      </c>
      <c r="I376" t="s">
        <v>1263</v>
      </c>
      <c r="J376" t="s">
        <v>440</v>
      </c>
      <c r="K376" t="s">
        <v>323</v>
      </c>
      <c r="L376" s="7" t="str">
        <f t="shared" si="10"/>
        <v>Yes</v>
      </c>
      <c r="M376" s="16">
        <f t="shared" ca="1" si="11"/>
        <v>128.83333333334303</v>
      </c>
    </row>
    <row r="377" spans="1:13">
      <c r="A377" t="s">
        <v>1449</v>
      </c>
      <c r="B377" t="s">
        <v>7</v>
      </c>
      <c r="C377" t="s">
        <v>476</v>
      </c>
      <c r="D377" t="s">
        <v>1266</v>
      </c>
      <c r="E377" s="4">
        <v>46085.458333333343</v>
      </c>
      <c r="F377">
        <v>72</v>
      </c>
      <c r="G377">
        <v>2.2000000000000002</v>
      </c>
      <c r="H377">
        <v>69.099999999999994</v>
      </c>
      <c r="I377" t="s">
        <v>1259</v>
      </c>
      <c r="J377" t="s">
        <v>374</v>
      </c>
      <c r="K377" t="s">
        <v>335</v>
      </c>
      <c r="L377" s="7" t="str">
        <f t="shared" si="10"/>
        <v>No</v>
      </c>
      <c r="M377" s="16">
        <f t="shared" ca="1" si="11"/>
        <v>0</v>
      </c>
    </row>
    <row r="378" spans="1:13">
      <c r="A378" t="s">
        <v>651</v>
      </c>
      <c r="B378" t="s">
        <v>194</v>
      </c>
      <c r="C378" t="s">
        <v>384</v>
      </c>
      <c r="D378" t="s">
        <v>1266</v>
      </c>
      <c r="E378" s="4">
        <v>46100.333333333343</v>
      </c>
      <c r="F378">
        <v>48</v>
      </c>
      <c r="G378">
        <v>1.6</v>
      </c>
      <c r="H378">
        <v>45</v>
      </c>
      <c r="I378" t="s">
        <v>1265</v>
      </c>
      <c r="J378" t="s">
        <v>400</v>
      </c>
      <c r="K378" t="s">
        <v>335</v>
      </c>
      <c r="L378" s="7" t="str">
        <f t="shared" si="10"/>
        <v>No</v>
      </c>
      <c r="M378" s="16">
        <f t="shared" ca="1" si="11"/>
        <v>49.666666666656965</v>
      </c>
    </row>
    <row r="379" spans="1:13">
      <c r="A379" t="s">
        <v>579</v>
      </c>
      <c r="B379" t="s">
        <v>76</v>
      </c>
      <c r="C379" t="s">
        <v>373</v>
      </c>
      <c r="D379" t="s">
        <v>1258</v>
      </c>
      <c r="E379" s="4">
        <v>46040.875</v>
      </c>
      <c r="F379">
        <v>8</v>
      </c>
      <c r="G379">
        <v>3.1</v>
      </c>
      <c r="H379">
        <v>18.600000000000001</v>
      </c>
      <c r="I379" t="s">
        <v>1259</v>
      </c>
      <c r="J379" t="s">
        <v>396</v>
      </c>
      <c r="K379" t="s">
        <v>323</v>
      </c>
      <c r="L379" s="7" t="str">
        <f t="shared" si="10"/>
        <v>Yes</v>
      </c>
      <c r="M379" s="16">
        <f t="shared" ca="1" si="11"/>
        <v>0</v>
      </c>
    </row>
    <row r="380" spans="1:13">
      <c r="A380" t="s">
        <v>1450</v>
      </c>
      <c r="B380" t="s">
        <v>97</v>
      </c>
      <c r="C380" t="s">
        <v>373</v>
      </c>
      <c r="D380" t="s">
        <v>1262</v>
      </c>
      <c r="E380" s="4">
        <v>46033.75</v>
      </c>
      <c r="F380">
        <v>4</v>
      </c>
      <c r="G380">
        <v>2.2999999999999998</v>
      </c>
      <c r="H380">
        <v>47.7</v>
      </c>
      <c r="I380" t="s">
        <v>331</v>
      </c>
      <c r="J380" t="s">
        <v>414</v>
      </c>
      <c r="K380" t="s">
        <v>335</v>
      </c>
      <c r="L380" s="7" t="str">
        <f t="shared" si="10"/>
        <v>Yes</v>
      </c>
      <c r="M380" s="16">
        <f t="shared" ca="1" si="11"/>
        <v>116.25</v>
      </c>
    </row>
    <row r="381" spans="1:13">
      <c r="A381" t="s">
        <v>1053</v>
      </c>
      <c r="B381" t="s">
        <v>123</v>
      </c>
      <c r="C381" t="s">
        <v>467</v>
      </c>
      <c r="D381" t="s">
        <v>1258</v>
      </c>
      <c r="E381" s="4">
        <v>46014.458333333343</v>
      </c>
      <c r="F381">
        <v>8</v>
      </c>
      <c r="G381">
        <v>3.3</v>
      </c>
      <c r="H381">
        <v>30.5</v>
      </c>
      <c r="I381" t="s">
        <v>1259</v>
      </c>
      <c r="J381" t="s">
        <v>396</v>
      </c>
      <c r="K381" t="s">
        <v>335</v>
      </c>
      <c r="L381" s="7" t="str">
        <f t="shared" si="10"/>
        <v>Yes</v>
      </c>
      <c r="M381" s="16">
        <f t="shared" ca="1" si="11"/>
        <v>0</v>
      </c>
    </row>
    <row r="382" spans="1:13">
      <c r="A382" t="s">
        <v>1451</v>
      </c>
      <c r="B382" t="s">
        <v>204</v>
      </c>
      <c r="C382" t="s">
        <v>369</v>
      </c>
      <c r="D382" t="s">
        <v>1261</v>
      </c>
      <c r="E382" s="4">
        <v>45931.75</v>
      </c>
      <c r="F382">
        <v>8</v>
      </c>
      <c r="G382">
        <v>6.4</v>
      </c>
      <c r="H382">
        <v>93.1</v>
      </c>
      <c r="I382" t="s">
        <v>1259</v>
      </c>
      <c r="J382" t="s">
        <v>370</v>
      </c>
      <c r="K382" t="s">
        <v>335</v>
      </c>
      <c r="L382" s="7" t="str">
        <f t="shared" si="10"/>
        <v>Yes</v>
      </c>
      <c r="M382" s="16">
        <f t="shared" ca="1" si="11"/>
        <v>0</v>
      </c>
    </row>
    <row r="383" spans="1:13">
      <c r="A383" t="s">
        <v>1452</v>
      </c>
      <c r="B383" t="s">
        <v>183</v>
      </c>
      <c r="C383" t="s">
        <v>377</v>
      </c>
      <c r="D383" t="s">
        <v>1262</v>
      </c>
      <c r="E383" s="4">
        <v>46034.25</v>
      </c>
      <c r="F383">
        <v>8</v>
      </c>
      <c r="G383">
        <v>5.2</v>
      </c>
      <c r="H383">
        <v>57.1</v>
      </c>
      <c r="I383" t="s">
        <v>1259</v>
      </c>
      <c r="J383" t="s">
        <v>387</v>
      </c>
      <c r="K383" t="s">
        <v>328</v>
      </c>
      <c r="L383" s="7" t="str">
        <f t="shared" si="10"/>
        <v>Yes</v>
      </c>
      <c r="M383" s="16">
        <f t="shared" ca="1" si="11"/>
        <v>0</v>
      </c>
    </row>
    <row r="384" spans="1:13">
      <c r="A384" t="s">
        <v>636</v>
      </c>
      <c r="B384" t="s">
        <v>247</v>
      </c>
      <c r="C384" t="s">
        <v>365</v>
      </c>
      <c r="D384" t="s">
        <v>1261</v>
      </c>
      <c r="E384" s="4">
        <v>46103.708333333343</v>
      </c>
      <c r="F384">
        <v>24</v>
      </c>
      <c r="G384">
        <v>5.0999999999999996</v>
      </c>
      <c r="H384">
        <v>42.3</v>
      </c>
      <c r="I384" t="s">
        <v>1259</v>
      </c>
      <c r="J384" t="s">
        <v>374</v>
      </c>
      <c r="K384" t="s">
        <v>328</v>
      </c>
      <c r="L384" s="7" t="str">
        <f t="shared" si="10"/>
        <v>Yes</v>
      </c>
      <c r="M384" s="16">
        <f t="shared" ca="1" si="11"/>
        <v>0</v>
      </c>
    </row>
    <row r="385" spans="1:13">
      <c r="A385" t="s">
        <v>681</v>
      </c>
      <c r="B385" t="s">
        <v>21</v>
      </c>
      <c r="C385" t="s">
        <v>399</v>
      </c>
      <c r="D385" t="s">
        <v>1262</v>
      </c>
      <c r="E385" s="4">
        <v>45869.25</v>
      </c>
      <c r="F385">
        <v>24</v>
      </c>
      <c r="G385">
        <v>3.2</v>
      </c>
      <c r="H385">
        <v>49</v>
      </c>
      <c r="I385" t="s">
        <v>1259</v>
      </c>
      <c r="J385" t="s">
        <v>396</v>
      </c>
      <c r="K385" t="s">
        <v>335</v>
      </c>
      <c r="L385" s="7" t="str">
        <f t="shared" si="10"/>
        <v>Yes</v>
      </c>
      <c r="M385" s="16">
        <f t="shared" ca="1" si="11"/>
        <v>0</v>
      </c>
    </row>
    <row r="386" spans="1:13">
      <c r="A386" t="s">
        <v>1453</v>
      </c>
      <c r="B386" t="s">
        <v>351</v>
      </c>
      <c r="C386" t="s">
        <v>417</v>
      </c>
      <c r="D386" t="s">
        <v>1262</v>
      </c>
      <c r="E386" s="4">
        <v>45970.458333333343</v>
      </c>
      <c r="F386">
        <v>4</v>
      </c>
      <c r="G386">
        <v>2.8</v>
      </c>
      <c r="H386">
        <v>28</v>
      </c>
      <c r="I386" t="s">
        <v>1259</v>
      </c>
      <c r="J386" t="s">
        <v>374</v>
      </c>
      <c r="K386" t="s">
        <v>328</v>
      </c>
      <c r="L386" s="7" t="str">
        <f t="shared" ref="L386:L449" si="12">IF(H386&gt;F386,"Yes","No")</f>
        <v>Yes</v>
      </c>
      <c r="M386" s="16">
        <f t="shared" ref="M386:M449" ca="1" si="13">IF(I386="Closed",0,TODAY()-E386)</f>
        <v>0</v>
      </c>
    </row>
    <row r="387" spans="1:13">
      <c r="A387" t="s">
        <v>500</v>
      </c>
      <c r="B387" t="s">
        <v>66</v>
      </c>
      <c r="C387" t="s">
        <v>443</v>
      </c>
      <c r="D387" t="s">
        <v>1262</v>
      </c>
      <c r="E387" s="4">
        <v>46114.208333333343</v>
      </c>
      <c r="F387">
        <v>24</v>
      </c>
      <c r="G387">
        <v>2.4</v>
      </c>
      <c r="H387">
        <v>52.2</v>
      </c>
      <c r="I387" t="s">
        <v>1259</v>
      </c>
      <c r="J387" t="s">
        <v>370</v>
      </c>
      <c r="K387" t="s">
        <v>335</v>
      </c>
      <c r="L387" s="7" t="str">
        <f t="shared" si="12"/>
        <v>Yes</v>
      </c>
      <c r="M387" s="16">
        <f t="shared" ca="1" si="13"/>
        <v>0</v>
      </c>
    </row>
    <row r="388" spans="1:13">
      <c r="A388" t="s">
        <v>398</v>
      </c>
      <c r="B388" t="s">
        <v>112</v>
      </c>
      <c r="C388" t="s">
        <v>399</v>
      </c>
      <c r="D388" t="s">
        <v>1258</v>
      </c>
      <c r="E388" s="4">
        <v>45985.583333333343</v>
      </c>
      <c r="F388">
        <v>8</v>
      </c>
      <c r="G388">
        <v>5.7</v>
      </c>
      <c r="H388">
        <v>87.1</v>
      </c>
      <c r="I388" t="s">
        <v>1263</v>
      </c>
      <c r="J388" t="s">
        <v>400</v>
      </c>
      <c r="K388" t="s">
        <v>323</v>
      </c>
      <c r="L388" s="7" t="str">
        <f t="shared" si="12"/>
        <v>Yes</v>
      </c>
      <c r="M388" s="16">
        <f t="shared" ca="1" si="13"/>
        <v>164.41666666665697</v>
      </c>
    </row>
    <row r="389" spans="1:13">
      <c r="A389" t="s">
        <v>897</v>
      </c>
      <c r="B389" t="s">
        <v>245</v>
      </c>
      <c r="C389" t="s">
        <v>443</v>
      </c>
      <c r="D389" t="s">
        <v>1258</v>
      </c>
      <c r="E389" s="4">
        <v>45875.083333333343</v>
      </c>
      <c r="F389">
        <v>8</v>
      </c>
      <c r="G389">
        <v>2.4</v>
      </c>
      <c r="H389">
        <v>44.1</v>
      </c>
      <c r="I389" t="s">
        <v>1259</v>
      </c>
      <c r="J389" t="s">
        <v>370</v>
      </c>
      <c r="K389" t="s">
        <v>335</v>
      </c>
      <c r="L389" s="7" t="str">
        <f t="shared" si="12"/>
        <v>Yes</v>
      </c>
      <c r="M389" s="16">
        <f t="shared" ca="1" si="13"/>
        <v>0</v>
      </c>
    </row>
    <row r="390" spans="1:13">
      <c r="A390" t="s">
        <v>610</v>
      </c>
      <c r="B390" t="s">
        <v>51</v>
      </c>
      <c r="C390" t="s">
        <v>392</v>
      </c>
      <c r="D390" t="s">
        <v>1258</v>
      </c>
      <c r="E390" s="4">
        <v>46066.458333333343</v>
      </c>
      <c r="F390">
        <v>72</v>
      </c>
      <c r="G390">
        <v>3.5</v>
      </c>
      <c r="H390">
        <v>62.1</v>
      </c>
      <c r="I390" t="s">
        <v>331</v>
      </c>
      <c r="J390" t="s">
        <v>387</v>
      </c>
      <c r="K390" t="s">
        <v>328</v>
      </c>
      <c r="L390" s="7" t="str">
        <f t="shared" si="12"/>
        <v>No</v>
      </c>
      <c r="M390" s="16">
        <f t="shared" ca="1" si="13"/>
        <v>83.541666666656965</v>
      </c>
    </row>
    <row r="391" spans="1:13">
      <c r="A391" t="s">
        <v>943</v>
      </c>
      <c r="B391" t="s">
        <v>298</v>
      </c>
      <c r="C391" t="s">
        <v>377</v>
      </c>
      <c r="D391" t="s">
        <v>1262</v>
      </c>
      <c r="E391" s="4">
        <v>45879.25</v>
      </c>
      <c r="F391">
        <v>8</v>
      </c>
      <c r="G391">
        <v>2.7</v>
      </c>
      <c r="H391">
        <v>8.8000000000000007</v>
      </c>
      <c r="I391" t="s">
        <v>1263</v>
      </c>
      <c r="J391" t="s">
        <v>440</v>
      </c>
      <c r="K391" t="s">
        <v>323</v>
      </c>
      <c r="L391" s="7" t="str">
        <f t="shared" si="12"/>
        <v>Yes</v>
      </c>
      <c r="M391" s="16">
        <f t="shared" ca="1" si="13"/>
        <v>270.75</v>
      </c>
    </row>
    <row r="392" spans="1:13">
      <c r="A392" t="s">
        <v>1454</v>
      </c>
      <c r="B392" t="s">
        <v>197</v>
      </c>
      <c r="C392" t="s">
        <v>373</v>
      </c>
      <c r="D392" t="s">
        <v>1262</v>
      </c>
      <c r="E392" s="4">
        <v>46107.083333333343</v>
      </c>
      <c r="F392">
        <v>4</v>
      </c>
      <c r="G392">
        <v>1.9</v>
      </c>
      <c r="H392">
        <v>13.3</v>
      </c>
      <c r="I392" t="s">
        <v>1259</v>
      </c>
      <c r="J392" t="s">
        <v>400</v>
      </c>
      <c r="K392" t="s">
        <v>335</v>
      </c>
      <c r="L392" s="7" t="str">
        <f t="shared" si="12"/>
        <v>Yes</v>
      </c>
      <c r="M392" s="16">
        <f t="shared" ca="1" si="13"/>
        <v>0</v>
      </c>
    </row>
    <row r="393" spans="1:13">
      <c r="A393" t="s">
        <v>1455</v>
      </c>
      <c r="B393" t="s">
        <v>80</v>
      </c>
      <c r="C393" t="s">
        <v>377</v>
      </c>
      <c r="D393" t="s">
        <v>1262</v>
      </c>
      <c r="E393" s="4">
        <v>46065.833333333343</v>
      </c>
      <c r="F393">
        <v>8</v>
      </c>
      <c r="G393">
        <v>1</v>
      </c>
      <c r="H393">
        <v>64.7</v>
      </c>
      <c r="I393" t="s">
        <v>1265</v>
      </c>
      <c r="J393" t="s">
        <v>378</v>
      </c>
      <c r="K393" t="s">
        <v>335</v>
      </c>
      <c r="L393" s="7" t="str">
        <f t="shared" si="12"/>
        <v>Yes</v>
      </c>
      <c r="M393" s="16">
        <f t="shared" ca="1" si="13"/>
        <v>84.166666666656965</v>
      </c>
    </row>
    <row r="394" spans="1:13">
      <c r="A394" t="s">
        <v>1456</v>
      </c>
      <c r="B394" t="s">
        <v>82</v>
      </c>
      <c r="C394" t="s">
        <v>417</v>
      </c>
      <c r="D394" t="s">
        <v>1262</v>
      </c>
      <c r="E394" s="4">
        <v>46078.708333333343</v>
      </c>
      <c r="F394">
        <v>24</v>
      </c>
      <c r="G394">
        <v>3.7</v>
      </c>
      <c r="H394">
        <v>11.8</v>
      </c>
      <c r="I394" t="s">
        <v>1263</v>
      </c>
      <c r="J394" t="s">
        <v>414</v>
      </c>
      <c r="K394" t="s">
        <v>328</v>
      </c>
      <c r="L394" s="7" t="str">
        <f t="shared" si="12"/>
        <v>No</v>
      </c>
      <c r="M394" s="16">
        <f t="shared" ca="1" si="13"/>
        <v>71.291666666656965</v>
      </c>
    </row>
    <row r="395" spans="1:13">
      <c r="A395" t="s">
        <v>1154</v>
      </c>
      <c r="B395" t="s">
        <v>168</v>
      </c>
      <c r="C395" t="s">
        <v>443</v>
      </c>
      <c r="D395" t="s">
        <v>1258</v>
      </c>
      <c r="E395" s="4">
        <v>46127.541666666657</v>
      </c>
      <c r="F395">
        <v>72</v>
      </c>
      <c r="G395">
        <v>4.2</v>
      </c>
      <c r="H395">
        <v>73</v>
      </c>
      <c r="I395" t="s">
        <v>1263</v>
      </c>
      <c r="J395" t="s">
        <v>440</v>
      </c>
      <c r="K395" t="s">
        <v>323</v>
      </c>
      <c r="L395" s="7" t="str">
        <f t="shared" si="12"/>
        <v>Yes</v>
      </c>
      <c r="M395" s="16">
        <f t="shared" ca="1" si="13"/>
        <v>22.458333333343035</v>
      </c>
    </row>
    <row r="396" spans="1:13">
      <c r="A396" t="s">
        <v>915</v>
      </c>
      <c r="B396" t="s">
        <v>80</v>
      </c>
      <c r="C396" t="s">
        <v>399</v>
      </c>
      <c r="D396" t="s">
        <v>1258</v>
      </c>
      <c r="E396" s="4">
        <v>46026.541666666657</v>
      </c>
      <c r="F396">
        <v>24</v>
      </c>
      <c r="G396">
        <v>1.2</v>
      </c>
      <c r="H396">
        <v>4.2</v>
      </c>
      <c r="I396" t="s">
        <v>1259</v>
      </c>
      <c r="J396" t="s">
        <v>403</v>
      </c>
      <c r="K396" t="s">
        <v>335</v>
      </c>
      <c r="L396" s="7" t="str">
        <f t="shared" si="12"/>
        <v>No</v>
      </c>
      <c r="M396" s="16">
        <f t="shared" ca="1" si="13"/>
        <v>0</v>
      </c>
    </row>
    <row r="397" spans="1:13">
      <c r="A397" t="s">
        <v>702</v>
      </c>
      <c r="B397" t="s">
        <v>225</v>
      </c>
      <c r="C397" t="s">
        <v>365</v>
      </c>
      <c r="D397" t="s">
        <v>1258</v>
      </c>
      <c r="E397" s="4">
        <v>46090.625</v>
      </c>
      <c r="F397">
        <v>24</v>
      </c>
      <c r="G397">
        <v>0.3</v>
      </c>
      <c r="H397">
        <v>59.4</v>
      </c>
      <c r="I397" t="s">
        <v>331</v>
      </c>
      <c r="J397" t="s">
        <v>366</v>
      </c>
      <c r="K397" t="s">
        <v>328</v>
      </c>
      <c r="L397" s="7" t="str">
        <f t="shared" si="12"/>
        <v>Yes</v>
      </c>
      <c r="M397" s="16">
        <f t="shared" ca="1" si="13"/>
        <v>59.375</v>
      </c>
    </row>
    <row r="398" spans="1:13">
      <c r="A398" t="s">
        <v>1457</v>
      </c>
      <c r="B398" t="s">
        <v>180</v>
      </c>
      <c r="C398" t="s">
        <v>417</v>
      </c>
      <c r="D398" t="s">
        <v>1261</v>
      </c>
      <c r="E398" s="4">
        <v>46126.541666666657</v>
      </c>
      <c r="F398">
        <v>48</v>
      </c>
      <c r="G398">
        <v>1.8</v>
      </c>
      <c r="H398">
        <v>96.9</v>
      </c>
      <c r="I398" t="s">
        <v>1259</v>
      </c>
      <c r="J398" t="s">
        <v>400</v>
      </c>
      <c r="K398" t="s">
        <v>328</v>
      </c>
      <c r="L398" s="7" t="str">
        <f t="shared" si="12"/>
        <v>Yes</v>
      </c>
      <c r="M398" s="16">
        <f t="shared" ca="1" si="13"/>
        <v>0</v>
      </c>
    </row>
    <row r="399" spans="1:13">
      <c r="A399" t="s">
        <v>792</v>
      </c>
      <c r="B399" t="s">
        <v>23</v>
      </c>
      <c r="C399" t="s">
        <v>399</v>
      </c>
      <c r="D399" t="s">
        <v>1258</v>
      </c>
      <c r="E399" s="4">
        <v>45961.666666666657</v>
      </c>
      <c r="F399">
        <v>72</v>
      </c>
      <c r="G399">
        <v>5.3</v>
      </c>
      <c r="H399">
        <v>92.9</v>
      </c>
      <c r="I399" t="s">
        <v>331</v>
      </c>
      <c r="J399" t="s">
        <v>370</v>
      </c>
      <c r="K399" t="s">
        <v>323</v>
      </c>
      <c r="L399" s="7" t="str">
        <f t="shared" si="12"/>
        <v>Yes</v>
      </c>
      <c r="M399" s="16">
        <f t="shared" ca="1" si="13"/>
        <v>188.33333333334303</v>
      </c>
    </row>
    <row r="400" spans="1:13">
      <c r="A400" t="s">
        <v>710</v>
      </c>
      <c r="B400" t="s">
        <v>61</v>
      </c>
      <c r="C400" t="s">
        <v>467</v>
      </c>
      <c r="D400" t="s">
        <v>1258</v>
      </c>
      <c r="E400" s="4">
        <v>45874.208333333343</v>
      </c>
      <c r="F400">
        <v>8</v>
      </c>
      <c r="G400">
        <v>2</v>
      </c>
      <c r="H400">
        <v>86.6</v>
      </c>
      <c r="I400" t="s">
        <v>1259</v>
      </c>
      <c r="J400" t="s">
        <v>393</v>
      </c>
      <c r="K400" t="s">
        <v>323</v>
      </c>
      <c r="L400" s="7" t="str">
        <f t="shared" si="12"/>
        <v>Yes</v>
      </c>
      <c r="M400" s="16">
        <f t="shared" ca="1" si="13"/>
        <v>0</v>
      </c>
    </row>
    <row r="401" spans="1:13">
      <c r="A401" t="s">
        <v>1458</v>
      </c>
      <c r="B401" t="s">
        <v>89</v>
      </c>
      <c r="C401" t="s">
        <v>365</v>
      </c>
      <c r="D401" t="s">
        <v>1261</v>
      </c>
      <c r="E401" s="4">
        <v>45848.166666666657</v>
      </c>
      <c r="F401">
        <v>4</v>
      </c>
      <c r="G401">
        <v>6.3</v>
      </c>
      <c r="H401">
        <v>5.7</v>
      </c>
      <c r="I401" t="s">
        <v>1263</v>
      </c>
      <c r="J401" t="s">
        <v>393</v>
      </c>
      <c r="K401" t="s">
        <v>335</v>
      </c>
      <c r="L401" s="7" t="str">
        <f t="shared" si="12"/>
        <v>Yes</v>
      </c>
      <c r="M401" s="16">
        <f t="shared" ca="1" si="13"/>
        <v>301.83333333334303</v>
      </c>
    </row>
    <row r="402" spans="1:13">
      <c r="A402" t="s">
        <v>694</v>
      </c>
      <c r="B402" t="s">
        <v>53</v>
      </c>
      <c r="C402" t="s">
        <v>381</v>
      </c>
      <c r="D402" t="s">
        <v>1258</v>
      </c>
      <c r="E402" s="4">
        <v>45843.291666666657</v>
      </c>
      <c r="F402">
        <v>4</v>
      </c>
      <c r="G402">
        <v>1.1000000000000001</v>
      </c>
      <c r="H402">
        <v>67.8</v>
      </c>
      <c r="I402" t="s">
        <v>1259</v>
      </c>
      <c r="J402" t="s">
        <v>393</v>
      </c>
      <c r="K402" t="s">
        <v>335</v>
      </c>
      <c r="L402" s="7" t="str">
        <f t="shared" si="12"/>
        <v>Yes</v>
      </c>
      <c r="M402" s="16">
        <f t="shared" ca="1" si="13"/>
        <v>0</v>
      </c>
    </row>
    <row r="403" spans="1:13">
      <c r="A403" t="s">
        <v>966</v>
      </c>
      <c r="B403" t="s">
        <v>91</v>
      </c>
      <c r="C403" t="s">
        <v>365</v>
      </c>
      <c r="D403" t="s">
        <v>1262</v>
      </c>
      <c r="E403" s="4">
        <v>45855.416666666657</v>
      </c>
      <c r="F403">
        <v>4</v>
      </c>
      <c r="G403">
        <v>5.5</v>
      </c>
      <c r="H403">
        <v>73.2</v>
      </c>
      <c r="I403" t="s">
        <v>1265</v>
      </c>
      <c r="J403" t="s">
        <v>400</v>
      </c>
      <c r="K403" t="s">
        <v>328</v>
      </c>
      <c r="L403" s="7" t="str">
        <f t="shared" si="12"/>
        <v>Yes</v>
      </c>
      <c r="M403" s="16">
        <f t="shared" ca="1" si="13"/>
        <v>294.58333333334303</v>
      </c>
    </row>
    <row r="404" spans="1:13">
      <c r="A404" t="s">
        <v>1459</v>
      </c>
      <c r="B404" t="s">
        <v>76</v>
      </c>
      <c r="C404" t="s">
        <v>365</v>
      </c>
      <c r="D404" t="s">
        <v>1261</v>
      </c>
      <c r="E404" s="4">
        <v>45967.5</v>
      </c>
      <c r="F404">
        <v>4</v>
      </c>
      <c r="G404">
        <v>1</v>
      </c>
      <c r="H404">
        <v>103.9</v>
      </c>
      <c r="I404" t="s">
        <v>331</v>
      </c>
      <c r="J404" t="s">
        <v>440</v>
      </c>
      <c r="K404" t="s">
        <v>328</v>
      </c>
      <c r="L404" s="7" t="str">
        <f t="shared" si="12"/>
        <v>Yes</v>
      </c>
      <c r="M404" s="16">
        <f t="shared" ca="1" si="13"/>
        <v>182.5</v>
      </c>
    </row>
    <row r="405" spans="1:13">
      <c r="A405" t="s">
        <v>1187</v>
      </c>
      <c r="B405" t="s">
        <v>228</v>
      </c>
      <c r="C405" t="s">
        <v>373</v>
      </c>
      <c r="D405" t="s">
        <v>1261</v>
      </c>
      <c r="E405" s="4">
        <v>45887.666666666657</v>
      </c>
      <c r="F405">
        <v>8</v>
      </c>
      <c r="G405">
        <v>3.2</v>
      </c>
      <c r="H405">
        <v>92.5</v>
      </c>
      <c r="I405" t="s">
        <v>1259</v>
      </c>
      <c r="J405" t="s">
        <v>396</v>
      </c>
      <c r="K405" t="s">
        <v>328</v>
      </c>
      <c r="L405" s="7" t="str">
        <f t="shared" si="12"/>
        <v>Yes</v>
      </c>
      <c r="M405" s="16">
        <f t="shared" ca="1" si="13"/>
        <v>0</v>
      </c>
    </row>
    <row r="406" spans="1:13">
      <c r="A406" t="s">
        <v>409</v>
      </c>
      <c r="B406" t="s">
        <v>140</v>
      </c>
      <c r="C406" t="s">
        <v>381</v>
      </c>
      <c r="D406" t="s">
        <v>1261</v>
      </c>
      <c r="E406" s="4">
        <v>46120.666666666657</v>
      </c>
      <c r="F406">
        <v>4</v>
      </c>
      <c r="G406">
        <v>1.8</v>
      </c>
      <c r="H406">
        <v>86.8</v>
      </c>
      <c r="I406" t="s">
        <v>331</v>
      </c>
      <c r="J406" t="s">
        <v>387</v>
      </c>
      <c r="K406" t="s">
        <v>323</v>
      </c>
      <c r="L406" s="7" t="str">
        <f t="shared" si="12"/>
        <v>Yes</v>
      </c>
      <c r="M406" s="16">
        <f t="shared" ca="1" si="13"/>
        <v>29.333333333343035</v>
      </c>
    </row>
    <row r="407" spans="1:13">
      <c r="A407" t="s">
        <v>1460</v>
      </c>
      <c r="B407" t="s">
        <v>301</v>
      </c>
      <c r="C407" t="s">
        <v>399</v>
      </c>
      <c r="D407" t="s">
        <v>1261</v>
      </c>
      <c r="E407" s="4">
        <v>46061.416666666657</v>
      </c>
      <c r="F407">
        <v>4</v>
      </c>
      <c r="G407">
        <v>1.3</v>
      </c>
      <c r="H407">
        <v>39.1</v>
      </c>
      <c r="I407" t="s">
        <v>331</v>
      </c>
      <c r="J407" t="s">
        <v>366</v>
      </c>
      <c r="K407" t="s">
        <v>328</v>
      </c>
      <c r="L407" s="7" t="str">
        <f t="shared" si="12"/>
        <v>Yes</v>
      </c>
      <c r="M407" s="16">
        <f t="shared" ca="1" si="13"/>
        <v>88.583333333343035</v>
      </c>
    </row>
    <row r="408" spans="1:13">
      <c r="A408" t="s">
        <v>746</v>
      </c>
      <c r="B408" t="s">
        <v>273</v>
      </c>
      <c r="C408" t="s">
        <v>443</v>
      </c>
      <c r="D408" t="s">
        <v>1262</v>
      </c>
      <c r="E408" s="4">
        <v>46082.916666666657</v>
      </c>
      <c r="F408">
        <v>72</v>
      </c>
      <c r="G408">
        <v>1.2</v>
      </c>
      <c r="H408">
        <v>59.6</v>
      </c>
      <c r="I408" t="s">
        <v>331</v>
      </c>
      <c r="J408" t="s">
        <v>440</v>
      </c>
      <c r="K408" t="s">
        <v>328</v>
      </c>
      <c r="L408" s="7" t="str">
        <f t="shared" si="12"/>
        <v>No</v>
      </c>
      <c r="M408" s="16">
        <f t="shared" ca="1" si="13"/>
        <v>67.083333333343035</v>
      </c>
    </row>
    <row r="409" spans="1:13">
      <c r="A409" t="s">
        <v>863</v>
      </c>
      <c r="B409" t="s">
        <v>226</v>
      </c>
      <c r="C409" t="s">
        <v>443</v>
      </c>
      <c r="D409" t="s">
        <v>1258</v>
      </c>
      <c r="E409" s="4">
        <v>45869.041666666657</v>
      </c>
      <c r="F409">
        <v>24</v>
      </c>
      <c r="G409">
        <v>4.3</v>
      </c>
      <c r="H409">
        <v>95.1</v>
      </c>
      <c r="I409" t="s">
        <v>1259</v>
      </c>
      <c r="J409" t="s">
        <v>403</v>
      </c>
      <c r="K409" t="s">
        <v>335</v>
      </c>
      <c r="L409" s="7" t="str">
        <f t="shared" si="12"/>
        <v>Yes</v>
      </c>
      <c r="M409" s="16">
        <f t="shared" ca="1" si="13"/>
        <v>0</v>
      </c>
    </row>
    <row r="410" spans="1:13">
      <c r="A410" t="s">
        <v>1461</v>
      </c>
      <c r="B410" t="s">
        <v>80</v>
      </c>
      <c r="C410" t="s">
        <v>417</v>
      </c>
      <c r="D410" t="s">
        <v>1266</v>
      </c>
      <c r="E410" s="4">
        <v>46016.583333333343</v>
      </c>
      <c r="F410">
        <v>8</v>
      </c>
      <c r="G410">
        <v>0.3</v>
      </c>
      <c r="H410">
        <v>30</v>
      </c>
      <c r="I410" t="s">
        <v>1259</v>
      </c>
      <c r="J410" t="s">
        <v>393</v>
      </c>
      <c r="K410" t="s">
        <v>328</v>
      </c>
      <c r="L410" s="7" t="str">
        <f t="shared" si="12"/>
        <v>Yes</v>
      </c>
      <c r="M410" s="16">
        <f t="shared" ca="1" si="13"/>
        <v>0</v>
      </c>
    </row>
    <row r="411" spans="1:13">
      <c r="A411" t="s">
        <v>1025</v>
      </c>
      <c r="B411" t="s">
        <v>194</v>
      </c>
      <c r="C411" t="s">
        <v>381</v>
      </c>
      <c r="D411" t="s">
        <v>1258</v>
      </c>
      <c r="E411" s="4">
        <v>45989.708333333343</v>
      </c>
      <c r="F411">
        <v>48</v>
      </c>
      <c r="G411">
        <v>1.4</v>
      </c>
      <c r="H411">
        <v>27.4</v>
      </c>
      <c r="I411" t="s">
        <v>1259</v>
      </c>
      <c r="J411" t="s">
        <v>370</v>
      </c>
      <c r="K411" t="s">
        <v>335</v>
      </c>
      <c r="L411" s="7" t="str">
        <f t="shared" si="12"/>
        <v>No</v>
      </c>
      <c r="M411" s="16">
        <f t="shared" ca="1" si="13"/>
        <v>0</v>
      </c>
    </row>
    <row r="412" spans="1:13">
      <c r="A412" t="s">
        <v>1462</v>
      </c>
      <c r="B412" t="s">
        <v>106</v>
      </c>
      <c r="C412" t="s">
        <v>443</v>
      </c>
      <c r="D412" t="s">
        <v>1266</v>
      </c>
      <c r="E412" s="4">
        <v>46122.208333333343</v>
      </c>
      <c r="F412">
        <v>4</v>
      </c>
      <c r="G412">
        <v>3.5</v>
      </c>
      <c r="H412">
        <v>35.4</v>
      </c>
      <c r="I412" t="s">
        <v>1259</v>
      </c>
      <c r="J412" t="s">
        <v>414</v>
      </c>
      <c r="K412" t="s">
        <v>335</v>
      </c>
      <c r="L412" s="7" t="str">
        <f t="shared" si="12"/>
        <v>Yes</v>
      </c>
      <c r="M412" s="16">
        <f t="shared" ca="1" si="13"/>
        <v>0</v>
      </c>
    </row>
    <row r="413" spans="1:13">
      <c r="A413" t="s">
        <v>429</v>
      </c>
      <c r="B413" t="s">
        <v>49</v>
      </c>
      <c r="C413" t="s">
        <v>373</v>
      </c>
      <c r="D413" t="s">
        <v>1262</v>
      </c>
      <c r="E413" s="4">
        <v>46098.5</v>
      </c>
      <c r="F413">
        <v>8</v>
      </c>
      <c r="G413">
        <v>5.8</v>
      </c>
      <c r="H413">
        <v>48.2</v>
      </c>
      <c r="I413" t="s">
        <v>1259</v>
      </c>
      <c r="J413" t="s">
        <v>374</v>
      </c>
      <c r="K413" t="s">
        <v>328</v>
      </c>
      <c r="L413" s="7" t="str">
        <f t="shared" si="12"/>
        <v>Yes</v>
      </c>
      <c r="M413" s="16">
        <f t="shared" ca="1" si="13"/>
        <v>0</v>
      </c>
    </row>
    <row r="414" spans="1:13">
      <c r="A414" t="s">
        <v>1048</v>
      </c>
      <c r="B414" t="s">
        <v>171</v>
      </c>
      <c r="C414" t="s">
        <v>381</v>
      </c>
      <c r="D414" t="s">
        <v>1261</v>
      </c>
      <c r="E414" s="4">
        <v>46114.5</v>
      </c>
      <c r="F414">
        <v>8</v>
      </c>
      <c r="G414">
        <v>3.5</v>
      </c>
      <c r="H414">
        <v>68.3</v>
      </c>
      <c r="I414" t="s">
        <v>1259</v>
      </c>
      <c r="J414" t="s">
        <v>374</v>
      </c>
      <c r="K414" t="s">
        <v>335</v>
      </c>
      <c r="L414" s="7" t="str">
        <f t="shared" si="12"/>
        <v>Yes</v>
      </c>
      <c r="M414" s="16">
        <f t="shared" ca="1" si="13"/>
        <v>0</v>
      </c>
    </row>
    <row r="415" spans="1:13">
      <c r="A415" t="s">
        <v>667</v>
      </c>
      <c r="B415" t="s">
        <v>171</v>
      </c>
      <c r="C415" t="s">
        <v>369</v>
      </c>
      <c r="D415" t="s">
        <v>1262</v>
      </c>
      <c r="E415" s="4">
        <v>45895.125</v>
      </c>
      <c r="F415">
        <v>72</v>
      </c>
      <c r="G415">
        <v>4.4000000000000004</v>
      </c>
      <c r="H415">
        <v>4.9000000000000004</v>
      </c>
      <c r="I415" t="s">
        <v>1263</v>
      </c>
      <c r="J415" t="s">
        <v>403</v>
      </c>
      <c r="K415" t="s">
        <v>328</v>
      </c>
      <c r="L415" s="7" t="str">
        <f t="shared" si="12"/>
        <v>No</v>
      </c>
      <c r="M415" s="16">
        <f t="shared" ca="1" si="13"/>
        <v>254.875</v>
      </c>
    </row>
    <row r="416" spans="1:13">
      <c r="A416" t="s">
        <v>1463</v>
      </c>
      <c r="B416" t="s">
        <v>32</v>
      </c>
      <c r="C416" t="s">
        <v>399</v>
      </c>
      <c r="D416" t="s">
        <v>1258</v>
      </c>
      <c r="E416" s="4">
        <v>45889.041666666657</v>
      </c>
      <c r="F416">
        <v>72</v>
      </c>
      <c r="G416">
        <v>4.2</v>
      </c>
      <c r="H416">
        <v>53.9</v>
      </c>
      <c r="I416" t="s">
        <v>1259</v>
      </c>
      <c r="J416" t="s">
        <v>374</v>
      </c>
      <c r="K416" t="s">
        <v>323</v>
      </c>
      <c r="L416" s="7" t="str">
        <f t="shared" si="12"/>
        <v>No</v>
      </c>
      <c r="M416" s="16">
        <f t="shared" ca="1" si="13"/>
        <v>0</v>
      </c>
    </row>
    <row r="417" spans="1:13">
      <c r="A417" t="s">
        <v>1464</v>
      </c>
      <c r="B417" t="s">
        <v>168</v>
      </c>
      <c r="C417" t="s">
        <v>467</v>
      </c>
      <c r="D417" t="s">
        <v>1261</v>
      </c>
      <c r="E417" s="4">
        <v>45952.791666666657</v>
      </c>
      <c r="F417">
        <v>4</v>
      </c>
      <c r="G417">
        <v>0.3</v>
      </c>
      <c r="H417">
        <v>124</v>
      </c>
      <c r="I417" t="s">
        <v>1259</v>
      </c>
      <c r="J417" t="s">
        <v>456</v>
      </c>
      <c r="K417" t="s">
        <v>335</v>
      </c>
      <c r="L417" s="7" t="str">
        <f t="shared" si="12"/>
        <v>Yes</v>
      </c>
      <c r="M417" s="16">
        <f t="shared" ca="1" si="13"/>
        <v>0</v>
      </c>
    </row>
    <row r="418" spans="1:13">
      <c r="A418" t="s">
        <v>529</v>
      </c>
      <c r="B418" t="s">
        <v>183</v>
      </c>
      <c r="C418" t="s">
        <v>392</v>
      </c>
      <c r="D418" t="s">
        <v>1261</v>
      </c>
      <c r="E418" s="4">
        <v>46124.958333333343</v>
      </c>
      <c r="F418">
        <v>48</v>
      </c>
      <c r="G418">
        <v>5.4</v>
      </c>
      <c r="H418">
        <v>107.3</v>
      </c>
      <c r="I418" t="s">
        <v>1265</v>
      </c>
      <c r="J418" t="s">
        <v>374</v>
      </c>
      <c r="K418" t="s">
        <v>335</v>
      </c>
      <c r="L418" s="7" t="str">
        <f t="shared" si="12"/>
        <v>Yes</v>
      </c>
      <c r="M418" s="16">
        <f t="shared" ca="1" si="13"/>
        <v>25.041666666656965</v>
      </c>
    </row>
    <row r="419" spans="1:13">
      <c r="A419" t="s">
        <v>1124</v>
      </c>
      <c r="B419" t="s">
        <v>84</v>
      </c>
      <c r="C419" t="s">
        <v>373</v>
      </c>
      <c r="D419" t="s">
        <v>1262</v>
      </c>
      <c r="E419" s="4">
        <v>45994.083333333343</v>
      </c>
      <c r="F419">
        <v>8</v>
      </c>
      <c r="G419">
        <v>6.3</v>
      </c>
      <c r="H419">
        <v>8.9</v>
      </c>
      <c r="I419" t="s">
        <v>1259</v>
      </c>
      <c r="J419" t="s">
        <v>414</v>
      </c>
      <c r="K419" t="s">
        <v>335</v>
      </c>
      <c r="L419" s="7" t="str">
        <f t="shared" si="12"/>
        <v>Yes</v>
      </c>
      <c r="M419" s="16">
        <f t="shared" ca="1" si="13"/>
        <v>0</v>
      </c>
    </row>
    <row r="420" spans="1:13">
      <c r="A420" t="s">
        <v>376</v>
      </c>
      <c r="B420" t="s">
        <v>202</v>
      </c>
      <c r="C420" t="s">
        <v>377</v>
      </c>
      <c r="D420" t="s">
        <v>1258</v>
      </c>
      <c r="E420" s="4">
        <v>45966.75</v>
      </c>
      <c r="F420">
        <v>8</v>
      </c>
      <c r="G420">
        <v>3.7</v>
      </c>
      <c r="H420">
        <v>76.3</v>
      </c>
      <c r="I420" t="s">
        <v>1259</v>
      </c>
      <c r="J420" t="s">
        <v>378</v>
      </c>
      <c r="K420" t="s">
        <v>323</v>
      </c>
      <c r="L420" s="7" t="str">
        <f t="shared" si="12"/>
        <v>Yes</v>
      </c>
      <c r="M420" s="16">
        <f t="shared" ca="1" si="13"/>
        <v>0</v>
      </c>
    </row>
    <row r="421" spans="1:13">
      <c r="A421" t="s">
        <v>1465</v>
      </c>
      <c r="B421" t="s">
        <v>151</v>
      </c>
      <c r="C421" t="s">
        <v>392</v>
      </c>
      <c r="D421" t="s">
        <v>1258</v>
      </c>
      <c r="E421" s="4">
        <v>46057.125</v>
      </c>
      <c r="F421">
        <v>8</v>
      </c>
      <c r="G421">
        <v>5.2</v>
      </c>
      <c r="H421">
        <v>75.2</v>
      </c>
      <c r="I421" t="s">
        <v>1259</v>
      </c>
      <c r="J421" t="s">
        <v>378</v>
      </c>
      <c r="K421" t="s">
        <v>328</v>
      </c>
      <c r="L421" s="7" t="str">
        <f t="shared" si="12"/>
        <v>Yes</v>
      </c>
      <c r="M421" s="16">
        <f t="shared" ca="1" si="13"/>
        <v>0</v>
      </c>
    </row>
    <row r="422" spans="1:13">
      <c r="A422" t="s">
        <v>1466</v>
      </c>
      <c r="B422" t="s">
        <v>59</v>
      </c>
      <c r="C422" t="s">
        <v>443</v>
      </c>
      <c r="D422" t="s">
        <v>1258</v>
      </c>
      <c r="E422" s="4">
        <v>46019.416666666657</v>
      </c>
      <c r="F422">
        <v>72</v>
      </c>
      <c r="G422">
        <v>6.4</v>
      </c>
      <c r="H422">
        <v>45.5</v>
      </c>
      <c r="I422" t="s">
        <v>1259</v>
      </c>
      <c r="J422" t="s">
        <v>378</v>
      </c>
      <c r="K422" t="s">
        <v>335</v>
      </c>
      <c r="L422" s="7" t="str">
        <f t="shared" si="12"/>
        <v>No</v>
      </c>
      <c r="M422" s="16">
        <f t="shared" ca="1" si="13"/>
        <v>0</v>
      </c>
    </row>
    <row r="423" spans="1:13">
      <c r="A423" t="s">
        <v>1467</v>
      </c>
      <c r="B423" t="s">
        <v>73</v>
      </c>
      <c r="C423" t="s">
        <v>381</v>
      </c>
      <c r="D423" t="s">
        <v>1258</v>
      </c>
      <c r="E423" s="4">
        <v>45962.75</v>
      </c>
      <c r="F423">
        <v>72</v>
      </c>
      <c r="G423">
        <v>1.5</v>
      </c>
      <c r="H423">
        <v>103.6</v>
      </c>
      <c r="I423" t="s">
        <v>1263</v>
      </c>
      <c r="J423" t="s">
        <v>393</v>
      </c>
      <c r="K423" t="s">
        <v>335</v>
      </c>
      <c r="L423" s="7" t="str">
        <f t="shared" si="12"/>
        <v>Yes</v>
      </c>
      <c r="M423" s="16">
        <f t="shared" ca="1" si="13"/>
        <v>187.25</v>
      </c>
    </row>
    <row r="424" spans="1:13">
      <c r="A424" t="s">
        <v>1468</v>
      </c>
      <c r="B424" t="s">
        <v>103</v>
      </c>
      <c r="C424" t="s">
        <v>365</v>
      </c>
      <c r="D424" t="s">
        <v>1266</v>
      </c>
      <c r="E424" s="4">
        <v>45839.958333333343</v>
      </c>
      <c r="F424">
        <v>4</v>
      </c>
      <c r="G424">
        <v>6.4</v>
      </c>
      <c r="H424">
        <v>46.4</v>
      </c>
      <c r="I424" t="s">
        <v>1259</v>
      </c>
      <c r="J424" t="s">
        <v>393</v>
      </c>
      <c r="K424" t="s">
        <v>328</v>
      </c>
      <c r="L424" s="7" t="str">
        <f t="shared" si="12"/>
        <v>Yes</v>
      </c>
      <c r="M424" s="16">
        <f t="shared" ca="1" si="13"/>
        <v>0</v>
      </c>
    </row>
    <row r="425" spans="1:13">
      <c r="A425" t="s">
        <v>1233</v>
      </c>
      <c r="B425" t="s">
        <v>196</v>
      </c>
      <c r="C425" t="s">
        <v>377</v>
      </c>
      <c r="D425" t="s">
        <v>1261</v>
      </c>
      <c r="E425" s="4">
        <v>46000</v>
      </c>
      <c r="F425">
        <v>24</v>
      </c>
      <c r="G425">
        <v>6</v>
      </c>
      <c r="H425">
        <v>70.099999999999994</v>
      </c>
      <c r="I425" t="s">
        <v>1259</v>
      </c>
      <c r="J425" t="s">
        <v>374</v>
      </c>
      <c r="K425" t="s">
        <v>328</v>
      </c>
      <c r="L425" s="7" t="str">
        <f t="shared" si="12"/>
        <v>Yes</v>
      </c>
      <c r="M425" s="16">
        <f t="shared" ca="1" si="13"/>
        <v>0</v>
      </c>
    </row>
    <row r="426" spans="1:13">
      <c r="A426" t="s">
        <v>812</v>
      </c>
      <c r="B426" t="s">
        <v>118</v>
      </c>
      <c r="C426" t="s">
        <v>373</v>
      </c>
      <c r="D426" t="s">
        <v>1258</v>
      </c>
      <c r="E426" s="4">
        <v>45918.166666666657</v>
      </c>
      <c r="F426">
        <v>24</v>
      </c>
      <c r="G426">
        <v>2.5</v>
      </c>
      <c r="H426">
        <v>79.400000000000006</v>
      </c>
      <c r="I426" t="s">
        <v>331</v>
      </c>
      <c r="J426" t="s">
        <v>393</v>
      </c>
      <c r="K426" t="s">
        <v>328</v>
      </c>
      <c r="L426" s="7" t="str">
        <f t="shared" si="12"/>
        <v>Yes</v>
      </c>
      <c r="M426" s="16">
        <f t="shared" ca="1" si="13"/>
        <v>231.83333333334303</v>
      </c>
    </row>
    <row r="427" spans="1:13">
      <c r="A427" t="s">
        <v>727</v>
      </c>
      <c r="B427" t="s">
        <v>66</v>
      </c>
      <c r="C427" t="s">
        <v>369</v>
      </c>
      <c r="D427" t="s">
        <v>1262</v>
      </c>
      <c r="E427" s="4">
        <v>45950.958333333343</v>
      </c>
      <c r="F427">
        <v>4</v>
      </c>
      <c r="G427">
        <v>4.8</v>
      </c>
      <c r="H427">
        <v>61.2</v>
      </c>
      <c r="I427" t="s">
        <v>331</v>
      </c>
      <c r="J427" t="s">
        <v>370</v>
      </c>
      <c r="K427" t="s">
        <v>323</v>
      </c>
      <c r="L427" s="7" t="str">
        <f t="shared" si="12"/>
        <v>Yes</v>
      </c>
      <c r="M427" s="16">
        <f t="shared" ca="1" si="13"/>
        <v>199.04166666665697</v>
      </c>
    </row>
    <row r="428" spans="1:13">
      <c r="A428" t="s">
        <v>1469</v>
      </c>
      <c r="B428" t="s">
        <v>66</v>
      </c>
      <c r="C428" t="s">
        <v>399</v>
      </c>
      <c r="D428" t="s">
        <v>1262</v>
      </c>
      <c r="E428" s="4">
        <v>45992.041666666657</v>
      </c>
      <c r="F428">
        <v>72</v>
      </c>
      <c r="G428">
        <v>2.6</v>
      </c>
      <c r="H428">
        <v>60.3</v>
      </c>
      <c r="I428" t="s">
        <v>1263</v>
      </c>
      <c r="J428" t="s">
        <v>396</v>
      </c>
      <c r="K428" t="s">
        <v>335</v>
      </c>
      <c r="L428" s="7" t="str">
        <f t="shared" si="12"/>
        <v>No</v>
      </c>
      <c r="M428" s="16">
        <f t="shared" ca="1" si="13"/>
        <v>157.95833333334303</v>
      </c>
    </row>
    <row r="429" spans="1:13">
      <c r="A429" t="s">
        <v>679</v>
      </c>
      <c r="B429" t="s">
        <v>164</v>
      </c>
      <c r="C429" t="s">
        <v>369</v>
      </c>
      <c r="D429" t="s">
        <v>1258</v>
      </c>
      <c r="E429" s="4">
        <v>45900.291666666657</v>
      </c>
      <c r="F429">
        <v>72</v>
      </c>
      <c r="G429">
        <v>6.1</v>
      </c>
      <c r="H429">
        <v>86.2</v>
      </c>
      <c r="I429" t="s">
        <v>1259</v>
      </c>
      <c r="J429" t="s">
        <v>387</v>
      </c>
      <c r="K429" t="s">
        <v>335</v>
      </c>
      <c r="L429" s="7" t="str">
        <f t="shared" si="12"/>
        <v>Yes</v>
      </c>
      <c r="M429" s="16">
        <f t="shared" ca="1" si="13"/>
        <v>0</v>
      </c>
    </row>
    <row r="430" spans="1:13">
      <c r="A430" t="s">
        <v>1470</v>
      </c>
      <c r="B430" t="s">
        <v>84</v>
      </c>
      <c r="C430" t="s">
        <v>373</v>
      </c>
      <c r="D430" t="s">
        <v>1258</v>
      </c>
      <c r="E430" s="4">
        <v>46128.166666666657</v>
      </c>
      <c r="F430">
        <v>24</v>
      </c>
      <c r="G430">
        <v>3.4</v>
      </c>
      <c r="H430">
        <v>31.9</v>
      </c>
      <c r="I430" t="s">
        <v>1265</v>
      </c>
      <c r="J430" t="s">
        <v>370</v>
      </c>
      <c r="K430" t="s">
        <v>335</v>
      </c>
      <c r="L430" s="7" t="str">
        <f t="shared" si="12"/>
        <v>Yes</v>
      </c>
      <c r="M430" s="16">
        <f t="shared" ca="1" si="13"/>
        <v>21.833333333343035</v>
      </c>
    </row>
    <row r="431" spans="1:13">
      <c r="A431" t="s">
        <v>1471</v>
      </c>
      <c r="B431" t="s">
        <v>103</v>
      </c>
      <c r="C431" t="s">
        <v>443</v>
      </c>
      <c r="D431" t="s">
        <v>1262</v>
      </c>
      <c r="E431" s="4">
        <v>45885.291666666657</v>
      </c>
      <c r="F431">
        <v>48</v>
      </c>
      <c r="G431">
        <v>2</v>
      </c>
      <c r="H431">
        <v>31.3</v>
      </c>
      <c r="I431" t="s">
        <v>331</v>
      </c>
      <c r="J431" t="s">
        <v>456</v>
      </c>
      <c r="K431" t="s">
        <v>335</v>
      </c>
      <c r="L431" s="7" t="str">
        <f t="shared" si="12"/>
        <v>No</v>
      </c>
      <c r="M431" s="16">
        <f t="shared" ca="1" si="13"/>
        <v>264.70833333334303</v>
      </c>
    </row>
    <row r="432" spans="1:13">
      <c r="A432" t="s">
        <v>1472</v>
      </c>
      <c r="B432" t="s">
        <v>66</v>
      </c>
      <c r="C432" t="s">
        <v>381</v>
      </c>
      <c r="D432" t="s">
        <v>1261</v>
      </c>
      <c r="E432" s="4">
        <v>46043.333333333343</v>
      </c>
      <c r="F432">
        <v>4</v>
      </c>
      <c r="G432">
        <v>2.7</v>
      </c>
      <c r="H432">
        <v>60</v>
      </c>
      <c r="I432" t="s">
        <v>1259</v>
      </c>
      <c r="J432" t="s">
        <v>403</v>
      </c>
      <c r="K432" t="s">
        <v>335</v>
      </c>
      <c r="L432" s="7" t="str">
        <f t="shared" si="12"/>
        <v>Yes</v>
      </c>
      <c r="M432" s="16">
        <f t="shared" ca="1" si="13"/>
        <v>0</v>
      </c>
    </row>
    <row r="433" spans="1:13">
      <c r="A433" t="s">
        <v>1244</v>
      </c>
      <c r="B433" t="s">
        <v>162</v>
      </c>
      <c r="C433" t="s">
        <v>377</v>
      </c>
      <c r="D433" t="s">
        <v>1258</v>
      </c>
      <c r="E433" s="4">
        <v>46131.25</v>
      </c>
      <c r="F433">
        <v>72</v>
      </c>
      <c r="G433">
        <v>4.0999999999999996</v>
      </c>
      <c r="H433">
        <v>99.6</v>
      </c>
      <c r="I433" t="s">
        <v>331</v>
      </c>
      <c r="J433" t="s">
        <v>456</v>
      </c>
      <c r="K433" t="s">
        <v>335</v>
      </c>
      <c r="L433" s="7" t="str">
        <f t="shared" si="12"/>
        <v>Yes</v>
      </c>
      <c r="M433" s="16">
        <f t="shared" ca="1" si="13"/>
        <v>18.75</v>
      </c>
    </row>
    <row r="434" spans="1:13">
      <c r="A434" t="s">
        <v>1473</v>
      </c>
      <c r="B434" t="s">
        <v>40</v>
      </c>
      <c r="C434" t="s">
        <v>369</v>
      </c>
      <c r="D434" t="s">
        <v>1258</v>
      </c>
      <c r="E434" s="4">
        <v>46133.083333333343</v>
      </c>
      <c r="F434">
        <v>4</v>
      </c>
      <c r="G434">
        <v>4.4000000000000004</v>
      </c>
      <c r="H434">
        <v>58.5</v>
      </c>
      <c r="I434" t="s">
        <v>1259</v>
      </c>
      <c r="J434" t="s">
        <v>396</v>
      </c>
      <c r="K434" t="s">
        <v>335</v>
      </c>
      <c r="L434" s="7" t="str">
        <f t="shared" si="12"/>
        <v>Yes</v>
      </c>
      <c r="M434" s="16">
        <f t="shared" ca="1" si="13"/>
        <v>0</v>
      </c>
    </row>
    <row r="435" spans="1:13">
      <c r="A435" t="s">
        <v>1474</v>
      </c>
      <c r="B435" t="s">
        <v>108</v>
      </c>
      <c r="C435" t="s">
        <v>392</v>
      </c>
      <c r="D435" t="s">
        <v>1261</v>
      </c>
      <c r="E435" s="4">
        <v>45995.208333333343</v>
      </c>
      <c r="F435">
        <v>24</v>
      </c>
      <c r="G435">
        <v>4.0999999999999996</v>
      </c>
      <c r="H435">
        <v>133.1</v>
      </c>
      <c r="I435" t="s">
        <v>1259</v>
      </c>
      <c r="J435" t="s">
        <v>403</v>
      </c>
      <c r="K435" t="s">
        <v>335</v>
      </c>
      <c r="L435" s="7" t="str">
        <f t="shared" si="12"/>
        <v>Yes</v>
      </c>
      <c r="M435" s="16">
        <f t="shared" ca="1" si="13"/>
        <v>0</v>
      </c>
    </row>
    <row r="436" spans="1:13">
      <c r="A436" t="s">
        <v>1475</v>
      </c>
      <c r="B436" t="s">
        <v>273</v>
      </c>
      <c r="C436" t="s">
        <v>377</v>
      </c>
      <c r="D436" t="s">
        <v>1261</v>
      </c>
      <c r="E436" s="4">
        <v>46030.166666666657</v>
      </c>
      <c r="F436">
        <v>4</v>
      </c>
      <c r="G436">
        <v>0.9</v>
      </c>
      <c r="H436">
        <v>10</v>
      </c>
      <c r="I436" t="s">
        <v>1263</v>
      </c>
      <c r="J436" t="s">
        <v>403</v>
      </c>
      <c r="K436" t="s">
        <v>335</v>
      </c>
      <c r="L436" s="7" t="str">
        <f t="shared" si="12"/>
        <v>Yes</v>
      </c>
      <c r="M436" s="16">
        <f t="shared" ca="1" si="13"/>
        <v>119.83333333334303</v>
      </c>
    </row>
    <row r="437" spans="1:13">
      <c r="A437" t="s">
        <v>1476</v>
      </c>
      <c r="B437" t="s">
        <v>97</v>
      </c>
      <c r="C437" t="s">
        <v>417</v>
      </c>
      <c r="D437" t="s">
        <v>1262</v>
      </c>
      <c r="E437" s="4">
        <v>45895.375</v>
      </c>
      <c r="F437">
        <v>48</v>
      </c>
      <c r="G437">
        <v>3.2</v>
      </c>
      <c r="H437">
        <v>26.6</v>
      </c>
      <c r="I437" t="s">
        <v>1259</v>
      </c>
      <c r="J437" t="s">
        <v>366</v>
      </c>
      <c r="K437" t="s">
        <v>328</v>
      </c>
      <c r="L437" s="7" t="str">
        <f t="shared" si="12"/>
        <v>No</v>
      </c>
      <c r="M437" s="16">
        <f t="shared" ca="1" si="13"/>
        <v>0</v>
      </c>
    </row>
    <row r="438" spans="1:13">
      <c r="A438" t="s">
        <v>1189</v>
      </c>
      <c r="B438" t="s">
        <v>76</v>
      </c>
      <c r="C438" t="s">
        <v>476</v>
      </c>
      <c r="D438" t="s">
        <v>1262</v>
      </c>
      <c r="E438" s="4">
        <v>46119.625</v>
      </c>
      <c r="F438">
        <v>72</v>
      </c>
      <c r="G438">
        <v>4.8</v>
      </c>
      <c r="H438">
        <v>12.2</v>
      </c>
      <c r="I438" t="s">
        <v>1259</v>
      </c>
      <c r="J438" t="s">
        <v>387</v>
      </c>
      <c r="K438" t="s">
        <v>335</v>
      </c>
      <c r="L438" s="7" t="str">
        <f t="shared" si="12"/>
        <v>No</v>
      </c>
      <c r="M438" s="16">
        <f t="shared" ca="1" si="13"/>
        <v>0</v>
      </c>
    </row>
    <row r="439" spans="1:13">
      <c r="A439" t="s">
        <v>1477</v>
      </c>
      <c r="B439" t="s">
        <v>163</v>
      </c>
      <c r="C439" t="s">
        <v>392</v>
      </c>
      <c r="D439" t="s">
        <v>1258</v>
      </c>
      <c r="E439" s="4">
        <v>45969.208333333343</v>
      </c>
      <c r="F439">
        <v>4</v>
      </c>
      <c r="G439">
        <v>2</v>
      </c>
      <c r="H439">
        <v>106.7</v>
      </c>
      <c r="I439" t="s">
        <v>1259</v>
      </c>
      <c r="J439" t="s">
        <v>387</v>
      </c>
      <c r="K439" t="s">
        <v>335</v>
      </c>
      <c r="L439" s="7" t="str">
        <f t="shared" si="12"/>
        <v>Yes</v>
      </c>
      <c r="M439" s="16">
        <f t="shared" ca="1" si="13"/>
        <v>0</v>
      </c>
    </row>
    <row r="440" spans="1:13">
      <c r="A440" t="s">
        <v>562</v>
      </c>
      <c r="B440" t="s">
        <v>173</v>
      </c>
      <c r="C440" t="s">
        <v>373</v>
      </c>
      <c r="D440" t="s">
        <v>1261</v>
      </c>
      <c r="E440" s="4">
        <v>45977.875</v>
      </c>
      <c r="F440">
        <v>24</v>
      </c>
      <c r="G440">
        <v>5.6</v>
      </c>
      <c r="H440">
        <v>5.3</v>
      </c>
      <c r="I440" t="s">
        <v>1259</v>
      </c>
      <c r="J440" t="s">
        <v>378</v>
      </c>
      <c r="K440" t="s">
        <v>335</v>
      </c>
      <c r="L440" s="7" t="str">
        <f t="shared" si="12"/>
        <v>No</v>
      </c>
      <c r="M440" s="16">
        <f t="shared" ca="1" si="13"/>
        <v>0</v>
      </c>
    </row>
    <row r="441" spans="1:13">
      <c r="A441" t="s">
        <v>893</v>
      </c>
      <c r="B441" t="s">
        <v>80</v>
      </c>
      <c r="C441" t="s">
        <v>369</v>
      </c>
      <c r="D441" t="s">
        <v>1258</v>
      </c>
      <c r="E441" s="4">
        <v>45889.416666666657</v>
      </c>
      <c r="F441">
        <v>48</v>
      </c>
      <c r="G441">
        <v>5.7</v>
      </c>
      <c r="H441">
        <v>72.8</v>
      </c>
      <c r="I441" t="s">
        <v>331</v>
      </c>
      <c r="J441" t="s">
        <v>414</v>
      </c>
      <c r="K441" t="s">
        <v>335</v>
      </c>
      <c r="L441" s="7" t="str">
        <f t="shared" si="12"/>
        <v>Yes</v>
      </c>
      <c r="M441" s="16">
        <f t="shared" ca="1" si="13"/>
        <v>260.58333333334303</v>
      </c>
    </row>
    <row r="442" spans="1:13">
      <c r="A442" t="s">
        <v>1478</v>
      </c>
      <c r="B442" t="s">
        <v>162</v>
      </c>
      <c r="C442" t="s">
        <v>381</v>
      </c>
      <c r="D442" t="s">
        <v>1261</v>
      </c>
      <c r="E442" s="4">
        <v>45965.666666666657</v>
      </c>
      <c r="F442">
        <v>24</v>
      </c>
      <c r="G442">
        <v>2.2999999999999998</v>
      </c>
      <c r="H442">
        <v>54.6</v>
      </c>
      <c r="I442" t="s">
        <v>331</v>
      </c>
      <c r="J442" t="s">
        <v>396</v>
      </c>
      <c r="K442" t="s">
        <v>323</v>
      </c>
      <c r="L442" s="7" t="str">
        <f t="shared" si="12"/>
        <v>Yes</v>
      </c>
      <c r="M442" s="16">
        <f t="shared" ca="1" si="13"/>
        <v>184.33333333334303</v>
      </c>
    </row>
    <row r="443" spans="1:13">
      <c r="A443" t="s">
        <v>1132</v>
      </c>
      <c r="B443" t="s">
        <v>151</v>
      </c>
      <c r="C443" t="s">
        <v>417</v>
      </c>
      <c r="D443" t="s">
        <v>1262</v>
      </c>
      <c r="E443" s="4">
        <v>45959.666666666657</v>
      </c>
      <c r="F443">
        <v>24</v>
      </c>
      <c r="G443">
        <v>5.3</v>
      </c>
      <c r="H443">
        <v>48.7</v>
      </c>
      <c r="I443" t="s">
        <v>1259</v>
      </c>
      <c r="J443" t="s">
        <v>387</v>
      </c>
      <c r="K443" t="s">
        <v>323</v>
      </c>
      <c r="L443" s="7" t="str">
        <f t="shared" si="12"/>
        <v>Yes</v>
      </c>
      <c r="M443" s="16">
        <f t="shared" ca="1" si="13"/>
        <v>0</v>
      </c>
    </row>
    <row r="444" spans="1:13">
      <c r="A444" t="s">
        <v>1479</v>
      </c>
      <c r="B444" t="s">
        <v>106</v>
      </c>
      <c r="C444" t="s">
        <v>377</v>
      </c>
      <c r="D444" t="s">
        <v>1261</v>
      </c>
      <c r="E444" s="4">
        <v>46040.875</v>
      </c>
      <c r="F444">
        <v>8</v>
      </c>
      <c r="G444">
        <v>0.8</v>
      </c>
      <c r="H444">
        <v>53.1</v>
      </c>
      <c r="I444" t="s">
        <v>1263</v>
      </c>
      <c r="J444" t="s">
        <v>374</v>
      </c>
      <c r="K444" t="s">
        <v>323</v>
      </c>
      <c r="L444" s="7" t="str">
        <f t="shared" si="12"/>
        <v>Yes</v>
      </c>
      <c r="M444" s="16">
        <f t="shared" ca="1" si="13"/>
        <v>109.125</v>
      </c>
    </row>
    <row r="445" spans="1:13">
      <c r="A445" t="s">
        <v>1480</v>
      </c>
      <c r="B445" t="s">
        <v>226</v>
      </c>
      <c r="C445" t="s">
        <v>377</v>
      </c>
      <c r="D445" t="s">
        <v>1258</v>
      </c>
      <c r="E445" s="4">
        <v>46132.166666666657</v>
      </c>
      <c r="F445">
        <v>48</v>
      </c>
      <c r="G445">
        <v>6.3</v>
      </c>
      <c r="H445">
        <v>122.5</v>
      </c>
      <c r="I445" t="s">
        <v>1259</v>
      </c>
      <c r="J445" t="s">
        <v>414</v>
      </c>
      <c r="K445" t="s">
        <v>328</v>
      </c>
      <c r="L445" s="7" t="str">
        <f t="shared" si="12"/>
        <v>Yes</v>
      </c>
      <c r="M445" s="16">
        <f t="shared" ca="1" si="13"/>
        <v>0</v>
      </c>
    </row>
    <row r="446" spans="1:13">
      <c r="A446" t="s">
        <v>986</v>
      </c>
      <c r="B446" t="s">
        <v>192</v>
      </c>
      <c r="C446" t="s">
        <v>392</v>
      </c>
      <c r="D446" t="s">
        <v>1261</v>
      </c>
      <c r="E446" s="4">
        <v>46116.875</v>
      </c>
      <c r="F446">
        <v>8</v>
      </c>
      <c r="G446">
        <v>5.6</v>
      </c>
      <c r="H446">
        <v>43.5</v>
      </c>
      <c r="I446" t="s">
        <v>1259</v>
      </c>
      <c r="J446" t="s">
        <v>414</v>
      </c>
      <c r="K446" t="s">
        <v>328</v>
      </c>
      <c r="L446" s="7" t="str">
        <f t="shared" si="12"/>
        <v>Yes</v>
      </c>
      <c r="M446" s="16">
        <f t="shared" ca="1" si="13"/>
        <v>0</v>
      </c>
    </row>
    <row r="447" spans="1:13">
      <c r="A447" t="s">
        <v>1481</v>
      </c>
      <c r="B447" t="s">
        <v>286</v>
      </c>
      <c r="C447" t="s">
        <v>384</v>
      </c>
      <c r="D447" t="s">
        <v>1262</v>
      </c>
      <c r="E447" s="4">
        <v>46128.208333333343</v>
      </c>
      <c r="F447">
        <v>24</v>
      </c>
      <c r="G447">
        <v>0.6</v>
      </c>
      <c r="H447">
        <v>41.7</v>
      </c>
      <c r="I447" t="s">
        <v>1259</v>
      </c>
      <c r="J447" t="s">
        <v>403</v>
      </c>
      <c r="K447" t="s">
        <v>335</v>
      </c>
      <c r="L447" s="7" t="str">
        <f t="shared" si="12"/>
        <v>Yes</v>
      </c>
      <c r="M447" s="16">
        <f t="shared" ca="1" si="13"/>
        <v>0</v>
      </c>
    </row>
    <row r="448" spans="1:13">
      <c r="A448" t="s">
        <v>1482</v>
      </c>
      <c r="B448" t="s">
        <v>138</v>
      </c>
      <c r="C448" t="s">
        <v>384</v>
      </c>
      <c r="D448" t="s">
        <v>1262</v>
      </c>
      <c r="E448" s="4">
        <v>46002.541666666657</v>
      </c>
      <c r="F448">
        <v>48</v>
      </c>
      <c r="G448">
        <v>2.1</v>
      </c>
      <c r="H448">
        <v>57.7</v>
      </c>
      <c r="I448" t="s">
        <v>1259</v>
      </c>
      <c r="J448" t="s">
        <v>378</v>
      </c>
      <c r="K448" t="s">
        <v>323</v>
      </c>
      <c r="L448" s="7" t="str">
        <f t="shared" si="12"/>
        <v>Yes</v>
      </c>
      <c r="M448" s="16">
        <f t="shared" ca="1" si="13"/>
        <v>0</v>
      </c>
    </row>
    <row r="449" spans="1:13">
      <c r="A449" t="s">
        <v>1483</v>
      </c>
      <c r="B449" t="s">
        <v>106</v>
      </c>
      <c r="C449" t="s">
        <v>384</v>
      </c>
      <c r="D449" t="s">
        <v>1262</v>
      </c>
      <c r="E449" s="4">
        <v>45893.166666666657</v>
      </c>
      <c r="F449">
        <v>8</v>
      </c>
      <c r="G449">
        <v>0.4</v>
      </c>
      <c r="H449">
        <v>75.7</v>
      </c>
      <c r="I449" t="s">
        <v>1259</v>
      </c>
      <c r="J449" t="s">
        <v>374</v>
      </c>
      <c r="K449" t="s">
        <v>323</v>
      </c>
      <c r="L449" s="7" t="str">
        <f t="shared" si="12"/>
        <v>Yes</v>
      </c>
      <c r="M449" s="16">
        <f t="shared" ca="1" si="13"/>
        <v>0</v>
      </c>
    </row>
    <row r="450" spans="1:13">
      <c r="A450" t="s">
        <v>752</v>
      </c>
      <c r="B450" t="s">
        <v>245</v>
      </c>
      <c r="C450" t="s">
        <v>377</v>
      </c>
      <c r="D450" t="s">
        <v>1262</v>
      </c>
      <c r="E450" s="4">
        <v>45957.875</v>
      </c>
      <c r="F450">
        <v>4</v>
      </c>
      <c r="G450">
        <v>2.5</v>
      </c>
      <c r="H450">
        <v>53.3</v>
      </c>
      <c r="I450" t="s">
        <v>1259</v>
      </c>
      <c r="J450" t="s">
        <v>414</v>
      </c>
      <c r="K450" t="s">
        <v>323</v>
      </c>
      <c r="L450" s="7" t="str">
        <f t="shared" ref="L450:L513" si="14">IF(H450&gt;F450,"Yes","No")</f>
        <v>Yes</v>
      </c>
      <c r="M450" s="16">
        <f t="shared" ref="M450:M513" ca="1" si="15">IF(I450="Closed",0,TODAY()-E450)</f>
        <v>0</v>
      </c>
    </row>
    <row r="451" spans="1:13">
      <c r="A451" t="s">
        <v>1093</v>
      </c>
      <c r="B451" t="s">
        <v>45</v>
      </c>
      <c r="C451" t="s">
        <v>381</v>
      </c>
      <c r="D451" t="s">
        <v>1262</v>
      </c>
      <c r="E451" s="4">
        <v>45933.5</v>
      </c>
      <c r="F451">
        <v>48</v>
      </c>
      <c r="G451">
        <v>3.2</v>
      </c>
      <c r="H451">
        <v>13.9</v>
      </c>
      <c r="I451" t="s">
        <v>331</v>
      </c>
      <c r="J451" t="s">
        <v>400</v>
      </c>
      <c r="K451" t="s">
        <v>328</v>
      </c>
      <c r="L451" s="7" t="str">
        <f t="shared" si="14"/>
        <v>No</v>
      </c>
      <c r="M451" s="16">
        <f t="shared" ca="1" si="15"/>
        <v>216.5</v>
      </c>
    </row>
    <row r="452" spans="1:13">
      <c r="A452" t="s">
        <v>1484</v>
      </c>
      <c r="B452" t="s">
        <v>129</v>
      </c>
      <c r="C452" t="s">
        <v>467</v>
      </c>
      <c r="D452" t="s">
        <v>1266</v>
      </c>
      <c r="E452" s="4">
        <v>45952.958333333343</v>
      </c>
      <c r="F452">
        <v>8</v>
      </c>
      <c r="G452">
        <v>5</v>
      </c>
      <c r="H452">
        <v>6.6</v>
      </c>
      <c r="I452" t="s">
        <v>1263</v>
      </c>
      <c r="J452" t="s">
        <v>440</v>
      </c>
      <c r="K452" t="s">
        <v>323</v>
      </c>
      <c r="L452" s="7" t="str">
        <f t="shared" si="14"/>
        <v>No</v>
      </c>
      <c r="M452" s="16">
        <f t="shared" ca="1" si="15"/>
        <v>197.04166666665697</v>
      </c>
    </row>
    <row r="453" spans="1:13">
      <c r="A453" t="s">
        <v>1485</v>
      </c>
      <c r="B453" t="s">
        <v>194</v>
      </c>
      <c r="C453" t="s">
        <v>381</v>
      </c>
      <c r="D453" t="s">
        <v>1258</v>
      </c>
      <c r="E453" s="4">
        <v>46073.291666666657</v>
      </c>
      <c r="F453">
        <v>48</v>
      </c>
      <c r="G453">
        <v>2.8</v>
      </c>
      <c r="H453">
        <v>8.3000000000000007</v>
      </c>
      <c r="I453" t="s">
        <v>1259</v>
      </c>
      <c r="J453" t="s">
        <v>400</v>
      </c>
      <c r="K453" t="s">
        <v>323</v>
      </c>
      <c r="L453" s="7" t="str">
        <f t="shared" si="14"/>
        <v>No</v>
      </c>
      <c r="M453" s="16">
        <f t="shared" ca="1" si="15"/>
        <v>0</v>
      </c>
    </row>
    <row r="454" spans="1:13">
      <c r="A454" t="s">
        <v>762</v>
      </c>
      <c r="B454" t="s">
        <v>199</v>
      </c>
      <c r="C454" t="s">
        <v>369</v>
      </c>
      <c r="D454" t="s">
        <v>1262</v>
      </c>
      <c r="E454" s="4">
        <v>46131.791666666657</v>
      </c>
      <c r="F454">
        <v>72</v>
      </c>
      <c r="G454">
        <v>3.5</v>
      </c>
      <c r="H454">
        <v>67.5</v>
      </c>
      <c r="I454" t="s">
        <v>1259</v>
      </c>
      <c r="J454" t="s">
        <v>414</v>
      </c>
      <c r="K454" t="s">
        <v>328</v>
      </c>
      <c r="L454" s="7" t="str">
        <f t="shared" si="14"/>
        <v>No</v>
      </c>
      <c r="M454" s="16">
        <f t="shared" ca="1" si="15"/>
        <v>0</v>
      </c>
    </row>
    <row r="455" spans="1:13">
      <c r="A455" t="s">
        <v>411</v>
      </c>
      <c r="B455" t="s">
        <v>103</v>
      </c>
      <c r="C455" t="s">
        <v>365</v>
      </c>
      <c r="D455" t="s">
        <v>1262</v>
      </c>
      <c r="E455" s="4">
        <v>45860.291666666657</v>
      </c>
      <c r="F455">
        <v>72</v>
      </c>
      <c r="G455">
        <v>3.6</v>
      </c>
      <c r="H455">
        <v>75.599999999999994</v>
      </c>
      <c r="I455" t="s">
        <v>1265</v>
      </c>
      <c r="J455" t="s">
        <v>400</v>
      </c>
      <c r="K455" t="s">
        <v>323</v>
      </c>
      <c r="L455" s="7" t="str">
        <f t="shared" si="14"/>
        <v>Yes</v>
      </c>
      <c r="M455" s="16">
        <f t="shared" ca="1" si="15"/>
        <v>289.70833333334303</v>
      </c>
    </row>
    <row r="456" spans="1:13">
      <c r="A456" t="s">
        <v>808</v>
      </c>
      <c r="B456" t="s">
        <v>96</v>
      </c>
      <c r="C456" t="s">
        <v>392</v>
      </c>
      <c r="D456" t="s">
        <v>1266</v>
      </c>
      <c r="E456" s="4">
        <v>45936.375</v>
      </c>
      <c r="F456">
        <v>48</v>
      </c>
      <c r="G456">
        <v>2.7</v>
      </c>
      <c r="H456">
        <v>24.5</v>
      </c>
      <c r="I456" t="s">
        <v>1259</v>
      </c>
      <c r="J456" t="s">
        <v>440</v>
      </c>
      <c r="K456" t="s">
        <v>328</v>
      </c>
      <c r="L456" s="7" t="str">
        <f t="shared" si="14"/>
        <v>No</v>
      </c>
      <c r="M456" s="16">
        <f t="shared" ca="1" si="15"/>
        <v>0</v>
      </c>
    </row>
    <row r="457" spans="1:13">
      <c r="A457" t="s">
        <v>1486</v>
      </c>
      <c r="B457" t="s">
        <v>208</v>
      </c>
      <c r="C457" t="s">
        <v>467</v>
      </c>
      <c r="D457" t="s">
        <v>1262</v>
      </c>
      <c r="E457" s="4">
        <v>45866.916666666657</v>
      </c>
      <c r="F457">
        <v>72</v>
      </c>
      <c r="G457">
        <v>5.9</v>
      </c>
      <c r="H457">
        <v>36.5</v>
      </c>
      <c r="I457" t="s">
        <v>1259</v>
      </c>
      <c r="J457" t="s">
        <v>456</v>
      </c>
      <c r="K457" t="s">
        <v>323</v>
      </c>
      <c r="L457" s="7" t="str">
        <f t="shared" si="14"/>
        <v>No</v>
      </c>
      <c r="M457" s="16">
        <f t="shared" ca="1" si="15"/>
        <v>0</v>
      </c>
    </row>
    <row r="458" spans="1:13">
      <c r="A458" t="s">
        <v>922</v>
      </c>
      <c r="B458" t="s">
        <v>25</v>
      </c>
      <c r="C458" t="s">
        <v>399</v>
      </c>
      <c r="D458" t="s">
        <v>1261</v>
      </c>
      <c r="E458" s="4">
        <v>46138.916666666657</v>
      </c>
      <c r="F458">
        <v>72</v>
      </c>
      <c r="G458">
        <v>1.1000000000000001</v>
      </c>
      <c r="H458">
        <v>57.2</v>
      </c>
      <c r="I458" t="s">
        <v>1259</v>
      </c>
      <c r="J458" t="s">
        <v>403</v>
      </c>
      <c r="K458" t="s">
        <v>335</v>
      </c>
      <c r="L458" s="7" t="str">
        <f t="shared" si="14"/>
        <v>No</v>
      </c>
      <c r="M458" s="16">
        <f t="shared" ca="1" si="15"/>
        <v>0</v>
      </c>
    </row>
    <row r="459" spans="1:13">
      <c r="A459" t="s">
        <v>1487</v>
      </c>
      <c r="B459" t="s">
        <v>168</v>
      </c>
      <c r="C459" t="s">
        <v>381</v>
      </c>
      <c r="D459" t="s">
        <v>1262</v>
      </c>
      <c r="E459" s="4">
        <v>46071.083333333343</v>
      </c>
      <c r="F459">
        <v>24</v>
      </c>
      <c r="G459">
        <v>2.2000000000000002</v>
      </c>
      <c r="H459">
        <v>50.4</v>
      </c>
      <c r="I459" t="s">
        <v>1259</v>
      </c>
      <c r="J459" t="s">
        <v>403</v>
      </c>
      <c r="K459" t="s">
        <v>323</v>
      </c>
      <c r="L459" s="7" t="str">
        <f t="shared" si="14"/>
        <v>Yes</v>
      </c>
      <c r="M459" s="16">
        <f t="shared" ca="1" si="15"/>
        <v>0</v>
      </c>
    </row>
    <row r="460" spans="1:13">
      <c r="A460" t="s">
        <v>1488</v>
      </c>
      <c r="B460" t="s">
        <v>298</v>
      </c>
      <c r="C460" t="s">
        <v>399</v>
      </c>
      <c r="D460" t="s">
        <v>1261</v>
      </c>
      <c r="E460" s="4">
        <v>46069.833333333343</v>
      </c>
      <c r="F460">
        <v>24</v>
      </c>
      <c r="G460">
        <v>0.7</v>
      </c>
      <c r="H460">
        <v>95.9</v>
      </c>
      <c r="I460" t="s">
        <v>1259</v>
      </c>
      <c r="J460" t="s">
        <v>414</v>
      </c>
      <c r="K460" t="s">
        <v>323</v>
      </c>
      <c r="L460" s="7" t="str">
        <f t="shared" si="14"/>
        <v>Yes</v>
      </c>
      <c r="M460" s="16">
        <f t="shared" ca="1" si="15"/>
        <v>0</v>
      </c>
    </row>
    <row r="461" spans="1:13">
      <c r="A461" t="s">
        <v>405</v>
      </c>
      <c r="B461" t="s">
        <v>285</v>
      </c>
      <c r="C461" t="s">
        <v>369</v>
      </c>
      <c r="D461" t="s">
        <v>1262</v>
      </c>
      <c r="E461" s="4">
        <v>45861.208333333343</v>
      </c>
      <c r="F461">
        <v>24</v>
      </c>
      <c r="G461">
        <v>3.8</v>
      </c>
      <c r="H461">
        <v>51.2</v>
      </c>
      <c r="I461" t="s">
        <v>331</v>
      </c>
      <c r="J461" t="s">
        <v>403</v>
      </c>
      <c r="K461" t="s">
        <v>328</v>
      </c>
      <c r="L461" s="7" t="str">
        <f t="shared" si="14"/>
        <v>Yes</v>
      </c>
      <c r="M461" s="16">
        <f t="shared" ca="1" si="15"/>
        <v>288.79166666665697</v>
      </c>
    </row>
    <row r="462" spans="1:13">
      <c r="A462" t="s">
        <v>1489</v>
      </c>
      <c r="B462" t="s">
        <v>269</v>
      </c>
      <c r="C462" t="s">
        <v>381</v>
      </c>
      <c r="D462" t="s">
        <v>1261</v>
      </c>
      <c r="E462" s="4">
        <v>45996.375</v>
      </c>
      <c r="F462">
        <v>48</v>
      </c>
      <c r="G462">
        <v>2</v>
      </c>
      <c r="H462">
        <v>26.6</v>
      </c>
      <c r="I462" t="s">
        <v>1259</v>
      </c>
      <c r="J462" t="s">
        <v>366</v>
      </c>
      <c r="K462" t="s">
        <v>328</v>
      </c>
      <c r="L462" s="7" t="str">
        <f t="shared" si="14"/>
        <v>No</v>
      </c>
      <c r="M462" s="16">
        <f t="shared" ca="1" si="15"/>
        <v>0</v>
      </c>
    </row>
    <row r="463" spans="1:13">
      <c r="A463" t="s">
        <v>1490</v>
      </c>
      <c r="B463" t="s">
        <v>89</v>
      </c>
      <c r="C463" t="s">
        <v>467</v>
      </c>
      <c r="D463" t="s">
        <v>1261</v>
      </c>
      <c r="E463" s="4">
        <v>46093.625</v>
      </c>
      <c r="F463">
        <v>72</v>
      </c>
      <c r="G463">
        <v>5.3</v>
      </c>
      <c r="H463">
        <v>82.8</v>
      </c>
      <c r="I463" t="s">
        <v>1259</v>
      </c>
      <c r="J463" t="s">
        <v>366</v>
      </c>
      <c r="K463" t="s">
        <v>323</v>
      </c>
      <c r="L463" s="7" t="str">
        <f t="shared" si="14"/>
        <v>Yes</v>
      </c>
      <c r="M463" s="16">
        <f t="shared" ca="1" si="15"/>
        <v>0</v>
      </c>
    </row>
    <row r="464" spans="1:13">
      <c r="A464" t="s">
        <v>642</v>
      </c>
      <c r="B464" t="s">
        <v>249</v>
      </c>
      <c r="C464" t="s">
        <v>365</v>
      </c>
      <c r="D464" t="s">
        <v>1258</v>
      </c>
      <c r="E464" s="4">
        <v>46065.083333333343</v>
      </c>
      <c r="F464">
        <v>72</v>
      </c>
      <c r="G464">
        <v>4</v>
      </c>
      <c r="H464">
        <v>35</v>
      </c>
      <c r="I464" t="s">
        <v>1259</v>
      </c>
      <c r="J464" t="s">
        <v>374</v>
      </c>
      <c r="K464" t="s">
        <v>323</v>
      </c>
      <c r="L464" s="7" t="str">
        <f t="shared" si="14"/>
        <v>No</v>
      </c>
      <c r="M464" s="16">
        <f t="shared" ca="1" si="15"/>
        <v>0</v>
      </c>
    </row>
    <row r="465" spans="1:13">
      <c r="A465" t="s">
        <v>1491</v>
      </c>
      <c r="B465" t="s">
        <v>162</v>
      </c>
      <c r="C465" t="s">
        <v>377</v>
      </c>
      <c r="D465" t="s">
        <v>1261</v>
      </c>
      <c r="E465" s="4">
        <v>45914.041666666657</v>
      </c>
      <c r="F465">
        <v>24</v>
      </c>
      <c r="G465">
        <v>0.4</v>
      </c>
      <c r="H465">
        <v>115.2</v>
      </c>
      <c r="I465" t="s">
        <v>1259</v>
      </c>
      <c r="J465" t="s">
        <v>374</v>
      </c>
      <c r="K465" t="s">
        <v>335</v>
      </c>
      <c r="L465" s="7" t="str">
        <f t="shared" si="14"/>
        <v>Yes</v>
      </c>
      <c r="M465" s="16">
        <f t="shared" ca="1" si="15"/>
        <v>0</v>
      </c>
    </row>
    <row r="466" spans="1:13">
      <c r="A466" t="s">
        <v>525</v>
      </c>
      <c r="B466" t="s">
        <v>11</v>
      </c>
      <c r="C466" t="s">
        <v>399</v>
      </c>
      <c r="D466" t="s">
        <v>1261</v>
      </c>
      <c r="E466" s="4">
        <v>46052.208333333343</v>
      </c>
      <c r="F466">
        <v>8</v>
      </c>
      <c r="G466">
        <v>4.4000000000000004</v>
      </c>
      <c r="H466">
        <v>83.2</v>
      </c>
      <c r="I466" t="s">
        <v>1259</v>
      </c>
      <c r="J466" t="s">
        <v>374</v>
      </c>
      <c r="K466" t="s">
        <v>323</v>
      </c>
      <c r="L466" s="7" t="str">
        <f t="shared" si="14"/>
        <v>Yes</v>
      </c>
      <c r="M466" s="16">
        <f t="shared" ca="1" si="15"/>
        <v>0</v>
      </c>
    </row>
    <row r="467" spans="1:13">
      <c r="A467" t="s">
        <v>590</v>
      </c>
      <c r="B467" t="s">
        <v>127</v>
      </c>
      <c r="C467" t="s">
        <v>476</v>
      </c>
      <c r="D467" t="s">
        <v>1261</v>
      </c>
      <c r="E467" s="4">
        <v>46072.958333333343</v>
      </c>
      <c r="F467">
        <v>72</v>
      </c>
      <c r="G467">
        <v>2.5</v>
      </c>
      <c r="H467">
        <v>7.5</v>
      </c>
      <c r="I467" t="s">
        <v>1259</v>
      </c>
      <c r="J467" t="s">
        <v>396</v>
      </c>
      <c r="K467" t="s">
        <v>335</v>
      </c>
      <c r="L467" s="7" t="str">
        <f t="shared" si="14"/>
        <v>No</v>
      </c>
      <c r="M467" s="16">
        <f t="shared" ca="1" si="15"/>
        <v>0</v>
      </c>
    </row>
    <row r="468" spans="1:13">
      <c r="A468" t="s">
        <v>1492</v>
      </c>
      <c r="B468" t="s">
        <v>155</v>
      </c>
      <c r="C468" t="s">
        <v>369</v>
      </c>
      <c r="D468" t="s">
        <v>1262</v>
      </c>
      <c r="E468" s="4">
        <v>46057.708333333343</v>
      </c>
      <c r="F468">
        <v>4</v>
      </c>
      <c r="G468">
        <v>2</v>
      </c>
      <c r="H468">
        <v>11.7</v>
      </c>
      <c r="I468" t="s">
        <v>1259</v>
      </c>
      <c r="J468" t="s">
        <v>393</v>
      </c>
      <c r="K468" t="s">
        <v>335</v>
      </c>
      <c r="L468" s="7" t="str">
        <f t="shared" si="14"/>
        <v>Yes</v>
      </c>
      <c r="M468" s="16">
        <f t="shared" ca="1" si="15"/>
        <v>0</v>
      </c>
    </row>
    <row r="469" spans="1:13">
      <c r="A469" t="s">
        <v>1493</v>
      </c>
      <c r="B469" t="s">
        <v>84</v>
      </c>
      <c r="C469" t="s">
        <v>369</v>
      </c>
      <c r="D469" t="s">
        <v>1258</v>
      </c>
      <c r="E469" s="4">
        <v>45946.791666666657</v>
      </c>
      <c r="F469">
        <v>4</v>
      </c>
      <c r="G469">
        <v>0.9</v>
      </c>
      <c r="H469">
        <v>98.8</v>
      </c>
      <c r="I469" t="s">
        <v>1259</v>
      </c>
      <c r="J469" t="s">
        <v>456</v>
      </c>
      <c r="K469" t="s">
        <v>335</v>
      </c>
      <c r="L469" s="7" t="str">
        <f t="shared" si="14"/>
        <v>Yes</v>
      </c>
      <c r="M469" s="16">
        <f t="shared" ca="1" si="15"/>
        <v>0</v>
      </c>
    </row>
    <row r="470" spans="1:13">
      <c r="A470" t="s">
        <v>729</v>
      </c>
      <c r="B470" t="s">
        <v>170</v>
      </c>
      <c r="C470" t="s">
        <v>381</v>
      </c>
      <c r="D470" t="s">
        <v>1262</v>
      </c>
      <c r="E470" s="4">
        <v>45986.541666666657</v>
      </c>
      <c r="F470">
        <v>72</v>
      </c>
      <c r="G470">
        <v>5.5</v>
      </c>
      <c r="H470">
        <v>21.1</v>
      </c>
      <c r="I470" t="s">
        <v>1259</v>
      </c>
      <c r="J470" t="s">
        <v>374</v>
      </c>
      <c r="K470" t="s">
        <v>335</v>
      </c>
      <c r="L470" s="7" t="str">
        <f t="shared" si="14"/>
        <v>No</v>
      </c>
      <c r="M470" s="16">
        <f t="shared" ca="1" si="15"/>
        <v>0</v>
      </c>
    </row>
    <row r="471" spans="1:13">
      <c r="A471" t="s">
        <v>783</v>
      </c>
      <c r="B471" t="s">
        <v>129</v>
      </c>
      <c r="C471" t="s">
        <v>384</v>
      </c>
      <c r="D471" t="s">
        <v>1262</v>
      </c>
      <c r="E471" s="4">
        <v>46093.666666666657</v>
      </c>
      <c r="F471">
        <v>48</v>
      </c>
      <c r="G471">
        <v>3.3</v>
      </c>
      <c r="H471">
        <v>15.1</v>
      </c>
      <c r="I471" t="s">
        <v>1259</v>
      </c>
      <c r="J471" t="s">
        <v>370</v>
      </c>
      <c r="K471" t="s">
        <v>335</v>
      </c>
      <c r="L471" s="7" t="str">
        <f t="shared" si="14"/>
        <v>No</v>
      </c>
      <c r="M471" s="16">
        <f t="shared" ca="1" si="15"/>
        <v>0</v>
      </c>
    </row>
    <row r="472" spans="1:13">
      <c r="A472" t="s">
        <v>488</v>
      </c>
      <c r="B472" t="s">
        <v>202</v>
      </c>
      <c r="C472" t="s">
        <v>373</v>
      </c>
      <c r="D472" t="s">
        <v>1261</v>
      </c>
      <c r="E472" s="4">
        <v>46077.833333333343</v>
      </c>
      <c r="F472">
        <v>4</v>
      </c>
      <c r="G472">
        <v>4.8</v>
      </c>
      <c r="H472">
        <v>30.1</v>
      </c>
      <c r="I472" t="s">
        <v>1259</v>
      </c>
      <c r="J472" t="s">
        <v>400</v>
      </c>
      <c r="K472" t="s">
        <v>335</v>
      </c>
      <c r="L472" s="7" t="str">
        <f t="shared" si="14"/>
        <v>Yes</v>
      </c>
      <c r="M472" s="16">
        <f t="shared" ca="1" si="15"/>
        <v>0</v>
      </c>
    </row>
    <row r="473" spans="1:13">
      <c r="A473" t="s">
        <v>721</v>
      </c>
      <c r="B473" t="s">
        <v>273</v>
      </c>
      <c r="C473" t="s">
        <v>417</v>
      </c>
      <c r="D473" t="s">
        <v>1258</v>
      </c>
      <c r="E473" s="4">
        <v>45947</v>
      </c>
      <c r="F473">
        <v>8</v>
      </c>
      <c r="G473">
        <v>4.5</v>
      </c>
      <c r="H473">
        <v>36.299999999999997</v>
      </c>
      <c r="I473" t="s">
        <v>1265</v>
      </c>
      <c r="J473" t="s">
        <v>393</v>
      </c>
      <c r="K473" t="s">
        <v>323</v>
      </c>
      <c r="L473" s="7" t="str">
        <f t="shared" si="14"/>
        <v>Yes</v>
      </c>
      <c r="M473" s="16">
        <f t="shared" ca="1" si="15"/>
        <v>203</v>
      </c>
    </row>
    <row r="474" spans="1:13">
      <c r="A474" t="s">
        <v>744</v>
      </c>
      <c r="B474" t="s">
        <v>180</v>
      </c>
      <c r="C474" t="s">
        <v>417</v>
      </c>
      <c r="D474" t="s">
        <v>1262</v>
      </c>
      <c r="E474" s="4">
        <v>45897.875</v>
      </c>
      <c r="F474">
        <v>24</v>
      </c>
      <c r="G474">
        <v>2.4</v>
      </c>
      <c r="H474">
        <v>56.1</v>
      </c>
      <c r="I474" t="s">
        <v>1259</v>
      </c>
      <c r="J474" t="s">
        <v>387</v>
      </c>
      <c r="K474" t="s">
        <v>328</v>
      </c>
      <c r="L474" s="7" t="str">
        <f t="shared" si="14"/>
        <v>Yes</v>
      </c>
      <c r="M474" s="16">
        <f t="shared" ca="1" si="15"/>
        <v>0</v>
      </c>
    </row>
    <row r="475" spans="1:13">
      <c r="A475" t="s">
        <v>1494</v>
      </c>
      <c r="B475" t="s">
        <v>202</v>
      </c>
      <c r="C475" t="s">
        <v>417</v>
      </c>
      <c r="D475" t="s">
        <v>1262</v>
      </c>
      <c r="E475" s="4">
        <v>46084.625</v>
      </c>
      <c r="F475">
        <v>4</v>
      </c>
      <c r="G475">
        <v>4.3</v>
      </c>
      <c r="H475">
        <v>37.799999999999997</v>
      </c>
      <c r="I475" t="s">
        <v>1259</v>
      </c>
      <c r="J475" t="s">
        <v>414</v>
      </c>
      <c r="K475" t="s">
        <v>335</v>
      </c>
      <c r="L475" s="7" t="str">
        <f t="shared" si="14"/>
        <v>Yes</v>
      </c>
      <c r="M475" s="16">
        <f t="shared" ca="1" si="15"/>
        <v>0</v>
      </c>
    </row>
    <row r="476" spans="1:13">
      <c r="A476" t="s">
        <v>1495</v>
      </c>
      <c r="B476" t="s">
        <v>223</v>
      </c>
      <c r="C476" t="s">
        <v>369</v>
      </c>
      <c r="D476" t="s">
        <v>1266</v>
      </c>
      <c r="E476" s="4">
        <v>45867.666666666657</v>
      </c>
      <c r="F476">
        <v>24</v>
      </c>
      <c r="G476">
        <v>3.8</v>
      </c>
      <c r="H476">
        <v>52.6</v>
      </c>
      <c r="I476" t="s">
        <v>1259</v>
      </c>
      <c r="J476" t="s">
        <v>387</v>
      </c>
      <c r="K476" t="s">
        <v>328</v>
      </c>
      <c r="L476" s="7" t="str">
        <f t="shared" si="14"/>
        <v>Yes</v>
      </c>
      <c r="M476" s="16">
        <f t="shared" ca="1" si="15"/>
        <v>0</v>
      </c>
    </row>
    <row r="477" spans="1:13">
      <c r="A477" t="s">
        <v>1496</v>
      </c>
      <c r="B477" t="s">
        <v>66</v>
      </c>
      <c r="C477" t="s">
        <v>392</v>
      </c>
      <c r="D477" t="s">
        <v>1258</v>
      </c>
      <c r="E477" s="4">
        <v>46020.083333333343</v>
      </c>
      <c r="F477">
        <v>8</v>
      </c>
      <c r="G477">
        <v>2</v>
      </c>
      <c r="H477">
        <v>6.9</v>
      </c>
      <c r="I477" t="s">
        <v>1263</v>
      </c>
      <c r="J477" t="s">
        <v>378</v>
      </c>
      <c r="K477" t="s">
        <v>323</v>
      </c>
      <c r="L477" s="7" t="str">
        <f t="shared" si="14"/>
        <v>No</v>
      </c>
      <c r="M477" s="16">
        <f t="shared" ca="1" si="15"/>
        <v>129.91666666665697</v>
      </c>
    </row>
    <row r="478" spans="1:13">
      <c r="A478" t="s">
        <v>1497</v>
      </c>
      <c r="B478" t="s">
        <v>138</v>
      </c>
      <c r="C478" t="s">
        <v>384</v>
      </c>
      <c r="D478" t="s">
        <v>1262</v>
      </c>
      <c r="E478" s="4">
        <v>46038.208333333343</v>
      </c>
      <c r="F478">
        <v>72</v>
      </c>
      <c r="G478">
        <v>0.9</v>
      </c>
      <c r="H478">
        <v>60.4</v>
      </c>
      <c r="I478" t="s">
        <v>1259</v>
      </c>
      <c r="J478" t="s">
        <v>396</v>
      </c>
      <c r="K478" t="s">
        <v>323</v>
      </c>
      <c r="L478" s="7" t="str">
        <f t="shared" si="14"/>
        <v>No</v>
      </c>
      <c r="M478" s="16">
        <f t="shared" ca="1" si="15"/>
        <v>0</v>
      </c>
    </row>
    <row r="479" spans="1:13">
      <c r="A479" t="s">
        <v>1498</v>
      </c>
      <c r="B479" t="s">
        <v>57</v>
      </c>
      <c r="C479" t="s">
        <v>467</v>
      </c>
      <c r="D479" t="s">
        <v>1258</v>
      </c>
      <c r="E479" s="4">
        <v>46093.291666666657</v>
      </c>
      <c r="F479">
        <v>24</v>
      </c>
      <c r="G479">
        <v>3</v>
      </c>
      <c r="H479">
        <v>127.9</v>
      </c>
      <c r="I479" t="s">
        <v>331</v>
      </c>
      <c r="J479" t="s">
        <v>393</v>
      </c>
      <c r="K479" t="s">
        <v>328</v>
      </c>
      <c r="L479" s="7" t="str">
        <f t="shared" si="14"/>
        <v>Yes</v>
      </c>
      <c r="M479" s="16">
        <f t="shared" ca="1" si="15"/>
        <v>56.708333333343035</v>
      </c>
    </row>
    <row r="480" spans="1:13">
      <c r="A480" t="s">
        <v>586</v>
      </c>
      <c r="B480" t="s">
        <v>36</v>
      </c>
      <c r="C480" t="s">
        <v>417</v>
      </c>
      <c r="D480" t="s">
        <v>1262</v>
      </c>
      <c r="E480" s="4">
        <v>45942.083333333343</v>
      </c>
      <c r="F480">
        <v>48</v>
      </c>
      <c r="G480">
        <v>3.4</v>
      </c>
      <c r="H480">
        <v>61.7</v>
      </c>
      <c r="I480" t="s">
        <v>1263</v>
      </c>
      <c r="J480" t="s">
        <v>403</v>
      </c>
      <c r="K480" t="s">
        <v>328</v>
      </c>
      <c r="L480" s="7" t="str">
        <f t="shared" si="14"/>
        <v>Yes</v>
      </c>
      <c r="M480" s="16">
        <f t="shared" ca="1" si="15"/>
        <v>207.91666666665697</v>
      </c>
    </row>
    <row r="481" spans="1:13">
      <c r="A481" t="s">
        <v>675</v>
      </c>
      <c r="B481" t="s">
        <v>217</v>
      </c>
      <c r="C481" t="s">
        <v>365</v>
      </c>
      <c r="D481" t="s">
        <v>1262</v>
      </c>
      <c r="E481" s="4">
        <v>46107.375</v>
      </c>
      <c r="F481">
        <v>24</v>
      </c>
      <c r="G481">
        <v>1.1000000000000001</v>
      </c>
      <c r="H481">
        <v>67.2</v>
      </c>
      <c r="I481" t="s">
        <v>1259</v>
      </c>
      <c r="J481" t="s">
        <v>414</v>
      </c>
      <c r="K481" t="s">
        <v>323</v>
      </c>
      <c r="L481" s="7" t="str">
        <f t="shared" si="14"/>
        <v>Yes</v>
      </c>
      <c r="M481" s="16">
        <f t="shared" ca="1" si="15"/>
        <v>0</v>
      </c>
    </row>
    <row r="482" spans="1:13">
      <c r="A482" t="s">
        <v>839</v>
      </c>
      <c r="B482" t="s">
        <v>53</v>
      </c>
      <c r="C482" t="s">
        <v>377</v>
      </c>
      <c r="D482" t="s">
        <v>1262</v>
      </c>
      <c r="E482" s="4">
        <v>46074.5</v>
      </c>
      <c r="F482">
        <v>72</v>
      </c>
      <c r="G482">
        <v>0.9</v>
      </c>
      <c r="H482">
        <v>25</v>
      </c>
      <c r="I482" t="s">
        <v>1265</v>
      </c>
      <c r="J482" t="s">
        <v>374</v>
      </c>
      <c r="K482" t="s">
        <v>328</v>
      </c>
      <c r="L482" s="7" t="str">
        <f t="shared" si="14"/>
        <v>No</v>
      </c>
      <c r="M482" s="16">
        <f t="shared" ca="1" si="15"/>
        <v>75.5</v>
      </c>
    </row>
    <row r="483" spans="1:13">
      <c r="A483" t="s">
        <v>1499</v>
      </c>
      <c r="B483" t="s">
        <v>11</v>
      </c>
      <c r="C483" t="s">
        <v>365</v>
      </c>
      <c r="D483" t="s">
        <v>1262</v>
      </c>
      <c r="E483" s="4">
        <v>45891.666666666657</v>
      </c>
      <c r="F483">
        <v>24</v>
      </c>
      <c r="G483">
        <v>0.3</v>
      </c>
      <c r="H483">
        <v>58.6</v>
      </c>
      <c r="I483" t="s">
        <v>1259</v>
      </c>
      <c r="J483" t="s">
        <v>366</v>
      </c>
      <c r="K483" t="s">
        <v>335</v>
      </c>
      <c r="L483" s="7" t="str">
        <f t="shared" si="14"/>
        <v>Yes</v>
      </c>
      <c r="M483" s="16">
        <f t="shared" ca="1" si="15"/>
        <v>0</v>
      </c>
    </row>
    <row r="484" spans="1:13">
      <c r="A484" t="s">
        <v>1500</v>
      </c>
      <c r="B484" t="s">
        <v>32</v>
      </c>
      <c r="C484" t="s">
        <v>377</v>
      </c>
      <c r="D484" t="s">
        <v>1261</v>
      </c>
      <c r="E484" s="4">
        <v>46111.416666666657</v>
      </c>
      <c r="F484">
        <v>48</v>
      </c>
      <c r="G484">
        <v>4.4000000000000004</v>
      </c>
      <c r="H484">
        <v>38.700000000000003</v>
      </c>
      <c r="I484" t="s">
        <v>331</v>
      </c>
      <c r="J484" t="s">
        <v>456</v>
      </c>
      <c r="K484" t="s">
        <v>328</v>
      </c>
      <c r="L484" s="7" t="str">
        <f t="shared" si="14"/>
        <v>No</v>
      </c>
      <c r="M484" s="16">
        <f t="shared" ca="1" si="15"/>
        <v>38.583333333343035</v>
      </c>
    </row>
    <row r="485" spans="1:13">
      <c r="A485" t="s">
        <v>1501</v>
      </c>
      <c r="B485" t="s">
        <v>89</v>
      </c>
      <c r="C485" t="s">
        <v>476</v>
      </c>
      <c r="D485" t="s">
        <v>1258</v>
      </c>
      <c r="E485" s="4">
        <v>45944.708333333343</v>
      </c>
      <c r="F485">
        <v>24</v>
      </c>
      <c r="G485">
        <v>3.7</v>
      </c>
      <c r="H485">
        <v>38.5</v>
      </c>
      <c r="I485" t="s">
        <v>1263</v>
      </c>
      <c r="J485" t="s">
        <v>393</v>
      </c>
      <c r="K485" t="s">
        <v>323</v>
      </c>
      <c r="L485" s="7" t="str">
        <f t="shared" si="14"/>
        <v>Yes</v>
      </c>
      <c r="M485" s="16">
        <f t="shared" ca="1" si="15"/>
        <v>205.29166666665697</v>
      </c>
    </row>
    <row r="486" spans="1:13">
      <c r="A486" t="s">
        <v>1502</v>
      </c>
      <c r="B486" t="s">
        <v>186</v>
      </c>
      <c r="C486" t="s">
        <v>384</v>
      </c>
      <c r="D486" t="s">
        <v>1261</v>
      </c>
      <c r="E486" s="4">
        <v>46012.708333333343</v>
      </c>
      <c r="F486">
        <v>48</v>
      </c>
      <c r="G486">
        <v>0.5</v>
      </c>
      <c r="H486">
        <v>6.6</v>
      </c>
      <c r="I486" t="s">
        <v>1263</v>
      </c>
      <c r="J486" t="s">
        <v>387</v>
      </c>
      <c r="K486" t="s">
        <v>328</v>
      </c>
      <c r="L486" s="7" t="str">
        <f t="shared" si="14"/>
        <v>No</v>
      </c>
      <c r="M486" s="16">
        <f t="shared" ca="1" si="15"/>
        <v>137.29166666665697</v>
      </c>
    </row>
    <row r="487" spans="1:13">
      <c r="A487" t="s">
        <v>638</v>
      </c>
      <c r="B487" t="s">
        <v>159</v>
      </c>
      <c r="C487" t="s">
        <v>373</v>
      </c>
      <c r="D487" t="s">
        <v>1261</v>
      </c>
      <c r="E487" s="4">
        <v>46039.208333333343</v>
      </c>
      <c r="F487">
        <v>72</v>
      </c>
      <c r="G487">
        <v>5.8</v>
      </c>
      <c r="H487">
        <v>85.6</v>
      </c>
      <c r="I487" t="s">
        <v>1259</v>
      </c>
      <c r="J487" t="s">
        <v>440</v>
      </c>
      <c r="K487" t="s">
        <v>323</v>
      </c>
      <c r="L487" s="7" t="str">
        <f t="shared" si="14"/>
        <v>Yes</v>
      </c>
      <c r="M487" s="16">
        <f t="shared" ca="1" si="15"/>
        <v>0</v>
      </c>
    </row>
    <row r="488" spans="1:13">
      <c r="A488" t="s">
        <v>905</v>
      </c>
      <c r="B488" t="s">
        <v>151</v>
      </c>
      <c r="C488" t="s">
        <v>467</v>
      </c>
      <c r="D488" t="s">
        <v>1258</v>
      </c>
      <c r="E488" s="4">
        <v>45940.916666666657</v>
      </c>
      <c r="F488">
        <v>72</v>
      </c>
      <c r="G488">
        <v>0.7</v>
      </c>
      <c r="H488">
        <v>124.2</v>
      </c>
      <c r="I488" t="s">
        <v>1259</v>
      </c>
      <c r="J488" t="s">
        <v>374</v>
      </c>
      <c r="K488" t="s">
        <v>328</v>
      </c>
      <c r="L488" s="7" t="str">
        <f t="shared" si="14"/>
        <v>Yes</v>
      </c>
      <c r="M488" s="16">
        <f t="shared" ca="1" si="15"/>
        <v>0</v>
      </c>
    </row>
    <row r="489" spans="1:13">
      <c r="A489" t="s">
        <v>913</v>
      </c>
      <c r="B489" t="s">
        <v>283</v>
      </c>
      <c r="C489" t="s">
        <v>381</v>
      </c>
      <c r="D489" t="s">
        <v>1258</v>
      </c>
      <c r="E489" s="4">
        <v>46072.375</v>
      </c>
      <c r="F489">
        <v>48</v>
      </c>
      <c r="G489">
        <v>3.2</v>
      </c>
      <c r="H489">
        <v>127.5</v>
      </c>
      <c r="I489" t="s">
        <v>331</v>
      </c>
      <c r="J489" t="s">
        <v>374</v>
      </c>
      <c r="K489" t="s">
        <v>335</v>
      </c>
      <c r="L489" s="7" t="str">
        <f t="shared" si="14"/>
        <v>Yes</v>
      </c>
      <c r="M489" s="16">
        <f t="shared" ca="1" si="15"/>
        <v>77.625</v>
      </c>
    </row>
    <row r="490" spans="1:13">
      <c r="A490" t="s">
        <v>1503</v>
      </c>
      <c r="B490" t="s">
        <v>14</v>
      </c>
      <c r="C490" t="s">
        <v>417</v>
      </c>
      <c r="D490" t="s">
        <v>1258</v>
      </c>
      <c r="E490" s="4">
        <v>46008.416666666657</v>
      </c>
      <c r="F490">
        <v>48</v>
      </c>
      <c r="G490">
        <v>3.3</v>
      </c>
      <c r="H490">
        <v>11.4</v>
      </c>
      <c r="I490" t="s">
        <v>331</v>
      </c>
      <c r="J490" t="s">
        <v>440</v>
      </c>
      <c r="K490" t="s">
        <v>335</v>
      </c>
      <c r="L490" s="7" t="str">
        <f t="shared" si="14"/>
        <v>No</v>
      </c>
      <c r="M490" s="16">
        <f t="shared" ca="1" si="15"/>
        <v>141.58333333334303</v>
      </c>
    </row>
    <row r="491" spans="1:13">
      <c r="A491" t="s">
        <v>1228</v>
      </c>
      <c r="B491" t="s">
        <v>69</v>
      </c>
      <c r="C491" t="s">
        <v>384</v>
      </c>
      <c r="D491" t="s">
        <v>1261</v>
      </c>
      <c r="E491" s="4">
        <v>46017.791666666657</v>
      </c>
      <c r="F491">
        <v>72</v>
      </c>
      <c r="G491">
        <v>1</v>
      </c>
      <c r="H491">
        <v>16.3</v>
      </c>
      <c r="I491" t="s">
        <v>1259</v>
      </c>
      <c r="J491" t="s">
        <v>456</v>
      </c>
      <c r="K491" t="s">
        <v>335</v>
      </c>
      <c r="L491" s="7" t="str">
        <f t="shared" si="14"/>
        <v>No</v>
      </c>
      <c r="M491" s="16">
        <f t="shared" ca="1" si="15"/>
        <v>0</v>
      </c>
    </row>
    <row r="492" spans="1:13">
      <c r="A492" t="s">
        <v>1098</v>
      </c>
      <c r="B492" t="s">
        <v>162</v>
      </c>
      <c r="C492" t="s">
        <v>392</v>
      </c>
      <c r="D492" t="s">
        <v>1261</v>
      </c>
      <c r="E492" s="4">
        <v>45993.708333333343</v>
      </c>
      <c r="F492">
        <v>48</v>
      </c>
      <c r="G492">
        <v>2.7</v>
      </c>
      <c r="H492">
        <v>57.2</v>
      </c>
      <c r="I492" t="s">
        <v>1259</v>
      </c>
      <c r="J492" t="s">
        <v>414</v>
      </c>
      <c r="K492" t="s">
        <v>328</v>
      </c>
      <c r="L492" s="7" t="str">
        <f t="shared" si="14"/>
        <v>Yes</v>
      </c>
      <c r="M492" s="16">
        <f t="shared" ca="1" si="15"/>
        <v>0</v>
      </c>
    </row>
    <row r="493" spans="1:13">
      <c r="A493" t="s">
        <v>1504</v>
      </c>
      <c r="B493" t="s">
        <v>212</v>
      </c>
      <c r="C493" t="s">
        <v>369</v>
      </c>
      <c r="D493" t="s">
        <v>1261</v>
      </c>
      <c r="E493" s="4">
        <v>45945.916666666657</v>
      </c>
      <c r="F493">
        <v>72</v>
      </c>
      <c r="G493">
        <v>2.9</v>
      </c>
      <c r="H493">
        <v>131.80000000000001</v>
      </c>
      <c r="I493" t="s">
        <v>1259</v>
      </c>
      <c r="J493" t="s">
        <v>396</v>
      </c>
      <c r="K493" t="s">
        <v>323</v>
      </c>
      <c r="L493" s="7" t="str">
        <f t="shared" si="14"/>
        <v>Yes</v>
      </c>
      <c r="M493" s="16">
        <f t="shared" ca="1" si="15"/>
        <v>0</v>
      </c>
    </row>
    <row r="494" spans="1:13">
      <c r="A494" t="s">
        <v>395</v>
      </c>
      <c r="B494" t="s">
        <v>27</v>
      </c>
      <c r="C494" t="s">
        <v>377</v>
      </c>
      <c r="D494" t="s">
        <v>1261</v>
      </c>
      <c r="E494" s="4">
        <v>45878.958333333343</v>
      </c>
      <c r="F494">
        <v>72</v>
      </c>
      <c r="G494">
        <v>5.5</v>
      </c>
      <c r="H494">
        <v>17.8</v>
      </c>
      <c r="I494" t="s">
        <v>1259</v>
      </c>
      <c r="J494" t="s">
        <v>396</v>
      </c>
      <c r="K494" t="s">
        <v>323</v>
      </c>
      <c r="L494" s="7" t="str">
        <f t="shared" si="14"/>
        <v>No</v>
      </c>
      <c r="M494" s="16">
        <f t="shared" ca="1" si="15"/>
        <v>0</v>
      </c>
    </row>
    <row r="495" spans="1:13">
      <c r="A495" t="s">
        <v>471</v>
      </c>
      <c r="B495" t="s">
        <v>118</v>
      </c>
      <c r="C495" t="s">
        <v>365</v>
      </c>
      <c r="D495" t="s">
        <v>1261</v>
      </c>
      <c r="E495" s="4">
        <v>46046.083333333343</v>
      </c>
      <c r="F495">
        <v>72</v>
      </c>
      <c r="G495">
        <v>0.9</v>
      </c>
      <c r="H495">
        <v>109.9</v>
      </c>
      <c r="I495" t="s">
        <v>1259</v>
      </c>
      <c r="J495" t="s">
        <v>400</v>
      </c>
      <c r="K495" t="s">
        <v>335</v>
      </c>
      <c r="L495" s="7" t="str">
        <f t="shared" si="14"/>
        <v>Yes</v>
      </c>
      <c r="M495" s="16">
        <f t="shared" ca="1" si="15"/>
        <v>0</v>
      </c>
    </row>
    <row r="496" spans="1:13">
      <c r="A496" t="s">
        <v>977</v>
      </c>
      <c r="B496" t="s">
        <v>87</v>
      </c>
      <c r="C496" t="s">
        <v>392</v>
      </c>
      <c r="D496" t="s">
        <v>1262</v>
      </c>
      <c r="E496" s="4">
        <v>45885.25</v>
      </c>
      <c r="F496">
        <v>8</v>
      </c>
      <c r="G496">
        <v>5.8</v>
      </c>
      <c r="H496">
        <v>69.5</v>
      </c>
      <c r="I496" t="s">
        <v>1259</v>
      </c>
      <c r="J496" t="s">
        <v>387</v>
      </c>
      <c r="K496" t="s">
        <v>328</v>
      </c>
      <c r="L496" s="7" t="str">
        <f t="shared" si="14"/>
        <v>Yes</v>
      </c>
      <c r="M496" s="16">
        <f t="shared" ca="1" si="15"/>
        <v>0</v>
      </c>
    </row>
    <row r="497" spans="1:13">
      <c r="A497" t="s">
        <v>453</v>
      </c>
      <c r="B497" t="s">
        <v>249</v>
      </c>
      <c r="C497" t="s">
        <v>384</v>
      </c>
      <c r="D497" t="s">
        <v>1258</v>
      </c>
      <c r="E497" s="4">
        <v>45988.5</v>
      </c>
      <c r="F497">
        <v>72</v>
      </c>
      <c r="G497">
        <v>3.8</v>
      </c>
      <c r="H497">
        <v>28.5</v>
      </c>
      <c r="I497" t="s">
        <v>1259</v>
      </c>
      <c r="J497" t="s">
        <v>396</v>
      </c>
      <c r="K497" t="s">
        <v>335</v>
      </c>
      <c r="L497" s="7" t="str">
        <f t="shared" si="14"/>
        <v>No</v>
      </c>
      <c r="M497" s="16">
        <f t="shared" ca="1" si="15"/>
        <v>0</v>
      </c>
    </row>
    <row r="498" spans="1:13">
      <c r="A498" t="s">
        <v>886</v>
      </c>
      <c r="B498" t="s">
        <v>71</v>
      </c>
      <c r="C498" t="s">
        <v>392</v>
      </c>
      <c r="D498" t="s">
        <v>1258</v>
      </c>
      <c r="E498" s="4">
        <v>46061.916666666657</v>
      </c>
      <c r="F498">
        <v>24</v>
      </c>
      <c r="G498">
        <v>6.4</v>
      </c>
      <c r="H498">
        <v>79.5</v>
      </c>
      <c r="I498" t="s">
        <v>1259</v>
      </c>
      <c r="J498" t="s">
        <v>414</v>
      </c>
      <c r="K498" t="s">
        <v>335</v>
      </c>
      <c r="L498" s="7" t="str">
        <f t="shared" si="14"/>
        <v>Yes</v>
      </c>
      <c r="M498" s="16">
        <f t="shared" ca="1" si="15"/>
        <v>0</v>
      </c>
    </row>
    <row r="499" spans="1:13">
      <c r="A499" t="s">
        <v>1110</v>
      </c>
      <c r="B499" t="s">
        <v>69</v>
      </c>
      <c r="C499" t="s">
        <v>384</v>
      </c>
      <c r="D499" t="s">
        <v>1262</v>
      </c>
      <c r="E499" s="4">
        <v>45870.458333333343</v>
      </c>
      <c r="F499">
        <v>72</v>
      </c>
      <c r="G499">
        <v>6.3</v>
      </c>
      <c r="H499">
        <v>1.7</v>
      </c>
      <c r="I499" t="s">
        <v>1259</v>
      </c>
      <c r="J499" t="s">
        <v>396</v>
      </c>
      <c r="K499" t="s">
        <v>328</v>
      </c>
      <c r="L499" s="7" t="str">
        <f t="shared" si="14"/>
        <v>No</v>
      </c>
      <c r="M499" s="16">
        <f t="shared" ca="1" si="15"/>
        <v>0</v>
      </c>
    </row>
    <row r="500" spans="1:13">
      <c r="A500" t="s">
        <v>1505</v>
      </c>
      <c r="B500" t="s">
        <v>82</v>
      </c>
      <c r="C500" t="s">
        <v>467</v>
      </c>
      <c r="D500" t="s">
        <v>1262</v>
      </c>
      <c r="E500" s="4">
        <v>45959.541666666657</v>
      </c>
      <c r="F500">
        <v>72</v>
      </c>
      <c r="G500">
        <v>2.7</v>
      </c>
      <c r="H500">
        <v>25.5</v>
      </c>
      <c r="I500" t="s">
        <v>1259</v>
      </c>
      <c r="J500" t="s">
        <v>400</v>
      </c>
      <c r="K500" t="s">
        <v>335</v>
      </c>
      <c r="L500" s="7" t="str">
        <f t="shared" si="14"/>
        <v>No</v>
      </c>
      <c r="M500" s="16">
        <f t="shared" ca="1" si="15"/>
        <v>0</v>
      </c>
    </row>
    <row r="501" spans="1:13">
      <c r="A501" t="s">
        <v>1506</v>
      </c>
      <c r="B501" t="s">
        <v>76</v>
      </c>
      <c r="C501" t="s">
        <v>377</v>
      </c>
      <c r="D501" t="s">
        <v>1262</v>
      </c>
      <c r="E501" s="4">
        <v>46082.166666666657</v>
      </c>
      <c r="F501">
        <v>8</v>
      </c>
      <c r="G501">
        <v>3.7</v>
      </c>
      <c r="H501">
        <v>65</v>
      </c>
      <c r="I501" t="s">
        <v>1259</v>
      </c>
      <c r="J501" t="s">
        <v>400</v>
      </c>
      <c r="K501" t="s">
        <v>328</v>
      </c>
      <c r="L501" s="7" t="str">
        <f t="shared" si="14"/>
        <v>Yes</v>
      </c>
      <c r="M501" s="16">
        <f t="shared" ca="1" si="15"/>
        <v>0</v>
      </c>
    </row>
    <row r="502" spans="1:13">
      <c r="A502" t="s">
        <v>494</v>
      </c>
      <c r="B502" t="s">
        <v>225</v>
      </c>
      <c r="C502" t="s">
        <v>392</v>
      </c>
      <c r="D502" t="s">
        <v>1261</v>
      </c>
      <c r="E502" s="4">
        <v>45844.083333333343</v>
      </c>
      <c r="F502">
        <v>4</v>
      </c>
      <c r="G502">
        <v>1.1000000000000001</v>
      </c>
      <c r="H502">
        <v>119.3</v>
      </c>
      <c r="I502" t="s">
        <v>1259</v>
      </c>
      <c r="J502" t="s">
        <v>403</v>
      </c>
      <c r="K502" t="s">
        <v>328</v>
      </c>
      <c r="L502" s="7" t="str">
        <f t="shared" si="14"/>
        <v>Yes</v>
      </c>
      <c r="M502" s="16">
        <f t="shared" ca="1" si="15"/>
        <v>0</v>
      </c>
    </row>
    <row r="503" spans="1:13">
      <c r="A503" t="s">
        <v>844</v>
      </c>
      <c r="B503" t="s">
        <v>16</v>
      </c>
      <c r="C503" t="s">
        <v>392</v>
      </c>
      <c r="D503" t="s">
        <v>1262</v>
      </c>
      <c r="E503" s="4">
        <v>46072.916666666657</v>
      </c>
      <c r="F503">
        <v>72</v>
      </c>
      <c r="G503">
        <v>6.1</v>
      </c>
      <c r="H503">
        <v>48.5</v>
      </c>
      <c r="I503" t="s">
        <v>1259</v>
      </c>
      <c r="J503" t="s">
        <v>400</v>
      </c>
      <c r="K503" t="s">
        <v>323</v>
      </c>
      <c r="L503" s="7" t="str">
        <f t="shared" si="14"/>
        <v>No</v>
      </c>
      <c r="M503" s="16">
        <f t="shared" ca="1" si="15"/>
        <v>0</v>
      </c>
    </row>
    <row r="504" spans="1:13">
      <c r="A504" t="s">
        <v>1507</v>
      </c>
      <c r="B504" t="s">
        <v>211</v>
      </c>
      <c r="C504" t="s">
        <v>365</v>
      </c>
      <c r="D504" t="s">
        <v>1258</v>
      </c>
      <c r="E504" s="4">
        <v>45954.208333333343</v>
      </c>
      <c r="F504">
        <v>48</v>
      </c>
      <c r="G504">
        <v>4</v>
      </c>
      <c r="H504">
        <v>78.900000000000006</v>
      </c>
      <c r="I504" t="s">
        <v>1259</v>
      </c>
      <c r="J504" t="s">
        <v>366</v>
      </c>
      <c r="K504" t="s">
        <v>323</v>
      </c>
      <c r="L504" s="7" t="str">
        <f t="shared" si="14"/>
        <v>Yes</v>
      </c>
      <c r="M504" s="16">
        <f t="shared" ca="1" si="15"/>
        <v>0</v>
      </c>
    </row>
    <row r="505" spans="1:13">
      <c r="A505" t="s">
        <v>1508</v>
      </c>
      <c r="B505" t="s">
        <v>25</v>
      </c>
      <c r="C505" t="s">
        <v>467</v>
      </c>
      <c r="D505" t="s">
        <v>1258</v>
      </c>
      <c r="E505" s="4">
        <v>46118.75</v>
      </c>
      <c r="F505">
        <v>24</v>
      </c>
      <c r="G505">
        <v>0.4</v>
      </c>
      <c r="H505">
        <v>7.8</v>
      </c>
      <c r="I505" t="s">
        <v>1259</v>
      </c>
      <c r="J505" t="s">
        <v>396</v>
      </c>
      <c r="K505" t="s">
        <v>328</v>
      </c>
      <c r="L505" s="7" t="str">
        <f t="shared" si="14"/>
        <v>No</v>
      </c>
      <c r="M505" s="16">
        <f t="shared" ca="1" si="15"/>
        <v>0</v>
      </c>
    </row>
    <row r="506" spans="1:13">
      <c r="A506" t="s">
        <v>449</v>
      </c>
      <c r="B506" t="s">
        <v>163</v>
      </c>
      <c r="C506" t="s">
        <v>365</v>
      </c>
      <c r="D506" t="s">
        <v>1266</v>
      </c>
      <c r="E506" s="4">
        <v>45879.166666666657</v>
      </c>
      <c r="F506">
        <v>72</v>
      </c>
      <c r="G506">
        <v>6.4</v>
      </c>
      <c r="H506">
        <v>75.599999999999994</v>
      </c>
      <c r="I506" t="s">
        <v>1259</v>
      </c>
      <c r="J506" t="s">
        <v>440</v>
      </c>
      <c r="K506" t="s">
        <v>323</v>
      </c>
      <c r="L506" s="7" t="str">
        <f t="shared" si="14"/>
        <v>Yes</v>
      </c>
      <c r="M506" s="16">
        <f t="shared" ca="1" si="15"/>
        <v>0</v>
      </c>
    </row>
    <row r="507" spans="1:13">
      <c r="A507" t="s">
        <v>737</v>
      </c>
      <c r="B507" t="s">
        <v>105</v>
      </c>
      <c r="C507" t="s">
        <v>476</v>
      </c>
      <c r="D507" t="s">
        <v>1262</v>
      </c>
      <c r="E507" s="4">
        <v>45884.291666666657</v>
      </c>
      <c r="F507">
        <v>48</v>
      </c>
      <c r="G507">
        <v>4.2</v>
      </c>
      <c r="H507">
        <v>51.5</v>
      </c>
      <c r="I507" t="s">
        <v>1259</v>
      </c>
      <c r="J507" t="s">
        <v>378</v>
      </c>
      <c r="K507" t="s">
        <v>323</v>
      </c>
      <c r="L507" s="7" t="str">
        <f t="shared" si="14"/>
        <v>Yes</v>
      </c>
      <c r="M507" s="16">
        <f t="shared" ca="1" si="15"/>
        <v>0</v>
      </c>
    </row>
    <row r="508" spans="1:13">
      <c r="A508" t="s">
        <v>1509</v>
      </c>
      <c r="B508" t="s">
        <v>76</v>
      </c>
      <c r="C508" t="s">
        <v>443</v>
      </c>
      <c r="D508" t="s">
        <v>1258</v>
      </c>
      <c r="E508" s="4">
        <v>45866.416666666657</v>
      </c>
      <c r="F508">
        <v>72</v>
      </c>
      <c r="G508">
        <v>5.0999999999999996</v>
      </c>
      <c r="H508">
        <v>64.5</v>
      </c>
      <c r="I508" t="s">
        <v>1259</v>
      </c>
      <c r="J508" t="s">
        <v>440</v>
      </c>
      <c r="K508" t="s">
        <v>323</v>
      </c>
      <c r="L508" s="7" t="str">
        <f t="shared" si="14"/>
        <v>No</v>
      </c>
      <c r="M508" s="16">
        <f t="shared" ca="1" si="15"/>
        <v>0</v>
      </c>
    </row>
    <row r="509" spans="1:13">
      <c r="A509" t="s">
        <v>1510</v>
      </c>
      <c r="B509" t="s">
        <v>298</v>
      </c>
      <c r="C509" t="s">
        <v>417</v>
      </c>
      <c r="D509" t="s">
        <v>1258</v>
      </c>
      <c r="E509" s="4">
        <v>45989.375</v>
      </c>
      <c r="F509">
        <v>8</v>
      </c>
      <c r="G509">
        <v>0.4</v>
      </c>
      <c r="H509">
        <v>124.2</v>
      </c>
      <c r="I509" t="s">
        <v>1259</v>
      </c>
      <c r="J509" t="s">
        <v>370</v>
      </c>
      <c r="K509" t="s">
        <v>323</v>
      </c>
      <c r="L509" s="7" t="str">
        <f t="shared" si="14"/>
        <v>Yes</v>
      </c>
      <c r="M509" s="16">
        <f t="shared" ca="1" si="15"/>
        <v>0</v>
      </c>
    </row>
    <row r="510" spans="1:13">
      <c r="A510" t="s">
        <v>1511</v>
      </c>
      <c r="B510" t="s">
        <v>23</v>
      </c>
      <c r="C510" t="s">
        <v>373</v>
      </c>
      <c r="D510" t="s">
        <v>1262</v>
      </c>
      <c r="E510" s="4">
        <v>46135.208333333343</v>
      </c>
      <c r="F510">
        <v>72</v>
      </c>
      <c r="G510">
        <v>0.5</v>
      </c>
      <c r="H510">
        <v>76.099999999999994</v>
      </c>
      <c r="I510" t="s">
        <v>1259</v>
      </c>
      <c r="J510" t="s">
        <v>374</v>
      </c>
      <c r="K510" t="s">
        <v>328</v>
      </c>
      <c r="L510" s="7" t="str">
        <f t="shared" si="14"/>
        <v>Yes</v>
      </c>
      <c r="M510" s="16">
        <f t="shared" ca="1" si="15"/>
        <v>0</v>
      </c>
    </row>
    <row r="511" spans="1:13">
      <c r="A511" t="s">
        <v>1512</v>
      </c>
      <c r="B511" t="s">
        <v>225</v>
      </c>
      <c r="C511" t="s">
        <v>365</v>
      </c>
      <c r="D511" t="s">
        <v>1261</v>
      </c>
      <c r="E511" s="4">
        <v>46097.083333333343</v>
      </c>
      <c r="F511">
        <v>24</v>
      </c>
      <c r="G511">
        <v>1.8</v>
      </c>
      <c r="H511">
        <v>83.8</v>
      </c>
      <c r="I511" t="s">
        <v>331</v>
      </c>
      <c r="J511" t="s">
        <v>393</v>
      </c>
      <c r="K511" t="s">
        <v>328</v>
      </c>
      <c r="L511" s="7" t="str">
        <f t="shared" si="14"/>
        <v>Yes</v>
      </c>
      <c r="M511" s="16">
        <f t="shared" ca="1" si="15"/>
        <v>52.916666666656965</v>
      </c>
    </row>
    <row r="512" spans="1:13">
      <c r="A512" t="s">
        <v>1513</v>
      </c>
      <c r="B512" t="s">
        <v>228</v>
      </c>
      <c r="C512" t="s">
        <v>399</v>
      </c>
      <c r="D512" t="s">
        <v>1262</v>
      </c>
      <c r="E512" s="4">
        <v>46141.958333333343</v>
      </c>
      <c r="F512">
        <v>8</v>
      </c>
      <c r="G512">
        <v>4.4000000000000004</v>
      </c>
      <c r="H512">
        <v>29.4</v>
      </c>
      <c r="I512" t="s">
        <v>331</v>
      </c>
      <c r="J512" t="s">
        <v>370</v>
      </c>
      <c r="K512" t="s">
        <v>328</v>
      </c>
      <c r="L512" s="7" t="str">
        <f t="shared" si="14"/>
        <v>Yes</v>
      </c>
      <c r="M512" s="16">
        <f t="shared" ca="1" si="15"/>
        <v>8.0416666666569654</v>
      </c>
    </row>
    <row r="513" spans="1:13">
      <c r="A513" t="s">
        <v>1514</v>
      </c>
      <c r="B513" t="s">
        <v>194</v>
      </c>
      <c r="C513" t="s">
        <v>384</v>
      </c>
      <c r="D513" t="s">
        <v>1262</v>
      </c>
      <c r="E513" s="4">
        <v>45855.416666666657</v>
      </c>
      <c r="F513">
        <v>4</v>
      </c>
      <c r="G513">
        <v>6.3</v>
      </c>
      <c r="H513">
        <v>46.4</v>
      </c>
      <c r="I513" t="s">
        <v>1259</v>
      </c>
      <c r="J513" t="s">
        <v>440</v>
      </c>
      <c r="K513" t="s">
        <v>335</v>
      </c>
      <c r="L513" s="7" t="str">
        <f t="shared" si="14"/>
        <v>Yes</v>
      </c>
      <c r="M513" s="16">
        <f t="shared" ca="1" si="15"/>
        <v>0</v>
      </c>
    </row>
    <row r="514" spans="1:13">
      <c r="A514" t="s">
        <v>841</v>
      </c>
      <c r="B514" t="s">
        <v>269</v>
      </c>
      <c r="C514" t="s">
        <v>369</v>
      </c>
      <c r="D514" t="s">
        <v>1261</v>
      </c>
      <c r="E514" s="4">
        <v>46064.958333333343</v>
      </c>
      <c r="F514">
        <v>8</v>
      </c>
      <c r="G514">
        <v>1.5</v>
      </c>
      <c r="H514">
        <v>99.4</v>
      </c>
      <c r="I514" t="s">
        <v>1259</v>
      </c>
      <c r="J514" t="s">
        <v>378</v>
      </c>
      <c r="K514" t="s">
        <v>335</v>
      </c>
      <c r="L514" s="7" t="str">
        <f t="shared" ref="L514:L577" si="16">IF(H514&gt;F514,"Yes","No")</f>
        <v>Yes</v>
      </c>
      <c r="M514" s="16">
        <f t="shared" ref="M514:M577" ca="1" si="17">IF(I514="Closed",0,TODAY()-E514)</f>
        <v>0</v>
      </c>
    </row>
    <row r="515" spans="1:13">
      <c r="A515" t="s">
        <v>1515</v>
      </c>
      <c r="B515" t="s">
        <v>124</v>
      </c>
      <c r="C515" t="s">
        <v>399</v>
      </c>
      <c r="D515" t="s">
        <v>1261</v>
      </c>
      <c r="E515" s="4">
        <v>46076.5</v>
      </c>
      <c r="F515">
        <v>48</v>
      </c>
      <c r="G515">
        <v>2.1</v>
      </c>
      <c r="H515">
        <v>101</v>
      </c>
      <c r="I515" t="s">
        <v>1259</v>
      </c>
      <c r="J515" t="s">
        <v>414</v>
      </c>
      <c r="K515" t="s">
        <v>328</v>
      </c>
      <c r="L515" s="7" t="str">
        <f t="shared" si="16"/>
        <v>Yes</v>
      </c>
      <c r="M515" s="16">
        <f t="shared" ca="1" si="17"/>
        <v>0</v>
      </c>
    </row>
    <row r="516" spans="1:13">
      <c r="A516" t="s">
        <v>716</v>
      </c>
      <c r="B516" t="s">
        <v>67</v>
      </c>
      <c r="C516" t="s">
        <v>392</v>
      </c>
      <c r="D516" t="s">
        <v>1262</v>
      </c>
      <c r="E516" s="4">
        <v>46081.333333333343</v>
      </c>
      <c r="F516">
        <v>8</v>
      </c>
      <c r="G516">
        <v>3.5</v>
      </c>
      <c r="H516">
        <v>34.299999999999997</v>
      </c>
      <c r="I516" t="s">
        <v>331</v>
      </c>
      <c r="J516" t="s">
        <v>440</v>
      </c>
      <c r="K516" t="s">
        <v>335</v>
      </c>
      <c r="L516" s="7" t="str">
        <f t="shared" si="16"/>
        <v>Yes</v>
      </c>
      <c r="M516" s="16">
        <f t="shared" ca="1" si="17"/>
        <v>68.666666666656965</v>
      </c>
    </row>
    <row r="517" spans="1:13">
      <c r="A517" t="s">
        <v>800</v>
      </c>
      <c r="B517" t="s">
        <v>185</v>
      </c>
      <c r="C517" t="s">
        <v>417</v>
      </c>
      <c r="D517" t="s">
        <v>1266</v>
      </c>
      <c r="E517" s="4">
        <v>45860.125</v>
      </c>
      <c r="F517">
        <v>72</v>
      </c>
      <c r="G517">
        <v>4.2</v>
      </c>
      <c r="H517">
        <v>73.5</v>
      </c>
      <c r="I517" t="s">
        <v>1259</v>
      </c>
      <c r="J517" t="s">
        <v>378</v>
      </c>
      <c r="K517" t="s">
        <v>335</v>
      </c>
      <c r="L517" s="7" t="str">
        <f t="shared" si="16"/>
        <v>Yes</v>
      </c>
      <c r="M517" s="16">
        <f t="shared" ca="1" si="17"/>
        <v>0</v>
      </c>
    </row>
    <row r="518" spans="1:13">
      <c r="A518" t="s">
        <v>482</v>
      </c>
      <c r="B518" t="s">
        <v>11</v>
      </c>
      <c r="C518" t="s">
        <v>467</v>
      </c>
      <c r="D518" t="s">
        <v>1261</v>
      </c>
      <c r="E518" s="4">
        <v>45889.333333333343</v>
      </c>
      <c r="F518">
        <v>72</v>
      </c>
      <c r="G518">
        <v>2.7</v>
      </c>
      <c r="H518">
        <v>104.5</v>
      </c>
      <c r="I518" t="s">
        <v>1259</v>
      </c>
      <c r="J518" t="s">
        <v>370</v>
      </c>
      <c r="K518" t="s">
        <v>323</v>
      </c>
      <c r="L518" s="7" t="str">
        <f t="shared" si="16"/>
        <v>Yes</v>
      </c>
      <c r="M518" s="16">
        <f t="shared" ca="1" si="17"/>
        <v>0</v>
      </c>
    </row>
    <row r="519" spans="1:13">
      <c r="A519" t="s">
        <v>831</v>
      </c>
      <c r="B519" t="s">
        <v>168</v>
      </c>
      <c r="C519" t="s">
        <v>377</v>
      </c>
      <c r="D519" t="s">
        <v>1258</v>
      </c>
      <c r="E519" s="4">
        <v>45931.416666666657</v>
      </c>
      <c r="F519">
        <v>72</v>
      </c>
      <c r="G519">
        <v>0.3</v>
      </c>
      <c r="H519">
        <v>3.9</v>
      </c>
      <c r="I519" t="s">
        <v>1265</v>
      </c>
      <c r="J519" t="s">
        <v>400</v>
      </c>
      <c r="K519" t="s">
        <v>328</v>
      </c>
      <c r="L519" s="7" t="str">
        <f t="shared" si="16"/>
        <v>No</v>
      </c>
      <c r="M519" s="16">
        <f t="shared" ca="1" si="17"/>
        <v>218.58333333334303</v>
      </c>
    </row>
    <row r="520" spans="1:13">
      <c r="A520" t="s">
        <v>1516</v>
      </c>
      <c r="B520" t="s">
        <v>84</v>
      </c>
      <c r="C520" t="s">
        <v>399</v>
      </c>
      <c r="D520" t="s">
        <v>1262</v>
      </c>
      <c r="E520" s="4">
        <v>46018.291666666657</v>
      </c>
      <c r="F520">
        <v>24</v>
      </c>
      <c r="G520">
        <v>1.8</v>
      </c>
      <c r="H520">
        <v>4.2</v>
      </c>
      <c r="I520" t="s">
        <v>1259</v>
      </c>
      <c r="J520" t="s">
        <v>387</v>
      </c>
      <c r="K520" t="s">
        <v>323</v>
      </c>
      <c r="L520" s="7" t="str">
        <f t="shared" si="16"/>
        <v>No</v>
      </c>
      <c r="M520" s="16">
        <f t="shared" ca="1" si="17"/>
        <v>0</v>
      </c>
    </row>
    <row r="521" spans="1:13">
      <c r="A521" t="s">
        <v>1517</v>
      </c>
      <c r="B521" t="s">
        <v>249</v>
      </c>
      <c r="C521" t="s">
        <v>377</v>
      </c>
      <c r="D521" t="s">
        <v>1266</v>
      </c>
      <c r="E521" s="4">
        <v>45901.916666666657</v>
      </c>
      <c r="F521">
        <v>4</v>
      </c>
      <c r="G521">
        <v>0.7</v>
      </c>
      <c r="H521">
        <v>47.1</v>
      </c>
      <c r="I521" t="s">
        <v>1259</v>
      </c>
      <c r="J521" t="s">
        <v>378</v>
      </c>
      <c r="K521" t="s">
        <v>323</v>
      </c>
      <c r="L521" s="7" t="str">
        <f t="shared" si="16"/>
        <v>Yes</v>
      </c>
      <c r="M521" s="16">
        <f t="shared" ca="1" si="17"/>
        <v>0</v>
      </c>
    </row>
    <row r="522" spans="1:13">
      <c r="A522" t="s">
        <v>628</v>
      </c>
      <c r="B522" t="s">
        <v>183</v>
      </c>
      <c r="C522" t="s">
        <v>384</v>
      </c>
      <c r="D522" t="s">
        <v>1262</v>
      </c>
      <c r="E522" s="4">
        <v>45933.333333333343</v>
      </c>
      <c r="F522">
        <v>24</v>
      </c>
      <c r="G522">
        <v>3.1</v>
      </c>
      <c r="H522">
        <v>72</v>
      </c>
      <c r="I522" t="s">
        <v>1259</v>
      </c>
      <c r="J522" t="s">
        <v>393</v>
      </c>
      <c r="K522" t="s">
        <v>335</v>
      </c>
      <c r="L522" s="7" t="str">
        <f t="shared" si="16"/>
        <v>Yes</v>
      </c>
      <c r="M522" s="16">
        <f t="shared" ca="1" si="17"/>
        <v>0</v>
      </c>
    </row>
    <row r="523" spans="1:13">
      <c r="A523" t="s">
        <v>634</v>
      </c>
      <c r="B523" t="s">
        <v>27</v>
      </c>
      <c r="C523" t="s">
        <v>392</v>
      </c>
      <c r="D523" t="s">
        <v>1262</v>
      </c>
      <c r="E523" s="4">
        <v>46004.333333333343</v>
      </c>
      <c r="F523">
        <v>8</v>
      </c>
      <c r="G523">
        <v>5.0999999999999996</v>
      </c>
      <c r="H523">
        <v>22.5</v>
      </c>
      <c r="I523" t="s">
        <v>1265</v>
      </c>
      <c r="J523" t="s">
        <v>400</v>
      </c>
      <c r="K523" t="s">
        <v>335</v>
      </c>
      <c r="L523" s="7" t="str">
        <f t="shared" si="16"/>
        <v>Yes</v>
      </c>
      <c r="M523" s="16">
        <f t="shared" ca="1" si="17"/>
        <v>145.66666666665697</v>
      </c>
    </row>
    <row r="524" spans="1:13">
      <c r="A524" t="s">
        <v>1518</v>
      </c>
      <c r="B524" t="s">
        <v>43</v>
      </c>
      <c r="C524" t="s">
        <v>467</v>
      </c>
      <c r="D524" t="s">
        <v>1266</v>
      </c>
      <c r="E524" s="4">
        <v>45974.208333333343</v>
      </c>
      <c r="F524">
        <v>48</v>
      </c>
      <c r="G524">
        <v>0.6</v>
      </c>
      <c r="H524">
        <v>75.3</v>
      </c>
      <c r="I524" t="s">
        <v>331</v>
      </c>
      <c r="J524" t="s">
        <v>400</v>
      </c>
      <c r="K524" t="s">
        <v>328</v>
      </c>
      <c r="L524" s="7" t="str">
        <f t="shared" si="16"/>
        <v>Yes</v>
      </c>
      <c r="M524" s="16">
        <f t="shared" ca="1" si="17"/>
        <v>175.79166666665697</v>
      </c>
    </row>
    <row r="525" spans="1:13">
      <c r="A525" t="s">
        <v>1112</v>
      </c>
      <c r="B525" t="s">
        <v>34</v>
      </c>
      <c r="C525" t="s">
        <v>365</v>
      </c>
      <c r="D525" t="s">
        <v>1261</v>
      </c>
      <c r="E525" s="4">
        <v>46115.541666666657</v>
      </c>
      <c r="F525">
        <v>8</v>
      </c>
      <c r="G525">
        <v>4.0999999999999996</v>
      </c>
      <c r="H525">
        <v>16.8</v>
      </c>
      <c r="I525" t="s">
        <v>1259</v>
      </c>
      <c r="J525" t="s">
        <v>393</v>
      </c>
      <c r="K525" t="s">
        <v>328</v>
      </c>
      <c r="L525" s="7" t="str">
        <f t="shared" si="16"/>
        <v>Yes</v>
      </c>
      <c r="M525" s="16">
        <f t="shared" ca="1" si="17"/>
        <v>0</v>
      </c>
    </row>
    <row r="526" spans="1:13">
      <c r="A526" t="s">
        <v>1519</v>
      </c>
      <c r="B526" t="s">
        <v>57</v>
      </c>
      <c r="C526" t="s">
        <v>399</v>
      </c>
      <c r="D526" t="s">
        <v>1261</v>
      </c>
      <c r="E526" s="4">
        <v>45967.583333333343</v>
      </c>
      <c r="F526">
        <v>4</v>
      </c>
      <c r="G526">
        <v>5.8</v>
      </c>
      <c r="H526">
        <v>22.4</v>
      </c>
      <c r="I526" t="s">
        <v>1259</v>
      </c>
      <c r="J526" t="s">
        <v>387</v>
      </c>
      <c r="K526" t="s">
        <v>323</v>
      </c>
      <c r="L526" s="7" t="str">
        <f t="shared" si="16"/>
        <v>Yes</v>
      </c>
      <c r="M526" s="16">
        <f t="shared" ca="1" si="17"/>
        <v>0</v>
      </c>
    </row>
    <row r="527" spans="1:13">
      <c r="A527" t="s">
        <v>1050</v>
      </c>
      <c r="B527" t="s">
        <v>159</v>
      </c>
      <c r="C527" t="s">
        <v>467</v>
      </c>
      <c r="D527" t="s">
        <v>1261</v>
      </c>
      <c r="E527" s="4">
        <v>46007.5</v>
      </c>
      <c r="F527">
        <v>72</v>
      </c>
      <c r="G527">
        <v>0.2</v>
      </c>
      <c r="H527">
        <v>95.9</v>
      </c>
      <c r="I527" t="s">
        <v>1259</v>
      </c>
      <c r="J527" t="s">
        <v>440</v>
      </c>
      <c r="K527" t="s">
        <v>335</v>
      </c>
      <c r="L527" s="7" t="str">
        <f t="shared" si="16"/>
        <v>Yes</v>
      </c>
      <c r="M527" s="16">
        <f t="shared" ca="1" si="17"/>
        <v>0</v>
      </c>
    </row>
    <row r="528" spans="1:13">
      <c r="A528" t="s">
        <v>1520</v>
      </c>
      <c r="B528" t="s">
        <v>110</v>
      </c>
      <c r="C528" t="s">
        <v>381</v>
      </c>
      <c r="D528" t="s">
        <v>1262</v>
      </c>
      <c r="E528" s="4">
        <v>45874.708333333343</v>
      </c>
      <c r="F528">
        <v>8</v>
      </c>
      <c r="G528">
        <v>0.2</v>
      </c>
      <c r="H528">
        <v>73.400000000000006</v>
      </c>
      <c r="I528" t="s">
        <v>1259</v>
      </c>
      <c r="J528" t="s">
        <v>440</v>
      </c>
      <c r="K528" t="s">
        <v>328</v>
      </c>
      <c r="L528" s="7" t="str">
        <f t="shared" si="16"/>
        <v>Yes</v>
      </c>
      <c r="M528" s="16">
        <f t="shared" ca="1" si="17"/>
        <v>0</v>
      </c>
    </row>
    <row r="529" spans="1:13">
      <c r="A529" t="s">
        <v>1521</v>
      </c>
      <c r="B529" t="s">
        <v>71</v>
      </c>
      <c r="C529" t="s">
        <v>476</v>
      </c>
      <c r="D529" t="s">
        <v>1266</v>
      </c>
      <c r="E529" s="4">
        <v>46022.416666666657</v>
      </c>
      <c r="F529">
        <v>24</v>
      </c>
      <c r="G529">
        <v>2.7</v>
      </c>
      <c r="H529">
        <v>49.1</v>
      </c>
      <c r="I529" t="s">
        <v>1263</v>
      </c>
      <c r="J529" t="s">
        <v>456</v>
      </c>
      <c r="K529" t="s">
        <v>335</v>
      </c>
      <c r="L529" s="7" t="str">
        <f t="shared" si="16"/>
        <v>Yes</v>
      </c>
      <c r="M529" s="16">
        <f t="shared" ca="1" si="17"/>
        <v>127.58333333334303</v>
      </c>
    </row>
    <row r="530" spans="1:13">
      <c r="A530" t="s">
        <v>1522</v>
      </c>
      <c r="B530" t="s">
        <v>59</v>
      </c>
      <c r="C530" t="s">
        <v>417</v>
      </c>
      <c r="D530" t="s">
        <v>1261</v>
      </c>
      <c r="E530" s="4">
        <v>46074.375</v>
      </c>
      <c r="F530">
        <v>8</v>
      </c>
      <c r="G530">
        <v>1.3</v>
      </c>
      <c r="H530">
        <v>8</v>
      </c>
      <c r="I530" t="s">
        <v>1259</v>
      </c>
      <c r="J530" t="s">
        <v>366</v>
      </c>
      <c r="K530" t="s">
        <v>335</v>
      </c>
      <c r="L530" s="7" t="str">
        <f t="shared" si="16"/>
        <v>No</v>
      </c>
      <c r="M530" s="16">
        <f t="shared" ca="1" si="17"/>
        <v>0</v>
      </c>
    </row>
    <row r="531" spans="1:13">
      <c r="A531" t="s">
        <v>1523</v>
      </c>
      <c r="B531" t="s">
        <v>232</v>
      </c>
      <c r="C531" t="s">
        <v>369</v>
      </c>
      <c r="D531" t="s">
        <v>1262</v>
      </c>
      <c r="E531" s="4">
        <v>46022.625</v>
      </c>
      <c r="F531">
        <v>4</v>
      </c>
      <c r="G531">
        <v>5.8</v>
      </c>
      <c r="H531">
        <v>34.5</v>
      </c>
      <c r="I531" t="s">
        <v>331</v>
      </c>
      <c r="J531" t="s">
        <v>387</v>
      </c>
      <c r="K531" t="s">
        <v>328</v>
      </c>
      <c r="L531" s="7" t="str">
        <f t="shared" si="16"/>
        <v>Yes</v>
      </c>
      <c r="M531" s="16">
        <f t="shared" ca="1" si="17"/>
        <v>127.375</v>
      </c>
    </row>
    <row r="532" spans="1:13">
      <c r="A532" t="s">
        <v>1524</v>
      </c>
      <c r="B532" t="s">
        <v>94</v>
      </c>
      <c r="C532" t="s">
        <v>381</v>
      </c>
      <c r="D532" t="s">
        <v>1266</v>
      </c>
      <c r="E532" s="4">
        <v>45961.625</v>
      </c>
      <c r="F532">
        <v>48</v>
      </c>
      <c r="G532">
        <v>0.6</v>
      </c>
      <c r="H532">
        <v>42.2</v>
      </c>
      <c r="I532" t="s">
        <v>1259</v>
      </c>
      <c r="J532" t="s">
        <v>414</v>
      </c>
      <c r="K532" t="s">
        <v>335</v>
      </c>
      <c r="L532" s="7" t="str">
        <f t="shared" si="16"/>
        <v>No</v>
      </c>
      <c r="M532" s="16">
        <f t="shared" ca="1" si="17"/>
        <v>0</v>
      </c>
    </row>
    <row r="533" spans="1:13">
      <c r="A533" t="s">
        <v>647</v>
      </c>
      <c r="B533" t="s">
        <v>116</v>
      </c>
      <c r="C533" t="s">
        <v>373</v>
      </c>
      <c r="D533" t="s">
        <v>1258</v>
      </c>
      <c r="E533" s="4">
        <v>46011.958333333343</v>
      </c>
      <c r="F533">
        <v>4</v>
      </c>
      <c r="G533">
        <v>2.8</v>
      </c>
      <c r="H533">
        <v>30.7</v>
      </c>
      <c r="I533" t="s">
        <v>1259</v>
      </c>
      <c r="J533" t="s">
        <v>414</v>
      </c>
      <c r="K533" t="s">
        <v>335</v>
      </c>
      <c r="L533" s="7" t="str">
        <f t="shared" si="16"/>
        <v>Yes</v>
      </c>
      <c r="M533" s="16">
        <f t="shared" ca="1" si="17"/>
        <v>0</v>
      </c>
    </row>
    <row r="534" spans="1:13">
      <c r="A534" t="s">
        <v>917</v>
      </c>
      <c r="B534" t="s">
        <v>185</v>
      </c>
      <c r="C534" t="s">
        <v>476</v>
      </c>
      <c r="D534" t="s">
        <v>1261</v>
      </c>
      <c r="E534" s="4">
        <v>46135.291666666657</v>
      </c>
      <c r="F534">
        <v>4</v>
      </c>
      <c r="G534">
        <v>0.4</v>
      </c>
      <c r="H534">
        <v>21.4</v>
      </c>
      <c r="I534" t="s">
        <v>1259</v>
      </c>
      <c r="J534" t="s">
        <v>440</v>
      </c>
      <c r="K534" t="s">
        <v>323</v>
      </c>
      <c r="L534" s="7" t="str">
        <f t="shared" si="16"/>
        <v>Yes</v>
      </c>
      <c r="M534" s="16">
        <f t="shared" ca="1" si="17"/>
        <v>0</v>
      </c>
    </row>
    <row r="535" spans="1:13">
      <c r="A535" t="s">
        <v>1525</v>
      </c>
      <c r="B535" t="s">
        <v>273</v>
      </c>
      <c r="C535" t="s">
        <v>377</v>
      </c>
      <c r="D535" t="s">
        <v>1262</v>
      </c>
      <c r="E535" s="4">
        <v>45905</v>
      </c>
      <c r="F535">
        <v>8</v>
      </c>
      <c r="G535">
        <v>4.2</v>
      </c>
      <c r="H535">
        <v>69.599999999999994</v>
      </c>
      <c r="I535" t="s">
        <v>1259</v>
      </c>
      <c r="J535" t="s">
        <v>456</v>
      </c>
      <c r="K535" t="s">
        <v>335</v>
      </c>
      <c r="L535" s="7" t="str">
        <f t="shared" si="16"/>
        <v>Yes</v>
      </c>
      <c r="M535" s="16">
        <f t="shared" ca="1" si="17"/>
        <v>0</v>
      </c>
    </row>
    <row r="536" spans="1:13">
      <c r="A536" t="s">
        <v>421</v>
      </c>
      <c r="B536" t="s">
        <v>245</v>
      </c>
      <c r="C536" t="s">
        <v>384</v>
      </c>
      <c r="D536" t="s">
        <v>1262</v>
      </c>
      <c r="E536" s="4">
        <v>45871.125</v>
      </c>
      <c r="F536">
        <v>4</v>
      </c>
      <c r="G536">
        <v>3.3</v>
      </c>
      <c r="H536">
        <v>61.7</v>
      </c>
      <c r="I536" t="s">
        <v>331</v>
      </c>
      <c r="J536" t="s">
        <v>366</v>
      </c>
      <c r="K536" t="s">
        <v>335</v>
      </c>
      <c r="L536" s="7" t="str">
        <f t="shared" si="16"/>
        <v>Yes</v>
      </c>
      <c r="M536" s="16">
        <f t="shared" ca="1" si="17"/>
        <v>278.875</v>
      </c>
    </row>
    <row r="537" spans="1:13">
      <c r="A537" t="s">
        <v>380</v>
      </c>
      <c r="B537" t="s">
        <v>217</v>
      </c>
      <c r="C537" t="s">
        <v>381</v>
      </c>
      <c r="D537" t="s">
        <v>1262</v>
      </c>
      <c r="E537" s="4">
        <v>46005.125</v>
      </c>
      <c r="F537">
        <v>72</v>
      </c>
      <c r="G537">
        <v>3.6</v>
      </c>
      <c r="H537">
        <v>25.8</v>
      </c>
      <c r="I537" t="s">
        <v>1263</v>
      </c>
      <c r="J537" t="s">
        <v>366</v>
      </c>
      <c r="K537" t="s">
        <v>328</v>
      </c>
      <c r="L537" s="7" t="str">
        <f t="shared" si="16"/>
        <v>No</v>
      </c>
      <c r="M537" s="16">
        <f t="shared" ca="1" si="17"/>
        <v>144.875</v>
      </c>
    </row>
    <row r="538" spans="1:13">
      <c r="A538" t="s">
        <v>1526</v>
      </c>
      <c r="B538" t="s">
        <v>168</v>
      </c>
      <c r="C538" t="s">
        <v>384</v>
      </c>
      <c r="D538" t="s">
        <v>1258</v>
      </c>
      <c r="E538" s="4">
        <v>45900.333333333343</v>
      </c>
      <c r="F538">
        <v>8</v>
      </c>
      <c r="G538">
        <v>5</v>
      </c>
      <c r="H538">
        <v>24.9</v>
      </c>
      <c r="I538" t="s">
        <v>1259</v>
      </c>
      <c r="J538" t="s">
        <v>403</v>
      </c>
      <c r="K538" t="s">
        <v>335</v>
      </c>
      <c r="L538" s="7" t="str">
        <f t="shared" si="16"/>
        <v>Yes</v>
      </c>
      <c r="M538" s="16">
        <f t="shared" ca="1" si="17"/>
        <v>0</v>
      </c>
    </row>
    <row r="539" spans="1:13">
      <c r="A539" t="s">
        <v>1159</v>
      </c>
      <c r="B539" t="s">
        <v>186</v>
      </c>
      <c r="C539" t="s">
        <v>443</v>
      </c>
      <c r="D539" t="s">
        <v>1261</v>
      </c>
      <c r="E539" s="4">
        <v>45890.833333333343</v>
      </c>
      <c r="F539">
        <v>72</v>
      </c>
      <c r="G539">
        <v>2.6</v>
      </c>
      <c r="H539">
        <v>23.6</v>
      </c>
      <c r="I539" t="s">
        <v>1259</v>
      </c>
      <c r="J539" t="s">
        <v>456</v>
      </c>
      <c r="K539" t="s">
        <v>328</v>
      </c>
      <c r="L539" s="7" t="str">
        <f t="shared" si="16"/>
        <v>No</v>
      </c>
      <c r="M539" s="16">
        <f t="shared" ca="1" si="17"/>
        <v>0</v>
      </c>
    </row>
    <row r="540" spans="1:13">
      <c r="A540" t="s">
        <v>1527</v>
      </c>
      <c r="B540" t="s">
        <v>7</v>
      </c>
      <c r="C540" t="s">
        <v>384</v>
      </c>
      <c r="D540" t="s">
        <v>1266</v>
      </c>
      <c r="E540" s="4">
        <v>46142.375</v>
      </c>
      <c r="F540">
        <v>48</v>
      </c>
      <c r="G540">
        <v>4.5999999999999996</v>
      </c>
      <c r="H540">
        <v>61.2</v>
      </c>
      <c r="I540" t="s">
        <v>1259</v>
      </c>
      <c r="J540" t="s">
        <v>403</v>
      </c>
      <c r="K540" t="s">
        <v>328</v>
      </c>
      <c r="L540" s="7" t="str">
        <f t="shared" si="16"/>
        <v>Yes</v>
      </c>
      <c r="M540" s="16">
        <f t="shared" ca="1" si="17"/>
        <v>0</v>
      </c>
    </row>
    <row r="541" spans="1:13">
      <c r="A541" t="s">
        <v>1042</v>
      </c>
      <c r="B541" t="s">
        <v>74</v>
      </c>
      <c r="C541" t="s">
        <v>392</v>
      </c>
      <c r="D541" t="s">
        <v>1261</v>
      </c>
      <c r="E541" s="4">
        <v>46069.541666666657</v>
      </c>
      <c r="F541">
        <v>8</v>
      </c>
      <c r="G541">
        <v>6.1</v>
      </c>
      <c r="H541">
        <v>83.1</v>
      </c>
      <c r="I541" t="s">
        <v>1265</v>
      </c>
      <c r="J541" t="s">
        <v>403</v>
      </c>
      <c r="K541" t="s">
        <v>323</v>
      </c>
      <c r="L541" s="7" t="str">
        <f t="shared" si="16"/>
        <v>Yes</v>
      </c>
      <c r="M541" s="16">
        <f t="shared" ca="1" si="17"/>
        <v>80.458333333343035</v>
      </c>
    </row>
    <row r="542" spans="1:13">
      <c r="A542" t="s">
        <v>1071</v>
      </c>
      <c r="B542" t="s">
        <v>87</v>
      </c>
      <c r="C542" t="s">
        <v>443</v>
      </c>
      <c r="D542" t="s">
        <v>1266</v>
      </c>
      <c r="E542" s="4">
        <v>45993.458333333343</v>
      </c>
      <c r="F542">
        <v>48</v>
      </c>
      <c r="G542">
        <v>0.2</v>
      </c>
      <c r="H542">
        <v>19.3</v>
      </c>
      <c r="I542" t="s">
        <v>331</v>
      </c>
      <c r="J542" t="s">
        <v>414</v>
      </c>
      <c r="K542" t="s">
        <v>328</v>
      </c>
      <c r="L542" s="7" t="str">
        <f t="shared" si="16"/>
        <v>No</v>
      </c>
      <c r="M542" s="16">
        <f t="shared" ca="1" si="17"/>
        <v>156.54166666665697</v>
      </c>
    </row>
    <row r="543" spans="1:13">
      <c r="A543" t="s">
        <v>1528</v>
      </c>
      <c r="B543" t="s">
        <v>89</v>
      </c>
      <c r="C543" t="s">
        <v>417</v>
      </c>
      <c r="D543" t="s">
        <v>1262</v>
      </c>
      <c r="E543" s="4">
        <v>46115.666666666657</v>
      </c>
      <c r="F543">
        <v>8</v>
      </c>
      <c r="G543">
        <v>3.1</v>
      </c>
      <c r="H543">
        <v>48.7</v>
      </c>
      <c r="I543" t="s">
        <v>331</v>
      </c>
      <c r="J543" t="s">
        <v>387</v>
      </c>
      <c r="K543" t="s">
        <v>328</v>
      </c>
      <c r="L543" s="7" t="str">
        <f t="shared" si="16"/>
        <v>Yes</v>
      </c>
      <c r="M543" s="16">
        <f t="shared" ca="1" si="17"/>
        <v>34.333333333343035</v>
      </c>
    </row>
    <row r="544" spans="1:13">
      <c r="A544" t="s">
        <v>1529</v>
      </c>
      <c r="B544" t="s">
        <v>36</v>
      </c>
      <c r="C544" t="s">
        <v>384</v>
      </c>
      <c r="D544" t="s">
        <v>1262</v>
      </c>
      <c r="E544" s="4">
        <v>46081.625</v>
      </c>
      <c r="F544">
        <v>8</v>
      </c>
      <c r="G544">
        <v>1.2</v>
      </c>
      <c r="H544">
        <v>71</v>
      </c>
      <c r="I544" t="s">
        <v>1265</v>
      </c>
      <c r="J544" t="s">
        <v>396</v>
      </c>
      <c r="K544" t="s">
        <v>335</v>
      </c>
      <c r="L544" s="7" t="str">
        <f t="shared" si="16"/>
        <v>Yes</v>
      </c>
      <c r="M544" s="16">
        <f t="shared" ca="1" si="17"/>
        <v>68.375</v>
      </c>
    </row>
    <row r="545" spans="1:13">
      <c r="A545" t="s">
        <v>1216</v>
      </c>
      <c r="B545" t="s">
        <v>192</v>
      </c>
      <c r="C545" t="s">
        <v>369</v>
      </c>
      <c r="D545" t="s">
        <v>1261</v>
      </c>
      <c r="E545" s="4">
        <v>46071.041666666657</v>
      </c>
      <c r="F545">
        <v>4</v>
      </c>
      <c r="G545">
        <v>4.9000000000000004</v>
      </c>
      <c r="H545">
        <v>124.5</v>
      </c>
      <c r="I545" t="s">
        <v>331</v>
      </c>
      <c r="J545" t="s">
        <v>387</v>
      </c>
      <c r="K545" t="s">
        <v>335</v>
      </c>
      <c r="L545" s="7" t="str">
        <f t="shared" si="16"/>
        <v>Yes</v>
      </c>
      <c r="M545" s="16">
        <f t="shared" ca="1" si="17"/>
        <v>78.958333333343035</v>
      </c>
    </row>
    <row r="546" spans="1:13">
      <c r="A546" t="s">
        <v>1530</v>
      </c>
      <c r="B546" t="s">
        <v>193</v>
      </c>
      <c r="C546" t="s">
        <v>399</v>
      </c>
      <c r="D546" t="s">
        <v>1261</v>
      </c>
      <c r="E546" s="4">
        <v>45959.958333333343</v>
      </c>
      <c r="F546">
        <v>48</v>
      </c>
      <c r="G546">
        <v>3.9</v>
      </c>
      <c r="H546">
        <v>45.7</v>
      </c>
      <c r="I546" t="s">
        <v>331</v>
      </c>
      <c r="J546" t="s">
        <v>378</v>
      </c>
      <c r="K546" t="s">
        <v>335</v>
      </c>
      <c r="L546" s="7" t="str">
        <f t="shared" si="16"/>
        <v>No</v>
      </c>
      <c r="M546" s="16">
        <f t="shared" ca="1" si="17"/>
        <v>190.04166666665697</v>
      </c>
    </row>
    <row r="547" spans="1:13">
      <c r="A547" t="s">
        <v>620</v>
      </c>
      <c r="B547" t="s">
        <v>80</v>
      </c>
      <c r="C547" t="s">
        <v>399</v>
      </c>
      <c r="D547" t="s">
        <v>1258</v>
      </c>
      <c r="E547" s="4">
        <v>45889.291666666657</v>
      </c>
      <c r="F547">
        <v>48</v>
      </c>
      <c r="G547">
        <v>5.7</v>
      </c>
      <c r="H547">
        <v>52.2</v>
      </c>
      <c r="I547" t="s">
        <v>331</v>
      </c>
      <c r="J547" t="s">
        <v>440</v>
      </c>
      <c r="K547" t="s">
        <v>323</v>
      </c>
      <c r="L547" s="7" t="str">
        <f t="shared" si="16"/>
        <v>Yes</v>
      </c>
      <c r="M547" s="16">
        <f t="shared" ca="1" si="17"/>
        <v>260.70833333334303</v>
      </c>
    </row>
    <row r="548" spans="1:13">
      <c r="A548" t="s">
        <v>1531</v>
      </c>
      <c r="B548" t="s">
        <v>194</v>
      </c>
      <c r="C548" t="s">
        <v>373</v>
      </c>
      <c r="D548" t="s">
        <v>1262</v>
      </c>
      <c r="E548" s="4">
        <v>45913.25</v>
      </c>
      <c r="F548">
        <v>72</v>
      </c>
      <c r="G548">
        <v>3.1</v>
      </c>
      <c r="H548">
        <v>30.7</v>
      </c>
      <c r="I548" t="s">
        <v>331</v>
      </c>
      <c r="J548" t="s">
        <v>370</v>
      </c>
      <c r="K548" t="s">
        <v>328</v>
      </c>
      <c r="L548" s="7" t="str">
        <f t="shared" si="16"/>
        <v>No</v>
      </c>
      <c r="M548" s="16">
        <f t="shared" ca="1" si="17"/>
        <v>236.75</v>
      </c>
    </row>
    <row r="549" spans="1:13">
      <c r="A549" t="s">
        <v>1532</v>
      </c>
      <c r="B549" t="s">
        <v>140</v>
      </c>
      <c r="C549" t="s">
        <v>417</v>
      </c>
      <c r="D549" t="s">
        <v>1266</v>
      </c>
      <c r="E549" s="4">
        <v>45942.416666666657</v>
      </c>
      <c r="F549">
        <v>8</v>
      </c>
      <c r="G549">
        <v>0.4</v>
      </c>
      <c r="H549">
        <v>44.4</v>
      </c>
      <c r="I549" t="s">
        <v>331</v>
      </c>
      <c r="J549" t="s">
        <v>456</v>
      </c>
      <c r="K549" t="s">
        <v>335</v>
      </c>
      <c r="L549" s="7" t="str">
        <f t="shared" si="16"/>
        <v>Yes</v>
      </c>
      <c r="M549" s="16">
        <f t="shared" ca="1" si="17"/>
        <v>207.58333333334303</v>
      </c>
    </row>
    <row r="550" spans="1:13">
      <c r="A550" t="s">
        <v>945</v>
      </c>
      <c r="B550" t="s">
        <v>49</v>
      </c>
      <c r="C550" t="s">
        <v>369</v>
      </c>
      <c r="D550" t="s">
        <v>1261</v>
      </c>
      <c r="E550" s="4">
        <v>46014.291666666657</v>
      </c>
      <c r="F550">
        <v>24</v>
      </c>
      <c r="G550">
        <v>4</v>
      </c>
      <c r="H550">
        <v>106.7</v>
      </c>
      <c r="I550" t="s">
        <v>1259</v>
      </c>
      <c r="J550" t="s">
        <v>374</v>
      </c>
      <c r="K550" t="s">
        <v>328</v>
      </c>
      <c r="L550" s="7" t="str">
        <f t="shared" si="16"/>
        <v>Yes</v>
      </c>
      <c r="M550" s="16">
        <f t="shared" ca="1" si="17"/>
        <v>0</v>
      </c>
    </row>
    <row r="551" spans="1:13">
      <c r="A551" t="s">
        <v>788</v>
      </c>
      <c r="B551" t="s">
        <v>66</v>
      </c>
      <c r="C551" t="s">
        <v>476</v>
      </c>
      <c r="D551" t="s">
        <v>1262</v>
      </c>
      <c r="E551" s="4">
        <v>45883.541666666657</v>
      </c>
      <c r="F551">
        <v>72</v>
      </c>
      <c r="G551">
        <v>3.3</v>
      </c>
      <c r="H551">
        <v>76.5</v>
      </c>
      <c r="I551" t="s">
        <v>1259</v>
      </c>
      <c r="J551" t="s">
        <v>440</v>
      </c>
      <c r="K551" t="s">
        <v>335</v>
      </c>
      <c r="L551" s="7" t="str">
        <f t="shared" si="16"/>
        <v>Yes</v>
      </c>
      <c r="M551" s="16">
        <f t="shared" ca="1" si="17"/>
        <v>0</v>
      </c>
    </row>
    <row r="552" spans="1:13">
      <c r="A552" t="s">
        <v>686</v>
      </c>
      <c r="B552" t="s">
        <v>97</v>
      </c>
      <c r="C552" t="s">
        <v>381</v>
      </c>
      <c r="D552" t="s">
        <v>1258</v>
      </c>
      <c r="E552" s="4">
        <v>45965.291666666657</v>
      </c>
      <c r="F552">
        <v>24</v>
      </c>
      <c r="G552">
        <v>2.9</v>
      </c>
      <c r="H552">
        <v>32.1</v>
      </c>
      <c r="I552" t="s">
        <v>1263</v>
      </c>
      <c r="J552" t="s">
        <v>403</v>
      </c>
      <c r="K552" t="s">
        <v>323</v>
      </c>
      <c r="L552" s="7" t="str">
        <f t="shared" si="16"/>
        <v>Yes</v>
      </c>
      <c r="M552" s="16">
        <f t="shared" ca="1" si="17"/>
        <v>184.70833333334303</v>
      </c>
    </row>
    <row r="553" spans="1:13">
      <c r="A553" t="s">
        <v>951</v>
      </c>
      <c r="B553" t="s">
        <v>155</v>
      </c>
      <c r="C553" t="s">
        <v>373</v>
      </c>
      <c r="D553" t="s">
        <v>1258</v>
      </c>
      <c r="E553" s="4">
        <v>45861.041666666657</v>
      </c>
      <c r="F553">
        <v>48</v>
      </c>
      <c r="G553">
        <v>4.8</v>
      </c>
      <c r="H553">
        <v>69.2</v>
      </c>
      <c r="I553" t="s">
        <v>1259</v>
      </c>
      <c r="J553" t="s">
        <v>400</v>
      </c>
      <c r="K553" t="s">
        <v>335</v>
      </c>
      <c r="L553" s="7" t="str">
        <f t="shared" si="16"/>
        <v>Yes</v>
      </c>
      <c r="M553" s="16">
        <f t="shared" ca="1" si="17"/>
        <v>0</v>
      </c>
    </row>
    <row r="554" spans="1:13">
      <c r="A554" t="s">
        <v>1078</v>
      </c>
      <c r="B554" t="s">
        <v>61</v>
      </c>
      <c r="C554" t="s">
        <v>381</v>
      </c>
      <c r="D554" t="s">
        <v>1262</v>
      </c>
      <c r="E554" s="4">
        <v>46070.625</v>
      </c>
      <c r="F554">
        <v>8</v>
      </c>
      <c r="G554">
        <v>0.7</v>
      </c>
      <c r="H554">
        <v>58.2</v>
      </c>
      <c r="I554" t="s">
        <v>1259</v>
      </c>
      <c r="J554" t="s">
        <v>400</v>
      </c>
      <c r="K554" t="s">
        <v>328</v>
      </c>
      <c r="L554" s="7" t="str">
        <f t="shared" si="16"/>
        <v>Yes</v>
      </c>
      <c r="M554" s="16">
        <f t="shared" ca="1" si="17"/>
        <v>0</v>
      </c>
    </row>
    <row r="555" spans="1:13">
      <c r="A555" t="s">
        <v>1533</v>
      </c>
      <c r="B555" t="s">
        <v>53</v>
      </c>
      <c r="C555" t="s">
        <v>417</v>
      </c>
      <c r="D555" t="s">
        <v>1261</v>
      </c>
      <c r="E555" s="4">
        <v>45885</v>
      </c>
      <c r="F555">
        <v>48</v>
      </c>
      <c r="G555">
        <v>4.4000000000000004</v>
      </c>
      <c r="H555">
        <v>24.1</v>
      </c>
      <c r="I555" t="s">
        <v>1259</v>
      </c>
      <c r="J555" t="s">
        <v>374</v>
      </c>
      <c r="K555" t="s">
        <v>323</v>
      </c>
      <c r="L555" s="7" t="str">
        <f t="shared" si="16"/>
        <v>No</v>
      </c>
      <c r="M555" s="16">
        <f t="shared" ca="1" si="17"/>
        <v>0</v>
      </c>
    </row>
    <row r="556" spans="1:13">
      <c r="A556" t="s">
        <v>435</v>
      </c>
      <c r="B556" t="s">
        <v>163</v>
      </c>
      <c r="C556" t="s">
        <v>373</v>
      </c>
      <c r="D556" t="s">
        <v>1266</v>
      </c>
      <c r="E556" s="4">
        <v>46076.166666666657</v>
      </c>
      <c r="F556">
        <v>48</v>
      </c>
      <c r="G556">
        <v>1.4</v>
      </c>
      <c r="H556">
        <v>67.099999999999994</v>
      </c>
      <c r="I556" t="s">
        <v>1259</v>
      </c>
      <c r="J556" t="s">
        <v>370</v>
      </c>
      <c r="K556" t="s">
        <v>323</v>
      </c>
      <c r="L556" s="7" t="str">
        <f t="shared" si="16"/>
        <v>Yes</v>
      </c>
      <c r="M556" s="16">
        <f t="shared" ca="1" si="17"/>
        <v>0</v>
      </c>
    </row>
    <row r="557" spans="1:13">
      <c r="A557" t="s">
        <v>1534</v>
      </c>
      <c r="B557" t="s">
        <v>7</v>
      </c>
      <c r="C557" t="s">
        <v>392</v>
      </c>
      <c r="D557" t="s">
        <v>1261</v>
      </c>
      <c r="E557" s="4">
        <v>46009.666666666657</v>
      </c>
      <c r="F557">
        <v>4</v>
      </c>
      <c r="G557">
        <v>2.1</v>
      </c>
      <c r="H557">
        <v>101.9</v>
      </c>
      <c r="I557" t="s">
        <v>1259</v>
      </c>
      <c r="J557" t="s">
        <v>374</v>
      </c>
      <c r="K557" t="s">
        <v>323</v>
      </c>
      <c r="L557" s="7" t="str">
        <f t="shared" si="16"/>
        <v>Yes</v>
      </c>
      <c r="M557" s="16">
        <f t="shared" ca="1" si="17"/>
        <v>0</v>
      </c>
    </row>
    <row r="558" spans="1:13">
      <c r="A558" t="s">
        <v>1535</v>
      </c>
      <c r="B558" t="s">
        <v>66</v>
      </c>
      <c r="C558" t="s">
        <v>377</v>
      </c>
      <c r="D558" t="s">
        <v>1262</v>
      </c>
      <c r="E558" s="4">
        <v>45880.791666666657</v>
      </c>
      <c r="F558">
        <v>24</v>
      </c>
      <c r="G558">
        <v>4.8</v>
      </c>
      <c r="H558">
        <v>5.7</v>
      </c>
      <c r="I558" t="s">
        <v>1263</v>
      </c>
      <c r="J558" t="s">
        <v>378</v>
      </c>
      <c r="K558" t="s">
        <v>335</v>
      </c>
      <c r="L558" s="7" t="str">
        <f t="shared" si="16"/>
        <v>No</v>
      </c>
      <c r="M558" s="16">
        <f t="shared" ca="1" si="17"/>
        <v>269.20833333334303</v>
      </c>
    </row>
    <row r="559" spans="1:13">
      <c r="A559" t="s">
        <v>1012</v>
      </c>
      <c r="B559" t="s">
        <v>112</v>
      </c>
      <c r="C559" t="s">
        <v>373</v>
      </c>
      <c r="D559" t="s">
        <v>1261</v>
      </c>
      <c r="E559" s="4">
        <v>46026.583333333343</v>
      </c>
      <c r="F559">
        <v>72</v>
      </c>
      <c r="G559">
        <v>0.5</v>
      </c>
      <c r="H559">
        <v>51</v>
      </c>
      <c r="I559" t="s">
        <v>1259</v>
      </c>
      <c r="J559" t="s">
        <v>370</v>
      </c>
      <c r="K559" t="s">
        <v>328</v>
      </c>
      <c r="L559" s="7" t="str">
        <f t="shared" si="16"/>
        <v>No</v>
      </c>
      <c r="M559" s="16">
        <f t="shared" ca="1" si="17"/>
        <v>0</v>
      </c>
    </row>
    <row r="560" spans="1:13">
      <c r="A560" t="s">
        <v>1536</v>
      </c>
      <c r="B560" t="s">
        <v>162</v>
      </c>
      <c r="C560" t="s">
        <v>381</v>
      </c>
      <c r="D560" t="s">
        <v>1262</v>
      </c>
      <c r="E560" s="4">
        <v>45909.416666666657</v>
      </c>
      <c r="F560">
        <v>8</v>
      </c>
      <c r="G560">
        <v>3.6</v>
      </c>
      <c r="H560">
        <v>50.4</v>
      </c>
      <c r="I560" t="s">
        <v>1259</v>
      </c>
      <c r="J560" t="s">
        <v>374</v>
      </c>
      <c r="K560" t="s">
        <v>323</v>
      </c>
      <c r="L560" s="7" t="str">
        <f t="shared" si="16"/>
        <v>Yes</v>
      </c>
      <c r="M560" s="16">
        <f t="shared" ca="1" si="17"/>
        <v>0</v>
      </c>
    </row>
    <row r="561" spans="1:13">
      <c r="A561" t="s">
        <v>1537</v>
      </c>
      <c r="B561" t="s">
        <v>192</v>
      </c>
      <c r="C561" t="s">
        <v>381</v>
      </c>
      <c r="D561" t="s">
        <v>1262</v>
      </c>
      <c r="E561" s="4">
        <v>46003.458333333343</v>
      </c>
      <c r="F561">
        <v>24</v>
      </c>
      <c r="G561">
        <v>3.4</v>
      </c>
      <c r="H561">
        <v>33.4</v>
      </c>
      <c r="I561" t="s">
        <v>1265</v>
      </c>
      <c r="J561" t="s">
        <v>396</v>
      </c>
      <c r="K561" t="s">
        <v>335</v>
      </c>
      <c r="L561" s="7" t="str">
        <f t="shared" si="16"/>
        <v>Yes</v>
      </c>
      <c r="M561" s="16">
        <f t="shared" ca="1" si="17"/>
        <v>146.54166666665697</v>
      </c>
    </row>
    <row r="562" spans="1:13">
      <c r="A562" t="s">
        <v>1538</v>
      </c>
      <c r="B562" t="s">
        <v>103</v>
      </c>
      <c r="C562" t="s">
        <v>365</v>
      </c>
      <c r="D562" t="s">
        <v>1258</v>
      </c>
      <c r="E562" s="4">
        <v>45901.625</v>
      </c>
      <c r="F562">
        <v>72</v>
      </c>
      <c r="G562">
        <v>4.5</v>
      </c>
      <c r="H562">
        <v>72.900000000000006</v>
      </c>
      <c r="I562" t="s">
        <v>331</v>
      </c>
      <c r="J562" t="s">
        <v>374</v>
      </c>
      <c r="K562" t="s">
        <v>335</v>
      </c>
      <c r="L562" s="7" t="str">
        <f t="shared" si="16"/>
        <v>Yes</v>
      </c>
      <c r="M562" s="16">
        <f t="shared" ca="1" si="17"/>
        <v>248.375</v>
      </c>
    </row>
    <row r="563" spans="1:13">
      <c r="A563" t="s">
        <v>1036</v>
      </c>
      <c r="B563" t="s">
        <v>183</v>
      </c>
      <c r="C563" t="s">
        <v>392</v>
      </c>
      <c r="D563" t="s">
        <v>1266</v>
      </c>
      <c r="E563" s="4">
        <v>45872.25</v>
      </c>
      <c r="F563">
        <v>48</v>
      </c>
      <c r="G563">
        <v>0.8</v>
      </c>
      <c r="H563">
        <v>31</v>
      </c>
      <c r="I563" t="s">
        <v>331</v>
      </c>
      <c r="J563" t="s">
        <v>456</v>
      </c>
      <c r="K563" t="s">
        <v>328</v>
      </c>
      <c r="L563" s="7" t="str">
        <f t="shared" si="16"/>
        <v>No</v>
      </c>
      <c r="M563" s="16">
        <f t="shared" ca="1" si="17"/>
        <v>277.75</v>
      </c>
    </row>
    <row r="564" spans="1:13">
      <c r="A564" t="s">
        <v>1539</v>
      </c>
      <c r="B564" t="s">
        <v>219</v>
      </c>
      <c r="C564" t="s">
        <v>467</v>
      </c>
      <c r="D564" t="s">
        <v>1261</v>
      </c>
      <c r="E564" s="4">
        <v>45914.625</v>
      </c>
      <c r="F564">
        <v>8</v>
      </c>
      <c r="G564">
        <v>5.7</v>
      </c>
      <c r="H564">
        <v>71.3</v>
      </c>
      <c r="I564" t="s">
        <v>1259</v>
      </c>
      <c r="J564" t="s">
        <v>393</v>
      </c>
      <c r="K564" t="s">
        <v>335</v>
      </c>
      <c r="L564" s="7" t="str">
        <f t="shared" si="16"/>
        <v>Yes</v>
      </c>
      <c r="M564" s="16">
        <f t="shared" ca="1" si="17"/>
        <v>0</v>
      </c>
    </row>
    <row r="565" spans="1:13">
      <c r="A565" t="s">
        <v>645</v>
      </c>
      <c r="B565" t="s">
        <v>226</v>
      </c>
      <c r="C565" t="s">
        <v>476</v>
      </c>
      <c r="D565" t="s">
        <v>1266</v>
      </c>
      <c r="E565" s="4">
        <v>46081.458333333343</v>
      </c>
      <c r="F565">
        <v>48</v>
      </c>
      <c r="G565">
        <v>3</v>
      </c>
      <c r="H565">
        <v>50.1</v>
      </c>
      <c r="I565" t="s">
        <v>331</v>
      </c>
      <c r="J565" t="s">
        <v>456</v>
      </c>
      <c r="K565" t="s">
        <v>328</v>
      </c>
      <c r="L565" s="7" t="str">
        <f t="shared" si="16"/>
        <v>Yes</v>
      </c>
      <c r="M565" s="16">
        <f t="shared" ca="1" si="17"/>
        <v>68.541666666656965</v>
      </c>
    </row>
    <row r="566" spans="1:13">
      <c r="A566" t="s">
        <v>1540</v>
      </c>
      <c r="B566" t="s">
        <v>227</v>
      </c>
      <c r="C566" t="s">
        <v>377</v>
      </c>
      <c r="D566" t="s">
        <v>1262</v>
      </c>
      <c r="E566" s="4">
        <v>46105.833333333343</v>
      </c>
      <c r="F566">
        <v>24</v>
      </c>
      <c r="G566">
        <v>2.8</v>
      </c>
      <c r="H566">
        <v>27.4</v>
      </c>
      <c r="I566" t="s">
        <v>1259</v>
      </c>
      <c r="J566" t="s">
        <v>396</v>
      </c>
      <c r="K566" t="s">
        <v>335</v>
      </c>
      <c r="L566" s="7" t="str">
        <f t="shared" si="16"/>
        <v>Yes</v>
      </c>
      <c r="M566" s="16">
        <f t="shared" ca="1" si="17"/>
        <v>0</v>
      </c>
    </row>
    <row r="567" spans="1:13">
      <c r="A567" t="s">
        <v>1541</v>
      </c>
      <c r="B567" t="s">
        <v>168</v>
      </c>
      <c r="C567" t="s">
        <v>392</v>
      </c>
      <c r="D567" t="s">
        <v>1262</v>
      </c>
      <c r="E567" s="4">
        <v>46119.583333333343</v>
      </c>
      <c r="F567">
        <v>48</v>
      </c>
      <c r="G567">
        <v>2.1</v>
      </c>
      <c r="H567">
        <v>11.5</v>
      </c>
      <c r="I567" t="s">
        <v>1259</v>
      </c>
      <c r="J567" t="s">
        <v>403</v>
      </c>
      <c r="K567" t="s">
        <v>335</v>
      </c>
      <c r="L567" s="7" t="str">
        <f t="shared" si="16"/>
        <v>No</v>
      </c>
      <c r="M567" s="16">
        <f t="shared" ca="1" si="17"/>
        <v>0</v>
      </c>
    </row>
    <row r="568" spans="1:13">
      <c r="A568" t="s">
        <v>1542</v>
      </c>
      <c r="B568" t="s">
        <v>80</v>
      </c>
      <c r="C568" t="s">
        <v>365</v>
      </c>
      <c r="D568" t="s">
        <v>1258</v>
      </c>
      <c r="E568" s="4">
        <v>45986.041666666657</v>
      </c>
      <c r="F568">
        <v>8</v>
      </c>
      <c r="G568">
        <v>2.4</v>
      </c>
      <c r="H568">
        <v>62.8</v>
      </c>
      <c r="I568" t="s">
        <v>331</v>
      </c>
      <c r="J568" t="s">
        <v>403</v>
      </c>
      <c r="K568" t="s">
        <v>323</v>
      </c>
      <c r="L568" s="7" t="str">
        <f t="shared" si="16"/>
        <v>Yes</v>
      </c>
      <c r="M568" s="16">
        <f t="shared" ca="1" si="17"/>
        <v>163.95833333334303</v>
      </c>
    </row>
    <row r="569" spans="1:13">
      <c r="A569" t="s">
        <v>606</v>
      </c>
      <c r="B569" t="s">
        <v>59</v>
      </c>
      <c r="C569" t="s">
        <v>467</v>
      </c>
      <c r="D569" t="s">
        <v>1261</v>
      </c>
      <c r="E569" s="4">
        <v>45928.916666666657</v>
      </c>
      <c r="F569">
        <v>8</v>
      </c>
      <c r="G569">
        <v>1.2</v>
      </c>
      <c r="H569">
        <v>18.2</v>
      </c>
      <c r="I569" t="s">
        <v>1263</v>
      </c>
      <c r="J569" t="s">
        <v>374</v>
      </c>
      <c r="K569" t="s">
        <v>328</v>
      </c>
      <c r="L569" s="7" t="str">
        <f t="shared" si="16"/>
        <v>Yes</v>
      </c>
      <c r="M569" s="16">
        <f t="shared" ca="1" si="17"/>
        <v>221.08333333334303</v>
      </c>
    </row>
    <row r="570" spans="1:13">
      <c r="A570" t="s">
        <v>466</v>
      </c>
      <c r="B570" t="s">
        <v>142</v>
      </c>
      <c r="C570" t="s">
        <v>467</v>
      </c>
      <c r="D570" t="s">
        <v>1258</v>
      </c>
      <c r="E570" s="4">
        <v>45944.708333333343</v>
      </c>
      <c r="F570">
        <v>4</v>
      </c>
      <c r="G570">
        <v>4.4000000000000004</v>
      </c>
      <c r="H570">
        <v>131.5</v>
      </c>
      <c r="I570" t="s">
        <v>331</v>
      </c>
      <c r="J570" t="s">
        <v>440</v>
      </c>
      <c r="K570" t="s">
        <v>323</v>
      </c>
      <c r="L570" s="7" t="str">
        <f t="shared" si="16"/>
        <v>Yes</v>
      </c>
      <c r="M570" s="16">
        <f t="shared" ca="1" si="17"/>
        <v>205.29166666665697</v>
      </c>
    </row>
    <row r="571" spans="1:13">
      <c r="A571" t="s">
        <v>480</v>
      </c>
      <c r="B571" t="s">
        <v>285</v>
      </c>
      <c r="C571" t="s">
        <v>476</v>
      </c>
      <c r="D571" t="s">
        <v>1258</v>
      </c>
      <c r="E571" s="4">
        <v>45851.5</v>
      </c>
      <c r="F571">
        <v>48</v>
      </c>
      <c r="G571">
        <v>5</v>
      </c>
      <c r="H571">
        <v>127.5</v>
      </c>
      <c r="I571" t="s">
        <v>1263</v>
      </c>
      <c r="J571" t="s">
        <v>403</v>
      </c>
      <c r="K571" t="s">
        <v>328</v>
      </c>
      <c r="L571" s="7" t="str">
        <f t="shared" si="16"/>
        <v>Yes</v>
      </c>
      <c r="M571" s="16">
        <f t="shared" ca="1" si="17"/>
        <v>298.5</v>
      </c>
    </row>
    <row r="572" spans="1:13">
      <c r="A572" t="s">
        <v>1543</v>
      </c>
      <c r="B572" t="s">
        <v>228</v>
      </c>
      <c r="C572" t="s">
        <v>476</v>
      </c>
      <c r="D572" t="s">
        <v>1266</v>
      </c>
      <c r="E572" s="4">
        <v>46008.833333333343</v>
      </c>
      <c r="F572">
        <v>24</v>
      </c>
      <c r="G572">
        <v>3.2</v>
      </c>
      <c r="H572">
        <v>23.4</v>
      </c>
      <c r="I572" t="s">
        <v>1263</v>
      </c>
      <c r="J572" t="s">
        <v>374</v>
      </c>
      <c r="K572" t="s">
        <v>323</v>
      </c>
      <c r="L572" s="7" t="str">
        <f t="shared" si="16"/>
        <v>No</v>
      </c>
      <c r="M572" s="16">
        <f t="shared" ca="1" si="17"/>
        <v>141.16666666665697</v>
      </c>
    </row>
    <row r="573" spans="1:13">
      <c r="A573" t="s">
        <v>1544</v>
      </c>
      <c r="B573" t="s">
        <v>74</v>
      </c>
      <c r="C573" t="s">
        <v>443</v>
      </c>
      <c r="D573" t="s">
        <v>1262</v>
      </c>
      <c r="E573" s="4">
        <v>46065.416666666657</v>
      </c>
      <c r="F573">
        <v>4</v>
      </c>
      <c r="G573">
        <v>4.8</v>
      </c>
      <c r="H573">
        <v>69.3</v>
      </c>
      <c r="I573" t="s">
        <v>331</v>
      </c>
      <c r="J573" t="s">
        <v>414</v>
      </c>
      <c r="K573" t="s">
        <v>328</v>
      </c>
      <c r="L573" s="7" t="str">
        <f t="shared" si="16"/>
        <v>Yes</v>
      </c>
      <c r="M573" s="16">
        <f t="shared" ca="1" si="17"/>
        <v>84.583333333343035</v>
      </c>
    </row>
    <row r="574" spans="1:13">
      <c r="A574" t="s">
        <v>372</v>
      </c>
      <c r="B574" t="s">
        <v>295</v>
      </c>
      <c r="C574" t="s">
        <v>373</v>
      </c>
      <c r="D574" t="s">
        <v>1258</v>
      </c>
      <c r="E574" s="4">
        <v>45951.583333333343</v>
      </c>
      <c r="F574">
        <v>24</v>
      </c>
      <c r="G574">
        <v>0.8</v>
      </c>
      <c r="H574">
        <v>10</v>
      </c>
      <c r="I574" t="s">
        <v>1259</v>
      </c>
      <c r="J574" t="s">
        <v>374</v>
      </c>
      <c r="K574" t="s">
        <v>323</v>
      </c>
      <c r="L574" s="7" t="str">
        <f t="shared" si="16"/>
        <v>No</v>
      </c>
      <c r="M574" s="16">
        <f t="shared" ca="1" si="17"/>
        <v>0</v>
      </c>
    </row>
    <row r="575" spans="1:13">
      <c r="A575" t="s">
        <v>1146</v>
      </c>
      <c r="B575" t="s">
        <v>235</v>
      </c>
      <c r="C575" t="s">
        <v>467</v>
      </c>
      <c r="D575" t="s">
        <v>1261</v>
      </c>
      <c r="E575" s="4">
        <v>45881.708333333343</v>
      </c>
      <c r="F575">
        <v>48</v>
      </c>
      <c r="G575">
        <v>4.5</v>
      </c>
      <c r="H575">
        <v>128.80000000000001</v>
      </c>
      <c r="I575" t="s">
        <v>1263</v>
      </c>
      <c r="J575" t="s">
        <v>400</v>
      </c>
      <c r="K575" t="s">
        <v>328</v>
      </c>
      <c r="L575" s="7" t="str">
        <f t="shared" si="16"/>
        <v>Yes</v>
      </c>
      <c r="M575" s="16">
        <f t="shared" ca="1" si="17"/>
        <v>268.29166666665697</v>
      </c>
    </row>
    <row r="576" spans="1:13">
      <c r="A576" t="s">
        <v>416</v>
      </c>
      <c r="B576" t="s">
        <v>194</v>
      </c>
      <c r="C576" t="s">
        <v>417</v>
      </c>
      <c r="D576" t="s">
        <v>1262</v>
      </c>
      <c r="E576" s="4">
        <v>46100.041666666657</v>
      </c>
      <c r="F576">
        <v>24</v>
      </c>
      <c r="G576">
        <v>2.7</v>
      </c>
      <c r="H576">
        <v>55.4</v>
      </c>
      <c r="I576" t="s">
        <v>1259</v>
      </c>
      <c r="J576" t="s">
        <v>400</v>
      </c>
      <c r="K576" t="s">
        <v>335</v>
      </c>
      <c r="L576" s="7" t="str">
        <f t="shared" si="16"/>
        <v>Yes</v>
      </c>
      <c r="M576" s="16">
        <f t="shared" ca="1" si="17"/>
        <v>0</v>
      </c>
    </row>
    <row r="577" spans="1:13">
      <c r="A577" t="s">
        <v>837</v>
      </c>
      <c r="B577" t="s">
        <v>97</v>
      </c>
      <c r="C577" t="s">
        <v>467</v>
      </c>
      <c r="D577" t="s">
        <v>1258</v>
      </c>
      <c r="E577" s="4">
        <v>45996.583333333343</v>
      </c>
      <c r="F577">
        <v>72</v>
      </c>
      <c r="G577">
        <v>0.8</v>
      </c>
      <c r="H577">
        <v>98.6</v>
      </c>
      <c r="I577" t="s">
        <v>1259</v>
      </c>
      <c r="J577" t="s">
        <v>400</v>
      </c>
      <c r="K577" t="s">
        <v>335</v>
      </c>
      <c r="L577" s="7" t="str">
        <f t="shared" si="16"/>
        <v>Yes</v>
      </c>
      <c r="M577" s="16">
        <f t="shared" ca="1" si="17"/>
        <v>0</v>
      </c>
    </row>
    <row r="578" spans="1:13">
      <c r="A578" t="s">
        <v>1545</v>
      </c>
      <c r="B578" t="s">
        <v>225</v>
      </c>
      <c r="C578" t="s">
        <v>384</v>
      </c>
      <c r="D578" t="s">
        <v>1262</v>
      </c>
      <c r="E578" s="4">
        <v>46056.958333333343</v>
      </c>
      <c r="F578">
        <v>48</v>
      </c>
      <c r="G578">
        <v>1.1000000000000001</v>
      </c>
      <c r="H578">
        <v>45.8</v>
      </c>
      <c r="I578" t="s">
        <v>1265</v>
      </c>
      <c r="J578" t="s">
        <v>366</v>
      </c>
      <c r="K578" t="s">
        <v>335</v>
      </c>
      <c r="L578" s="7" t="str">
        <f t="shared" ref="L578:L641" si="18">IF(H578&gt;F578,"Yes","No")</f>
        <v>No</v>
      </c>
      <c r="M578" s="16">
        <f t="shared" ref="M578:M641" ca="1" si="19">IF(I578="Closed",0,TODAY()-E578)</f>
        <v>93.041666666656965</v>
      </c>
    </row>
    <row r="579" spans="1:13">
      <c r="A579" t="s">
        <v>1546</v>
      </c>
      <c r="B579" t="s">
        <v>45</v>
      </c>
      <c r="C579" t="s">
        <v>476</v>
      </c>
      <c r="D579" t="s">
        <v>1266</v>
      </c>
      <c r="E579" s="4">
        <v>45872.75</v>
      </c>
      <c r="F579">
        <v>48</v>
      </c>
      <c r="G579">
        <v>0.8</v>
      </c>
      <c r="H579">
        <v>32.4</v>
      </c>
      <c r="I579" t="s">
        <v>1263</v>
      </c>
      <c r="J579" t="s">
        <v>400</v>
      </c>
      <c r="K579" t="s">
        <v>328</v>
      </c>
      <c r="L579" s="7" t="str">
        <f t="shared" si="18"/>
        <v>No</v>
      </c>
      <c r="M579" s="16">
        <f t="shared" ca="1" si="19"/>
        <v>277.25</v>
      </c>
    </row>
    <row r="580" spans="1:13">
      <c r="A580" t="s">
        <v>1547</v>
      </c>
      <c r="B580" t="s">
        <v>162</v>
      </c>
      <c r="C580" t="s">
        <v>365</v>
      </c>
      <c r="D580" t="s">
        <v>1262</v>
      </c>
      <c r="E580" s="4">
        <v>45909.25</v>
      </c>
      <c r="F580">
        <v>8</v>
      </c>
      <c r="G580">
        <v>5.4</v>
      </c>
      <c r="H580">
        <v>23.4</v>
      </c>
      <c r="I580" t="s">
        <v>1259</v>
      </c>
      <c r="J580" t="s">
        <v>393</v>
      </c>
      <c r="K580" t="s">
        <v>323</v>
      </c>
      <c r="L580" s="7" t="str">
        <f t="shared" si="18"/>
        <v>Yes</v>
      </c>
      <c r="M580" s="16">
        <f t="shared" ca="1" si="19"/>
        <v>0</v>
      </c>
    </row>
    <row r="581" spans="1:13">
      <c r="A581" t="s">
        <v>1548</v>
      </c>
      <c r="B581" t="s">
        <v>196</v>
      </c>
      <c r="C581" t="s">
        <v>365</v>
      </c>
      <c r="D581" t="s">
        <v>1262</v>
      </c>
      <c r="E581" s="4">
        <v>46076.291666666657</v>
      </c>
      <c r="F581">
        <v>4</v>
      </c>
      <c r="G581">
        <v>5.2</v>
      </c>
      <c r="H581">
        <v>13.2</v>
      </c>
      <c r="I581" t="s">
        <v>1259</v>
      </c>
      <c r="J581" t="s">
        <v>378</v>
      </c>
      <c r="K581" t="s">
        <v>323</v>
      </c>
      <c r="L581" s="7" t="str">
        <f t="shared" si="18"/>
        <v>Yes</v>
      </c>
      <c r="M581" s="16">
        <f t="shared" ca="1" si="19"/>
        <v>0</v>
      </c>
    </row>
    <row r="582" spans="1:13">
      <c r="A582" t="s">
        <v>1549</v>
      </c>
      <c r="B582" t="s">
        <v>45</v>
      </c>
      <c r="C582" t="s">
        <v>399</v>
      </c>
      <c r="D582" t="s">
        <v>1262</v>
      </c>
      <c r="E582" s="4">
        <v>45986.541666666657</v>
      </c>
      <c r="F582">
        <v>8</v>
      </c>
      <c r="G582">
        <v>3.3</v>
      </c>
      <c r="H582">
        <v>53.3</v>
      </c>
      <c r="I582" t="s">
        <v>331</v>
      </c>
      <c r="J582" t="s">
        <v>456</v>
      </c>
      <c r="K582" t="s">
        <v>335</v>
      </c>
      <c r="L582" s="7" t="str">
        <f t="shared" si="18"/>
        <v>Yes</v>
      </c>
      <c r="M582" s="16">
        <f t="shared" ca="1" si="19"/>
        <v>163.45833333334303</v>
      </c>
    </row>
    <row r="583" spans="1:13">
      <c r="A583" t="s">
        <v>460</v>
      </c>
      <c r="B583" t="s">
        <v>87</v>
      </c>
      <c r="C583" t="s">
        <v>399</v>
      </c>
      <c r="D583" t="s">
        <v>1262</v>
      </c>
      <c r="E583" s="4">
        <v>46024.75</v>
      </c>
      <c r="F583">
        <v>48</v>
      </c>
      <c r="G583">
        <v>3.8</v>
      </c>
      <c r="H583">
        <v>66.900000000000006</v>
      </c>
      <c r="I583" t="s">
        <v>1259</v>
      </c>
      <c r="J583" t="s">
        <v>440</v>
      </c>
      <c r="K583" t="s">
        <v>323</v>
      </c>
      <c r="L583" s="7" t="str">
        <f t="shared" si="18"/>
        <v>Yes</v>
      </c>
      <c r="M583" s="16">
        <f t="shared" ca="1" si="19"/>
        <v>0</v>
      </c>
    </row>
    <row r="584" spans="1:13">
      <c r="A584" t="s">
        <v>1081</v>
      </c>
      <c r="B584" t="s">
        <v>211</v>
      </c>
      <c r="C584" t="s">
        <v>399</v>
      </c>
      <c r="D584" t="s">
        <v>1258</v>
      </c>
      <c r="E584" s="4">
        <v>46133</v>
      </c>
      <c r="F584">
        <v>24</v>
      </c>
      <c r="G584">
        <v>1.2</v>
      </c>
      <c r="H584">
        <v>10.5</v>
      </c>
      <c r="I584" t="s">
        <v>1259</v>
      </c>
      <c r="J584" t="s">
        <v>370</v>
      </c>
      <c r="K584" t="s">
        <v>328</v>
      </c>
      <c r="L584" s="7" t="str">
        <f t="shared" si="18"/>
        <v>No</v>
      </c>
      <c r="M584" s="16">
        <f t="shared" ca="1" si="19"/>
        <v>0</v>
      </c>
    </row>
    <row r="585" spans="1:13">
      <c r="A585" t="s">
        <v>1550</v>
      </c>
      <c r="B585" t="s">
        <v>151</v>
      </c>
      <c r="C585" t="s">
        <v>384</v>
      </c>
      <c r="D585" t="s">
        <v>1261</v>
      </c>
      <c r="E585" s="4">
        <v>46023.541666666657</v>
      </c>
      <c r="F585">
        <v>24</v>
      </c>
      <c r="G585">
        <v>0.5</v>
      </c>
      <c r="H585">
        <v>41.2</v>
      </c>
      <c r="I585" t="s">
        <v>1259</v>
      </c>
      <c r="J585" t="s">
        <v>456</v>
      </c>
      <c r="K585" t="s">
        <v>323</v>
      </c>
      <c r="L585" s="7" t="str">
        <f t="shared" si="18"/>
        <v>Yes</v>
      </c>
      <c r="M585" s="16">
        <f t="shared" ca="1" si="19"/>
        <v>0</v>
      </c>
    </row>
    <row r="586" spans="1:13">
      <c r="A586" t="s">
        <v>1551</v>
      </c>
      <c r="B586" t="s">
        <v>202</v>
      </c>
      <c r="C586" t="s">
        <v>392</v>
      </c>
      <c r="D586" t="s">
        <v>1261</v>
      </c>
      <c r="E586" s="4">
        <v>45887.791666666657</v>
      </c>
      <c r="F586">
        <v>8</v>
      </c>
      <c r="G586">
        <v>3.6</v>
      </c>
      <c r="H586">
        <v>117.6</v>
      </c>
      <c r="I586" t="s">
        <v>1259</v>
      </c>
      <c r="J586" t="s">
        <v>378</v>
      </c>
      <c r="K586" t="s">
        <v>335</v>
      </c>
      <c r="L586" s="7" t="str">
        <f t="shared" si="18"/>
        <v>Yes</v>
      </c>
      <c r="M586" s="16">
        <f t="shared" ca="1" si="19"/>
        <v>0</v>
      </c>
    </row>
    <row r="587" spans="1:13">
      <c r="A587" t="s">
        <v>1552</v>
      </c>
      <c r="B587" t="s">
        <v>131</v>
      </c>
      <c r="C587" t="s">
        <v>392</v>
      </c>
      <c r="D587" t="s">
        <v>1262</v>
      </c>
      <c r="E587" s="4">
        <v>46024.125</v>
      </c>
      <c r="F587">
        <v>72</v>
      </c>
      <c r="G587">
        <v>3.9</v>
      </c>
      <c r="H587">
        <v>63.5</v>
      </c>
      <c r="I587" t="s">
        <v>1265</v>
      </c>
      <c r="J587" t="s">
        <v>414</v>
      </c>
      <c r="K587" t="s">
        <v>335</v>
      </c>
      <c r="L587" s="7" t="str">
        <f t="shared" si="18"/>
        <v>No</v>
      </c>
      <c r="M587" s="16">
        <f t="shared" ca="1" si="19"/>
        <v>125.875</v>
      </c>
    </row>
    <row r="588" spans="1:13">
      <c r="A588" t="s">
        <v>997</v>
      </c>
      <c r="B588" t="s">
        <v>91</v>
      </c>
      <c r="C588" t="s">
        <v>365</v>
      </c>
      <c r="D588" t="s">
        <v>1258</v>
      </c>
      <c r="E588" s="4">
        <v>45922.125</v>
      </c>
      <c r="F588">
        <v>8</v>
      </c>
      <c r="G588">
        <v>1.2</v>
      </c>
      <c r="H588">
        <v>31.9</v>
      </c>
      <c r="I588" t="s">
        <v>331</v>
      </c>
      <c r="J588" t="s">
        <v>414</v>
      </c>
      <c r="K588" t="s">
        <v>323</v>
      </c>
      <c r="L588" s="7" t="str">
        <f t="shared" si="18"/>
        <v>Yes</v>
      </c>
      <c r="M588" s="16">
        <f t="shared" ca="1" si="19"/>
        <v>227.875</v>
      </c>
    </row>
    <row r="589" spans="1:13">
      <c r="A589" t="s">
        <v>692</v>
      </c>
      <c r="B589" t="s">
        <v>27</v>
      </c>
      <c r="C589" t="s">
        <v>476</v>
      </c>
      <c r="D589" t="s">
        <v>1262</v>
      </c>
      <c r="E589" s="4">
        <v>46121.916666666657</v>
      </c>
      <c r="F589">
        <v>4</v>
      </c>
      <c r="G589">
        <v>2.8</v>
      </c>
      <c r="H589">
        <v>70.5</v>
      </c>
      <c r="I589" t="s">
        <v>331</v>
      </c>
      <c r="J589" t="s">
        <v>403</v>
      </c>
      <c r="K589" t="s">
        <v>328</v>
      </c>
      <c r="L589" s="7" t="str">
        <f t="shared" si="18"/>
        <v>Yes</v>
      </c>
      <c r="M589" s="16">
        <f t="shared" ca="1" si="19"/>
        <v>28.083333333343035</v>
      </c>
    </row>
    <row r="590" spans="1:13">
      <c r="A590" t="s">
        <v>1009</v>
      </c>
      <c r="B590" t="s">
        <v>212</v>
      </c>
      <c r="C590" t="s">
        <v>417</v>
      </c>
      <c r="D590" t="s">
        <v>1258</v>
      </c>
      <c r="E590" s="4">
        <v>46024.166666666657</v>
      </c>
      <c r="F590">
        <v>48</v>
      </c>
      <c r="G590">
        <v>5.8</v>
      </c>
      <c r="H590">
        <v>81.5</v>
      </c>
      <c r="I590" t="s">
        <v>1259</v>
      </c>
      <c r="J590" t="s">
        <v>396</v>
      </c>
      <c r="K590" t="s">
        <v>328</v>
      </c>
      <c r="L590" s="7" t="str">
        <f t="shared" si="18"/>
        <v>Yes</v>
      </c>
      <c r="M590" s="16">
        <f t="shared" ca="1" si="19"/>
        <v>0</v>
      </c>
    </row>
    <row r="591" spans="1:13">
      <c r="A591" t="s">
        <v>933</v>
      </c>
      <c r="B591" t="s">
        <v>101</v>
      </c>
      <c r="C591" t="s">
        <v>467</v>
      </c>
      <c r="D591" t="s">
        <v>1261</v>
      </c>
      <c r="E591" s="4">
        <v>45899.291666666657</v>
      </c>
      <c r="F591">
        <v>8</v>
      </c>
      <c r="G591">
        <v>5.6</v>
      </c>
      <c r="H591">
        <v>21.5</v>
      </c>
      <c r="I591" t="s">
        <v>331</v>
      </c>
      <c r="J591" t="s">
        <v>403</v>
      </c>
      <c r="K591" t="s">
        <v>328</v>
      </c>
      <c r="L591" s="7" t="str">
        <f t="shared" si="18"/>
        <v>Yes</v>
      </c>
      <c r="M591" s="16">
        <f t="shared" ca="1" si="19"/>
        <v>250.70833333334303</v>
      </c>
    </row>
    <row r="592" spans="1:13">
      <c r="A592" t="s">
        <v>1553</v>
      </c>
      <c r="B592" t="s">
        <v>53</v>
      </c>
      <c r="C592" t="s">
        <v>399</v>
      </c>
      <c r="D592" t="s">
        <v>1258</v>
      </c>
      <c r="E592" s="4">
        <v>45896.083333333343</v>
      </c>
      <c r="F592">
        <v>4</v>
      </c>
      <c r="G592">
        <v>5.0999999999999996</v>
      </c>
      <c r="H592">
        <v>102.5</v>
      </c>
      <c r="I592" t="s">
        <v>1265</v>
      </c>
      <c r="J592" t="s">
        <v>456</v>
      </c>
      <c r="K592" t="s">
        <v>328</v>
      </c>
      <c r="L592" s="7" t="str">
        <f t="shared" si="18"/>
        <v>Yes</v>
      </c>
      <c r="M592" s="16">
        <f t="shared" ca="1" si="19"/>
        <v>253.91666666665697</v>
      </c>
    </row>
    <row r="593" spans="1:13">
      <c r="A593" t="s">
        <v>1554</v>
      </c>
      <c r="B593" t="s">
        <v>120</v>
      </c>
      <c r="C593" t="s">
        <v>392</v>
      </c>
      <c r="D593" t="s">
        <v>1258</v>
      </c>
      <c r="E593" s="4">
        <v>45869.625</v>
      </c>
      <c r="F593">
        <v>4</v>
      </c>
      <c r="G593">
        <v>5.9</v>
      </c>
      <c r="H593">
        <v>8.5</v>
      </c>
      <c r="I593" t="s">
        <v>1259</v>
      </c>
      <c r="J593" t="s">
        <v>387</v>
      </c>
      <c r="K593" t="s">
        <v>328</v>
      </c>
      <c r="L593" s="7" t="str">
        <f t="shared" si="18"/>
        <v>Yes</v>
      </c>
      <c r="M593" s="16">
        <f t="shared" ca="1" si="19"/>
        <v>0</v>
      </c>
    </row>
    <row r="594" spans="1:13">
      <c r="A594" t="s">
        <v>1555</v>
      </c>
      <c r="B594" t="s">
        <v>127</v>
      </c>
      <c r="C594" t="s">
        <v>399</v>
      </c>
      <c r="D594" t="s">
        <v>1266</v>
      </c>
      <c r="E594" s="4">
        <v>45944.75</v>
      </c>
      <c r="F594">
        <v>8</v>
      </c>
      <c r="G594">
        <v>1.4</v>
      </c>
      <c r="H594">
        <v>28</v>
      </c>
      <c r="I594" t="s">
        <v>1265</v>
      </c>
      <c r="J594" t="s">
        <v>370</v>
      </c>
      <c r="K594" t="s">
        <v>335</v>
      </c>
      <c r="L594" s="7" t="str">
        <f t="shared" si="18"/>
        <v>Yes</v>
      </c>
      <c r="M594" s="16">
        <f t="shared" ca="1" si="19"/>
        <v>205.25</v>
      </c>
    </row>
    <row r="595" spans="1:13">
      <c r="A595" t="s">
        <v>427</v>
      </c>
      <c r="B595" t="s">
        <v>163</v>
      </c>
      <c r="C595" t="s">
        <v>417</v>
      </c>
      <c r="D595" t="s">
        <v>1258</v>
      </c>
      <c r="E595" s="4">
        <v>46095.958333333343</v>
      </c>
      <c r="F595">
        <v>72</v>
      </c>
      <c r="G595">
        <v>1.7</v>
      </c>
      <c r="H595">
        <v>77.8</v>
      </c>
      <c r="I595" t="s">
        <v>1265</v>
      </c>
      <c r="J595" t="s">
        <v>374</v>
      </c>
      <c r="K595" t="s">
        <v>328</v>
      </c>
      <c r="L595" s="7" t="str">
        <f t="shared" si="18"/>
        <v>Yes</v>
      </c>
      <c r="M595" s="16">
        <f t="shared" ca="1" si="19"/>
        <v>54.041666666656965</v>
      </c>
    </row>
    <row r="596" spans="1:13">
      <c r="A596" t="s">
        <v>1556</v>
      </c>
      <c r="B596" t="s">
        <v>84</v>
      </c>
      <c r="C596" t="s">
        <v>377</v>
      </c>
      <c r="D596" t="s">
        <v>1262</v>
      </c>
      <c r="E596" s="4">
        <v>45983.208333333343</v>
      </c>
      <c r="F596">
        <v>72</v>
      </c>
      <c r="G596">
        <v>0.2</v>
      </c>
      <c r="H596">
        <v>56.1</v>
      </c>
      <c r="I596" t="s">
        <v>1263</v>
      </c>
      <c r="J596" t="s">
        <v>414</v>
      </c>
      <c r="K596" t="s">
        <v>323</v>
      </c>
      <c r="L596" s="7" t="str">
        <f t="shared" si="18"/>
        <v>No</v>
      </c>
      <c r="M596" s="16">
        <f t="shared" ca="1" si="19"/>
        <v>166.79166666665697</v>
      </c>
    </row>
    <row r="597" spans="1:13">
      <c r="A597" t="s">
        <v>1179</v>
      </c>
      <c r="B597" t="s">
        <v>45</v>
      </c>
      <c r="C597" t="s">
        <v>417</v>
      </c>
      <c r="D597" t="s">
        <v>1262</v>
      </c>
      <c r="E597" s="4">
        <v>45933.583333333343</v>
      </c>
      <c r="F597">
        <v>4</v>
      </c>
      <c r="G597">
        <v>1.3</v>
      </c>
      <c r="H597">
        <v>28.3</v>
      </c>
      <c r="I597" t="s">
        <v>1259</v>
      </c>
      <c r="J597" t="s">
        <v>366</v>
      </c>
      <c r="K597" t="s">
        <v>323</v>
      </c>
      <c r="L597" s="7" t="str">
        <f t="shared" si="18"/>
        <v>Yes</v>
      </c>
      <c r="M597" s="16">
        <f t="shared" ca="1" si="19"/>
        <v>0</v>
      </c>
    </row>
    <row r="598" spans="1:13">
      <c r="A598" t="s">
        <v>1557</v>
      </c>
      <c r="B598" t="s">
        <v>80</v>
      </c>
      <c r="C598" t="s">
        <v>369</v>
      </c>
      <c r="D598" t="s">
        <v>1261</v>
      </c>
      <c r="E598" s="4">
        <v>45999.125</v>
      </c>
      <c r="F598">
        <v>48</v>
      </c>
      <c r="G598">
        <v>0.9</v>
      </c>
      <c r="H598">
        <v>20.7</v>
      </c>
      <c r="I598" t="s">
        <v>1259</v>
      </c>
      <c r="J598" t="s">
        <v>370</v>
      </c>
      <c r="K598" t="s">
        <v>335</v>
      </c>
      <c r="L598" s="7" t="str">
        <f t="shared" si="18"/>
        <v>No</v>
      </c>
      <c r="M598" s="16">
        <f t="shared" ca="1" si="19"/>
        <v>0</v>
      </c>
    </row>
    <row r="599" spans="1:13">
      <c r="A599" t="s">
        <v>640</v>
      </c>
      <c r="B599" t="s">
        <v>162</v>
      </c>
      <c r="C599" t="s">
        <v>381</v>
      </c>
      <c r="D599" t="s">
        <v>1261</v>
      </c>
      <c r="E599" s="4">
        <v>46006.625</v>
      </c>
      <c r="F599">
        <v>4</v>
      </c>
      <c r="G599">
        <v>2.6</v>
      </c>
      <c r="H599">
        <v>62.9</v>
      </c>
      <c r="I599" t="s">
        <v>1259</v>
      </c>
      <c r="J599" t="s">
        <v>378</v>
      </c>
      <c r="K599" t="s">
        <v>335</v>
      </c>
      <c r="L599" s="7" t="str">
        <f t="shared" si="18"/>
        <v>Yes</v>
      </c>
      <c r="M599" s="16">
        <f t="shared" ca="1" si="19"/>
        <v>0</v>
      </c>
    </row>
    <row r="600" spans="1:13">
      <c r="A600" t="s">
        <v>1558</v>
      </c>
      <c r="B600" t="s">
        <v>235</v>
      </c>
      <c r="C600" t="s">
        <v>476</v>
      </c>
      <c r="D600" t="s">
        <v>1258</v>
      </c>
      <c r="E600" s="4">
        <v>46058.25</v>
      </c>
      <c r="F600">
        <v>4</v>
      </c>
      <c r="G600">
        <v>5.8</v>
      </c>
      <c r="H600">
        <v>108.4</v>
      </c>
      <c r="I600" t="s">
        <v>1263</v>
      </c>
      <c r="J600" t="s">
        <v>396</v>
      </c>
      <c r="K600" t="s">
        <v>328</v>
      </c>
      <c r="L600" s="7" t="str">
        <f t="shared" si="18"/>
        <v>Yes</v>
      </c>
      <c r="M600" s="16">
        <f t="shared" ca="1" si="19"/>
        <v>91.75</v>
      </c>
    </row>
    <row r="601" spans="1:13">
      <c r="A601" t="s">
        <v>798</v>
      </c>
      <c r="B601" t="s">
        <v>97</v>
      </c>
      <c r="C601" t="s">
        <v>392</v>
      </c>
      <c r="D601" t="s">
        <v>1258</v>
      </c>
      <c r="E601" s="4">
        <v>45892.5</v>
      </c>
      <c r="F601">
        <v>48</v>
      </c>
      <c r="G601">
        <v>3.5</v>
      </c>
      <c r="H601">
        <v>91.8</v>
      </c>
      <c r="I601" t="s">
        <v>331</v>
      </c>
      <c r="J601" t="s">
        <v>400</v>
      </c>
      <c r="K601" t="s">
        <v>335</v>
      </c>
      <c r="L601" s="7" t="str">
        <f t="shared" si="18"/>
        <v>Yes</v>
      </c>
      <c r="M601" s="16">
        <f t="shared" ca="1" si="19"/>
        <v>257.5</v>
      </c>
    </row>
    <row r="602" spans="1:13">
      <c r="A602" t="s">
        <v>868</v>
      </c>
      <c r="B602" t="s">
        <v>27</v>
      </c>
      <c r="C602" t="s">
        <v>443</v>
      </c>
      <c r="D602" t="s">
        <v>1266</v>
      </c>
      <c r="E602" s="4">
        <v>45925.083333333343</v>
      </c>
      <c r="F602">
        <v>24</v>
      </c>
      <c r="G602">
        <v>6.3</v>
      </c>
      <c r="H602">
        <v>27.1</v>
      </c>
      <c r="I602" t="s">
        <v>1259</v>
      </c>
      <c r="J602" t="s">
        <v>400</v>
      </c>
      <c r="K602" t="s">
        <v>328</v>
      </c>
      <c r="L602" s="7" t="str">
        <f t="shared" si="18"/>
        <v>Yes</v>
      </c>
      <c r="M602" s="16">
        <f t="shared" ca="1" si="19"/>
        <v>0</v>
      </c>
    </row>
    <row r="603" spans="1:13">
      <c r="A603" t="s">
        <v>1559</v>
      </c>
      <c r="B603" t="s">
        <v>80</v>
      </c>
      <c r="C603" t="s">
        <v>369</v>
      </c>
      <c r="D603" t="s">
        <v>1262</v>
      </c>
      <c r="E603" s="4">
        <v>45981.916666666657</v>
      </c>
      <c r="F603">
        <v>72</v>
      </c>
      <c r="G603">
        <v>3.9</v>
      </c>
      <c r="H603">
        <v>58.5</v>
      </c>
      <c r="I603" t="s">
        <v>1259</v>
      </c>
      <c r="J603" t="s">
        <v>400</v>
      </c>
      <c r="K603" t="s">
        <v>335</v>
      </c>
      <c r="L603" s="7" t="str">
        <f t="shared" si="18"/>
        <v>No</v>
      </c>
      <c r="M603" s="16">
        <f t="shared" ca="1" si="19"/>
        <v>0</v>
      </c>
    </row>
    <row r="604" spans="1:13">
      <c r="A604" t="s">
        <v>1560</v>
      </c>
      <c r="B604" t="s">
        <v>45</v>
      </c>
      <c r="C604" t="s">
        <v>392</v>
      </c>
      <c r="D604" t="s">
        <v>1262</v>
      </c>
      <c r="E604" s="4">
        <v>46046.625</v>
      </c>
      <c r="F604">
        <v>72</v>
      </c>
      <c r="G604">
        <v>2</v>
      </c>
      <c r="H604">
        <v>59.4</v>
      </c>
      <c r="I604" t="s">
        <v>331</v>
      </c>
      <c r="J604" t="s">
        <v>393</v>
      </c>
      <c r="K604" t="s">
        <v>335</v>
      </c>
      <c r="L604" s="7" t="str">
        <f t="shared" si="18"/>
        <v>No</v>
      </c>
      <c r="M604" s="16">
        <f t="shared" ca="1" si="19"/>
        <v>103.375</v>
      </c>
    </row>
    <row r="605" spans="1:13">
      <c r="A605" t="s">
        <v>386</v>
      </c>
      <c r="B605" t="s">
        <v>87</v>
      </c>
      <c r="C605" t="s">
        <v>377</v>
      </c>
      <c r="D605" t="s">
        <v>1262</v>
      </c>
      <c r="E605" s="4">
        <v>45907</v>
      </c>
      <c r="F605">
        <v>4</v>
      </c>
      <c r="G605">
        <v>4.8</v>
      </c>
      <c r="H605">
        <v>64</v>
      </c>
      <c r="I605" t="s">
        <v>1259</v>
      </c>
      <c r="J605" t="s">
        <v>387</v>
      </c>
      <c r="K605" t="s">
        <v>328</v>
      </c>
      <c r="L605" s="7" t="str">
        <f t="shared" si="18"/>
        <v>Yes</v>
      </c>
      <c r="M605" s="16">
        <f t="shared" ca="1" si="19"/>
        <v>0</v>
      </c>
    </row>
    <row r="606" spans="1:13">
      <c r="A606" t="s">
        <v>1561</v>
      </c>
      <c r="B606" t="s">
        <v>67</v>
      </c>
      <c r="C606" t="s">
        <v>443</v>
      </c>
      <c r="D606" t="s">
        <v>1262</v>
      </c>
      <c r="E606" s="4">
        <v>45917.375</v>
      </c>
      <c r="F606">
        <v>72</v>
      </c>
      <c r="G606">
        <v>4.0999999999999996</v>
      </c>
      <c r="H606">
        <v>58.8</v>
      </c>
      <c r="I606" t="s">
        <v>1259</v>
      </c>
      <c r="J606" t="s">
        <v>414</v>
      </c>
      <c r="K606" t="s">
        <v>335</v>
      </c>
      <c r="L606" s="7" t="str">
        <f t="shared" si="18"/>
        <v>No</v>
      </c>
      <c r="M606" s="16">
        <f t="shared" ca="1" si="19"/>
        <v>0</v>
      </c>
    </row>
    <row r="607" spans="1:13">
      <c r="A607" t="s">
        <v>1562</v>
      </c>
      <c r="B607" t="s">
        <v>120</v>
      </c>
      <c r="C607" t="s">
        <v>365</v>
      </c>
      <c r="D607" t="s">
        <v>1261</v>
      </c>
      <c r="E607" s="4">
        <v>46093.625</v>
      </c>
      <c r="F607">
        <v>72</v>
      </c>
      <c r="G607">
        <v>1.8</v>
      </c>
      <c r="H607">
        <v>48</v>
      </c>
      <c r="I607" t="s">
        <v>1259</v>
      </c>
      <c r="J607" t="s">
        <v>414</v>
      </c>
      <c r="K607" t="s">
        <v>328</v>
      </c>
      <c r="L607" s="7" t="str">
        <f t="shared" si="18"/>
        <v>No</v>
      </c>
      <c r="M607" s="16">
        <f t="shared" ca="1" si="19"/>
        <v>0</v>
      </c>
    </row>
    <row r="608" spans="1:13">
      <c r="A608" t="s">
        <v>1563</v>
      </c>
      <c r="B608" t="s">
        <v>96</v>
      </c>
      <c r="C608" t="s">
        <v>373</v>
      </c>
      <c r="D608" t="s">
        <v>1266</v>
      </c>
      <c r="E608" s="4">
        <v>45899.5</v>
      </c>
      <c r="F608">
        <v>48</v>
      </c>
      <c r="G608">
        <v>2.2000000000000002</v>
      </c>
      <c r="H608">
        <v>29.9</v>
      </c>
      <c r="I608" t="s">
        <v>1259</v>
      </c>
      <c r="J608" t="s">
        <v>387</v>
      </c>
      <c r="K608" t="s">
        <v>328</v>
      </c>
      <c r="L608" s="7" t="str">
        <f t="shared" si="18"/>
        <v>No</v>
      </c>
      <c r="M608" s="16">
        <f t="shared" ca="1" si="19"/>
        <v>0</v>
      </c>
    </row>
    <row r="609" spans="1:13">
      <c r="A609" t="s">
        <v>568</v>
      </c>
      <c r="B609" t="s">
        <v>162</v>
      </c>
      <c r="C609" t="s">
        <v>392</v>
      </c>
      <c r="D609" t="s">
        <v>1262</v>
      </c>
      <c r="E609" s="4">
        <v>45994.916666666657</v>
      </c>
      <c r="F609">
        <v>8</v>
      </c>
      <c r="G609">
        <v>3.3</v>
      </c>
      <c r="H609">
        <v>11.7</v>
      </c>
      <c r="I609" t="s">
        <v>1259</v>
      </c>
      <c r="J609" t="s">
        <v>440</v>
      </c>
      <c r="K609" t="s">
        <v>328</v>
      </c>
      <c r="L609" s="7" t="str">
        <f t="shared" si="18"/>
        <v>Yes</v>
      </c>
      <c r="M609" s="16">
        <f t="shared" ca="1" si="19"/>
        <v>0</v>
      </c>
    </row>
    <row r="610" spans="1:13">
      <c r="A610" t="s">
        <v>1564</v>
      </c>
      <c r="B610" t="s">
        <v>71</v>
      </c>
      <c r="C610" t="s">
        <v>392</v>
      </c>
      <c r="D610" t="s">
        <v>1258</v>
      </c>
      <c r="E610" s="4">
        <v>46122.875</v>
      </c>
      <c r="F610">
        <v>72</v>
      </c>
      <c r="G610">
        <v>3.8</v>
      </c>
      <c r="H610">
        <v>65.400000000000006</v>
      </c>
      <c r="I610" t="s">
        <v>1259</v>
      </c>
      <c r="J610" t="s">
        <v>414</v>
      </c>
      <c r="K610" t="s">
        <v>328</v>
      </c>
      <c r="L610" s="7" t="str">
        <f t="shared" si="18"/>
        <v>No</v>
      </c>
      <c r="M610" s="16">
        <f t="shared" ca="1" si="19"/>
        <v>0</v>
      </c>
    </row>
    <row r="611" spans="1:13">
      <c r="A611" t="s">
        <v>1565</v>
      </c>
      <c r="B611" t="s">
        <v>21</v>
      </c>
      <c r="C611" t="s">
        <v>467</v>
      </c>
      <c r="D611" t="s">
        <v>1258</v>
      </c>
      <c r="E611" s="4">
        <v>46032.791666666657</v>
      </c>
      <c r="F611">
        <v>24</v>
      </c>
      <c r="G611">
        <v>5</v>
      </c>
      <c r="H611">
        <v>40.200000000000003</v>
      </c>
      <c r="I611" t="s">
        <v>1265</v>
      </c>
      <c r="J611" t="s">
        <v>374</v>
      </c>
      <c r="K611" t="s">
        <v>328</v>
      </c>
      <c r="L611" s="7" t="str">
        <f t="shared" si="18"/>
        <v>Yes</v>
      </c>
      <c r="M611" s="16">
        <f t="shared" ca="1" si="19"/>
        <v>117.20833333334303</v>
      </c>
    </row>
    <row r="612" spans="1:13">
      <c r="A612" t="s">
        <v>989</v>
      </c>
      <c r="B612" t="s">
        <v>53</v>
      </c>
      <c r="C612" t="s">
        <v>417</v>
      </c>
      <c r="D612" t="s">
        <v>1258</v>
      </c>
      <c r="E612" s="4">
        <v>46137</v>
      </c>
      <c r="F612">
        <v>24</v>
      </c>
      <c r="G612">
        <v>2.6</v>
      </c>
      <c r="H612">
        <v>59.1</v>
      </c>
      <c r="I612" t="s">
        <v>1263</v>
      </c>
      <c r="J612" t="s">
        <v>400</v>
      </c>
      <c r="K612" t="s">
        <v>335</v>
      </c>
      <c r="L612" s="7" t="str">
        <f t="shared" si="18"/>
        <v>Yes</v>
      </c>
      <c r="M612" s="16">
        <f t="shared" ca="1" si="19"/>
        <v>13</v>
      </c>
    </row>
    <row r="613" spans="1:13">
      <c r="A613" t="s">
        <v>1108</v>
      </c>
      <c r="B613" t="s">
        <v>43</v>
      </c>
      <c r="C613" t="s">
        <v>392</v>
      </c>
      <c r="D613" t="s">
        <v>1261</v>
      </c>
      <c r="E613" s="4">
        <v>45959.833333333343</v>
      </c>
      <c r="F613">
        <v>24</v>
      </c>
      <c r="G613">
        <v>3.9</v>
      </c>
      <c r="H613">
        <v>122.6</v>
      </c>
      <c r="I613" t="s">
        <v>1265</v>
      </c>
      <c r="J613" t="s">
        <v>393</v>
      </c>
      <c r="K613" t="s">
        <v>328</v>
      </c>
      <c r="L613" s="7" t="str">
        <f t="shared" si="18"/>
        <v>Yes</v>
      </c>
      <c r="M613" s="16">
        <f t="shared" ca="1" si="19"/>
        <v>190.16666666665697</v>
      </c>
    </row>
    <row r="614" spans="1:13">
      <c r="A614" t="s">
        <v>1566</v>
      </c>
      <c r="B614" t="s">
        <v>217</v>
      </c>
      <c r="C614" t="s">
        <v>384</v>
      </c>
      <c r="D614" t="s">
        <v>1261</v>
      </c>
      <c r="E614" s="4">
        <v>46005.041666666657</v>
      </c>
      <c r="F614">
        <v>48</v>
      </c>
      <c r="G614">
        <v>4.3</v>
      </c>
      <c r="H614">
        <v>58.4</v>
      </c>
      <c r="I614" t="s">
        <v>1259</v>
      </c>
      <c r="J614" t="s">
        <v>400</v>
      </c>
      <c r="K614" t="s">
        <v>335</v>
      </c>
      <c r="L614" s="7" t="str">
        <f t="shared" si="18"/>
        <v>Yes</v>
      </c>
      <c r="M614" s="16">
        <f t="shared" ca="1" si="19"/>
        <v>0</v>
      </c>
    </row>
    <row r="615" spans="1:13">
      <c r="A615" t="s">
        <v>1567</v>
      </c>
      <c r="B615" t="s">
        <v>116</v>
      </c>
      <c r="C615" t="s">
        <v>381</v>
      </c>
      <c r="D615" t="s">
        <v>1258</v>
      </c>
      <c r="E615" s="4">
        <v>45850.416666666657</v>
      </c>
      <c r="F615">
        <v>48</v>
      </c>
      <c r="G615">
        <v>3.8</v>
      </c>
      <c r="H615">
        <v>45.2</v>
      </c>
      <c r="I615" t="s">
        <v>1265</v>
      </c>
      <c r="J615" t="s">
        <v>440</v>
      </c>
      <c r="K615" t="s">
        <v>328</v>
      </c>
      <c r="L615" s="7" t="str">
        <f t="shared" si="18"/>
        <v>No</v>
      </c>
      <c r="M615" s="16">
        <f t="shared" ca="1" si="19"/>
        <v>299.58333333334303</v>
      </c>
    </row>
    <row r="616" spans="1:13">
      <c r="A616" t="s">
        <v>1196</v>
      </c>
      <c r="B616" t="s">
        <v>27</v>
      </c>
      <c r="C616" t="s">
        <v>392</v>
      </c>
      <c r="D616" t="s">
        <v>1261</v>
      </c>
      <c r="E616" s="4">
        <v>46093.666666666657</v>
      </c>
      <c r="F616">
        <v>24</v>
      </c>
      <c r="G616">
        <v>1.2</v>
      </c>
      <c r="H616">
        <v>42.2</v>
      </c>
      <c r="I616" t="s">
        <v>1263</v>
      </c>
      <c r="J616" t="s">
        <v>366</v>
      </c>
      <c r="K616" t="s">
        <v>335</v>
      </c>
      <c r="L616" s="7" t="str">
        <f t="shared" si="18"/>
        <v>Yes</v>
      </c>
      <c r="M616" s="16">
        <f t="shared" ca="1" si="19"/>
        <v>56.333333333343035</v>
      </c>
    </row>
    <row r="617" spans="1:13">
      <c r="A617" t="s">
        <v>955</v>
      </c>
      <c r="B617" t="s">
        <v>29</v>
      </c>
      <c r="C617" t="s">
        <v>399</v>
      </c>
      <c r="D617" t="s">
        <v>1262</v>
      </c>
      <c r="E617" s="4">
        <v>46113.25</v>
      </c>
      <c r="F617">
        <v>24</v>
      </c>
      <c r="G617">
        <v>1.9</v>
      </c>
      <c r="H617">
        <v>24</v>
      </c>
      <c r="I617" t="s">
        <v>1259</v>
      </c>
      <c r="J617" t="s">
        <v>366</v>
      </c>
      <c r="K617" t="s">
        <v>323</v>
      </c>
      <c r="L617" s="7" t="str">
        <f t="shared" si="18"/>
        <v>No</v>
      </c>
      <c r="M617" s="16">
        <f t="shared" ca="1" si="19"/>
        <v>0</v>
      </c>
    </row>
    <row r="618" spans="1:13">
      <c r="A618" t="s">
        <v>859</v>
      </c>
      <c r="B618" t="s">
        <v>260</v>
      </c>
      <c r="C618" t="s">
        <v>399</v>
      </c>
      <c r="D618" t="s">
        <v>1262</v>
      </c>
      <c r="E618" s="4">
        <v>46135.125</v>
      </c>
      <c r="F618">
        <v>72</v>
      </c>
      <c r="G618">
        <v>2.2999999999999998</v>
      </c>
      <c r="H618">
        <v>6.7</v>
      </c>
      <c r="I618" t="s">
        <v>1259</v>
      </c>
      <c r="J618" t="s">
        <v>440</v>
      </c>
      <c r="K618" t="s">
        <v>335</v>
      </c>
      <c r="L618" s="7" t="str">
        <f t="shared" si="18"/>
        <v>No</v>
      </c>
      <c r="M618" s="16">
        <f t="shared" ca="1" si="19"/>
        <v>0</v>
      </c>
    </row>
    <row r="619" spans="1:13">
      <c r="A619" t="s">
        <v>700</v>
      </c>
      <c r="B619" t="s">
        <v>192</v>
      </c>
      <c r="C619" t="s">
        <v>417</v>
      </c>
      <c r="D619" t="s">
        <v>1262</v>
      </c>
      <c r="E619" s="4">
        <v>45993.666666666657</v>
      </c>
      <c r="F619">
        <v>24</v>
      </c>
      <c r="G619">
        <v>2.9</v>
      </c>
      <c r="H619">
        <v>42.2</v>
      </c>
      <c r="I619" t="s">
        <v>331</v>
      </c>
      <c r="J619" t="s">
        <v>400</v>
      </c>
      <c r="K619" t="s">
        <v>335</v>
      </c>
      <c r="L619" s="7" t="str">
        <f t="shared" si="18"/>
        <v>Yes</v>
      </c>
      <c r="M619" s="16">
        <f t="shared" ca="1" si="19"/>
        <v>156.33333333334303</v>
      </c>
    </row>
    <row r="620" spans="1:13">
      <c r="A620" t="s">
        <v>1034</v>
      </c>
      <c r="B620" t="s">
        <v>89</v>
      </c>
      <c r="C620" t="s">
        <v>476</v>
      </c>
      <c r="D620" t="s">
        <v>1258</v>
      </c>
      <c r="E620" s="4">
        <v>46119.208333333343</v>
      </c>
      <c r="F620">
        <v>4</v>
      </c>
      <c r="G620">
        <v>4.2</v>
      </c>
      <c r="H620">
        <v>70.7</v>
      </c>
      <c r="I620" t="s">
        <v>331</v>
      </c>
      <c r="J620" t="s">
        <v>440</v>
      </c>
      <c r="K620" t="s">
        <v>328</v>
      </c>
      <c r="L620" s="7" t="str">
        <f t="shared" si="18"/>
        <v>Yes</v>
      </c>
      <c r="M620" s="16">
        <f t="shared" ca="1" si="19"/>
        <v>30.791666666656965</v>
      </c>
    </row>
    <row r="621" spans="1:13">
      <c r="A621" t="s">
        <v>857</v>
      </c>
      <c r="B621" t="s">
        <v>249</v>
      </c>
      <c r="C621" t="s">
        <v>381</v>
      </c>
      <c r="D621" t="s">
        <v>1266</v>
      </c>
      <c r="E621" s="4">
        <v>45976.833333333343</v>
      </c>
      <c r="F621">
        <v>72</v>
      </c>
      <c r="G621">
        <v>5.3</v>
      </c>
      <c r="H621">
        <v>65.7</v>
      </c>
      <c r="I621" t="s">
        <v>1263</v>
      </c>
      <c r="J621" t="s">
        <v>374</v>
      </c>
      <c r="K621" t="s">
        <v>323</v>
      </c>
      <c r="L621" s="7" t="str">
        <f t="shared" si="18"/>
        <v>No</v>
      </c>
      <c r="M621" s="16">
        <f t="shared" ca="1" si="19"/>
        <v>173.16666666665697</v>
      </c>
    </row>
    <row r="622" spans="1:13">
      <c r="A622" t="s">
        <v>826</v>
      </c>
      <c r="B622" t="s">
        <v>140</v>
      </c>
      <c r="C622" t="s">
        <v>373</v>
      </c>
      <c r="D622" t="s">
        <v>1258</v>
      </c>
      <c r="E622" s="4">
        <v>46025.583333333343</v>
      </c>
      <c r="F622">
        <v>8</v>
      </c>
      <c r="G622">
        <v>1.7</v>
      </c>
      <c r="H622">
        <v>101</v>
      </c>
      <c r="I622" t="s">
        <v>1259</v>
      </c>
      <c r="J622" t="s">
        <v>400</v>
      </c>
      <c r="K622" t="s">
        <v>335</v>
      </c>
      <c r="L622" s="7" t="str">
        <f t="shared" si="18"/>
        <v>Yes</v>
      </c>
      <c r="M622" s="16">
        <f t="shared" ca="1" si="19"/>
        <v>0</v>
      </c>
    </row>
    <row r="623" spans="1:13">
      <c r="A623" t="s">
        <v>1568</v>
      </c>
      <c r="B623" t="s">
        <v>199</v>
      </c>
      <c r="C623" t="s">
        <v>399</v>
      </c>
      <c r="D623" t="s">
        <v>1262</v>
      </c>
      <c r="E623" s="4">
        <v>46050.333333333343</v>
      </c>
      <c r="F623">
        <v>24</v>
      </c>
      <c r="G623">
        <v>4.3</v>
      </c>
      <c r="H623">
        <v>20.9</v>
      </c>
      <c r="I623" t="s">
        <v>1259</v>
      </c>
      <c r="J623" t="s">
        <v>400</v>
      </c>
      <c r="K623" t="s">
        <v>328</v>
      </c>
      <c r="L623" s="7" t="str">
        <f t="shared" si="18"/>
        <v>No</v>
      </c>
      <c r="M623" s="16">
        <f t="shared" ca="1" si="19"/>
        <v>0</v>
      </c>
    </row>
    <row r="624" spans="1:13">
      <c r="A624" t="s">
        <v>1569</v>
      </c>
      <c r="B624" t="s">
        <v>36</v>
      </c>
      <c r="C624" t="s">
        <v>384</v>
      </c>
      <c r="D624" t="s">
        <v>1261</v>
      </c>
      <c r="E624" s="4">
        <v>45964.375</v>
      </c>
      <c r="F624">
        <v>48</v>
      </c>
      <c r="G624">
        <v>3.3</v>
      </c>
      <c r="H624">
        <v>133.30000000000001</v>
      </c>
      <c r="I624" t="s">
        <v>1259</v>
      </c>
      <c r="J624" t="s">
        <v>387</v>
      </c>
      <c r="K624" t="s">
        <v>328</v>
      </c>
      <c r="L624" s="7" t="str">
        <f t="shared" si="18"/>
        <v>Yes</v>
      </c>
      <c r="M624" s="16">
        <f t="shared" ca="1" si="19"/>
        <v>0</v>
      </c>
    </row>
    <row r="625" spans="1:13">
      <c r="A625" t="s">
        <v>1570</v>
      </c>
      <c r="B625" t="s">
        <v>285</v>
      </c>
      <c r="C625" t="s">
        <v>467</v>
      </c>
      <c r="D625" t="s">
        <v>1261</v>
      </c>
      <c r="E625" s="4">
        <v>45971.333333333343</v>
      </c>
      <c r="F625">
        <v>72</v>
      </c>
      <c r="G625">
        <v>1.3</v>
      </c>
      <c r="H625">
        <v>115</v>
      </c>
      <c r="I625" t="s">
        <v>1263</v>
      </c>
      <c r="J625" t="s">
        <v>440</v>
      </c>
      <c r="K625" t="s">
        <v>328</v>
      </c>
      <c r="L625" s="7" t="str">
        <f t="shared" si="18"/>
        <v>Yes</v>
      </c>
      <c r="M625" s="16">
        <f t="shared" ca="1" si="19"/>
        <v>178.66666666665697</v>
      </c>
    </row>
    <row r="626" spans="1:13">
      <c r="A626" t="s">
        <v>1571</v>
      </c>
      <c r="B626" t="s">
        <v>43</v>
      </c>
      <c r="C626" t="s">
        <v>399</v>
      </c>
      <c r="D626" t="s">
        <v>1258</v>
      </c>
      <c r="E626" s="4">
        <v>45991.083333333343</v>
      </c>
      <c r="F626">
        <v>48</v>
      </c>
      <c r="G626">
        <v>5.8</v>
      </c>
      <c r="H626">
        <v>91.2</v>
      </c>
      <c r="I626" t="s">
        <v>1259</v>
      </c>
      <c r="J626" t="s">
        <v>400</v>
      </c>
      <c r="K626" t="s">
        <v>323</v>
      </c>
      <c r="L626" s="7" t="str">
        <f t="shared" si="18"/>
        <v>Yes</v>
      </c>
      <c r="M626" s="16">
        <f t="shared" ca="1" si="19"/>
        <v>0</v>
      </c>
    </row>
    <row r="627" spans="1:13">
      <c r="A627" t="s">
        <v>556</v>
      </c>
      <c r="B627" t="s">
        <v>138</v>
      </c>
      <c r="C627" t="s">
        <v>384</v>
      </c>
      <c r="D627" t="s">
        <v>1261</v>
      </c>
      <c r="E627" s="4">
        <v>46131.958333333343</v>
      </c>
      <c r="F627">
        <v>72</v>
      </c>
      <c r="G627">
        <v>6.1</v>
      </c>
      <c r="H627">
        <v>71.5</v>
      </c>
      <c r="I627" t="s">
        <v>1259</v>
      </c>
      <c r="J627" t="s">
        <v>414</v>
      </c>
      <c r="K627" t="s">
        <v>335</v>
      </c>
      <c r="L627" s="7" t="str">
        <f t="shared" si="18"/>
        <v>No</v>
      </c>
      <c r="M627" s="16">
        <f t="shared" ca="1" si="19"/>
        <v>0</v>
      </c>
    </row>
    <row r="628" spans="1:13">
      <c r="A628" t="s">
        <v>1572</v>
      </c>
      <c r="B628" t="s">
        <v>87</v>
      </c>
      <c r="C628" t="s">
        <v>399</v>
      </c>
      <c r="D628" t="s">
        <v>1261</v>
      </c>
      <c r="E628" s="4">
        <v>45901.416666666657</v>
      </c>
      <c r="F628">
        <v>24</v>
      </c>
      <c r="G628">
        <v>5.4</v>
      </c>
      <c r="H628">
        <v>99.8</v>
      </c>
      <c r="I628" t="s">
        <v>1259</v>
      </c>
      <c r="J628" t="s">
        <v>370</v>
      </c>
      <c r="K628" t="s">
        <v>328</v>
      </c>
      <c r="L628" s="7" t="str">
        <f t="shared" si="18"/>
        <v>Yes</v>
      </c>
      <c r="M628" s="16">
        <f t="shared" ca="1" si="19"/>
        <v>0</v>
      </c>
    </row>
    <row r="629" spans="1:13">
      <c r="A629" t="s">
        <v>911</v>
      </c>
      <c r="B629" t="s">
        <v>56</v>
      </c>
      <c r="C629" t="s">
        <v>369</v>
      </c>
      <c r="D629" t="s">
        <v>1261</v>
      </c>
      <c r="E629" s="4">
        <v>45893.208333333343</v>
      </c>
      <c r="F629">
        <v>8</v>
      </c>
      <c r="G629">
        <v>6.3</v>
      </c>
      <c r="H629">
        <v>60.6</v>
      </c>
      <c r="I629" t="s">
        <v>331</v>
      </c>
      <c r="J629" t="s">
        <v>374</v>
      </c>
      <c r="K629" t="s">
        <v>328</v>
      </c>
      <c r="L629" s="7" t="str">
        <f t="shared" si="18"/>
        <v>Yes</v>
      </c>
      <c r="M629" s="16">
        <f t="shared" ca="1" si="19"/>
        <v>256.79166666665697</v>
      </c>
    </row>
    <row r="630" spans="1:13">
      <c r="A630" t="s">
        <v>1573</v>
      </c>
      <c r="B630" t="s">
        <v>194</v>
      </c>
      <c r="C630" t="s">
        <v>476</v>
      </c>
      <c r="D630" t="s">
        <v>1258</v>
      </c>
      <c r="E630" s="4">
        <v>45896.416666666657</v>
      </c>
      <c r="F630">
        <v>72</v>
      </c>
      <c r="G630">
        <v>2.9</v>
      </c>
      <c r="H630">
        <v>92.6</v>
      </c>
      <c r="I630" t="s">
        <v>1263</v>
      </c>
      <c r="J630" t="s">
        <v>403</v>
      </c>
      <c r="K630" t="s">
        <v>335</v>
      </c>
      <c r="L630" s="7" t="str">
        <f t="shared" si="18"/>
        <v>Yes</v>
      </c>
      <c r="M630" s="16">
        <f t="shared" ca="1" si="19"/>
        <v>253.58333333334303</v>
      </c>
    </row>
    <row r="631" spans="1:13">
      <c r="A631" t="s">
        <v>1574</v>
      </c>
      <c r="B631" t="s">
        <v>45</v>
      </c>
      <c r="C631" t="s">
        <v>381</v>
      </c>
      <c r="D631" t="s">
        <v>1258</v>
      </c>
      <c r="E631" s="4">
        <v>45996</v>
      </c>
      <c r="F631">
        <v>72</v>
      </c>
      <c r="G631">
        <v>0.4</v>
      </c>
      <c r="H631">
        <v>100.1</v>
      </c>
      <c r="I631" t="s">
        <v>1259</v>
      </c>
      <c r="J631" t="s">
        <v>387</v>
      </c>
      <c r="K631" t="s">
        <v>323</v>
      </c>
      <c r="L631" s="7" t="str">
        <f t="shared" si="18"/>
        <v>Yes</v>
      </c>
      <c r="M631" s="16">
        <f t="shared" ca="1" si="19"/>
        <v>0</v>
      </c>
    </row>
    <row r="632" spans="1:13">
      <c r="A632" t="s">
        <v>1575</v>
      </c>
      <c r="B632" t="s">
        <v>215</v>
      </c>
      <c r="C632" t="s">
        <v>392</v>
      </c>
      <c r="D632" t="s">
        <v>1261</v>
      </c>
      <c r="E632" s="4">
        <v>46121.5</v>
      </c>
      <c r="F632">
        <v>24</v>
      </c>
      <c r="G632">
        <v>4.2</v>
      </c>
      <c r="H632">
        <v>95</v>
      </c>
      <c r="I632" t="s">
        <v>1263</v>
      </c>
      <c r="J632" t="s">
        <v>378</v>
      </c>
      <c r="K632" t="s">
        <v>328</v>
      </c>
      <c r="L632" s="7" t="str">
        <f t="shared" si="18"/>
        <v>Yes</v>
      </c>
      <c r="M632" s="16">
        <f t="shared" ca="1" si="19"/>
        <v>28.5</v>
      </c>
    </row>
    <row r="633" spans="1:13">
      <c r="A633" t="s">
        <v>802</v>
      </c>
      <c r="B633" t="s">
        <v>59</v>
      </c>
      <c r="C633" t="s">
        <v>377</v>
      </c>
      <c r="D633" t="s">
        <v>1262</v>
      </c>
      <c r="E633" s="4">
        <v>46037</v>
      </c>
      <c r="F633">
        <v>48</v>
      </c>
      <c r="G633">
        <v>6</v>
      </c>
      <c r="H633">
        <v>70.599999999999994</v>
      </c>
      <c r="I633" t="s">
        <v>1259</v>
      </c>
      <c r="J633" t="s">
        <v>366</v>
      </c>
      <c r="K633" t="s">
        <v>335</v>
      </c>
      <c r="L633" s="7" t="str">
        <f t="shared" si="18"/>
        <v>Yes</v>
      </c>
      <c r="M633" s="16">
        <f t="shared" ca="1" si="19"/>
        <v>0</v>
      </c>
    </row>
    <row r="634" spans="1:13">
      <c r="A634" t="s">
        <v>559</v>
      </c>
      <c r="B634" t="s">
        <v>192</v>
      </c>
      <c r="C634" t="s">
        <v>384</v>
      </c>
      <c r="D634" t="s">
        <v>1266</v>
      </c>
      <c r="E634" s="4">
        <v>46001.833333333343</v>
      </c>
      <c r="F634">
        <v>48</v>
      </c>
      <c r="G634">
        <v>5.2</v>
      </c>
      <c r="H634">
        <v>22.2</v>
      </c>
      <c r="I634" t="s">
        <v>1265</v>
      </c>
      <c r="J634" t="s">
        <v>440</v>
      </c>
      <c r="K634" t="s">
        <v>335</v>
      </c>
      <c r="L634" s="7" t="str">
        <f t="shared" si="18"/>
        <v>No</v>
      </c>
      <c r="M634" s="16">
        <f t="shared" ca="1" si="19"/>
        <v>148.16666666665697</v>
      </c>
    </row>
    <row r="635" spans="1:13">
      <c r="A635" t="s">
        <v>419</v>
      </c>
      <c r="B635" t="s">
        <v>228</v>
      </c>
      <c r="C635" t="s">
        <v>369</v>
      </c>
      <c r="D635" t="s">
        <v>1266</v>
      </c>
      <c r="E635" s="4">
        <v>46009.916666666657</v>
      </c>
      <c r="F635">
        <v>48</v>
      </c>
      <c r="G635">
        <v>5.7</v>
      </c>
      <c r="H635">
        <v>63.3</v>
      </c>
      <c r="I635" t="s">
        <v>1259</v>
      </c>
      <c r="J635" t="s">
        <v>370</v>
      </c>
      <c r="K635" t="s">
        <v>335</v>
      </c>
      <c r="L635" s="7" t="str">
        <f t="shared" si="18"/>
        <v>Yes</v>
      </c>
      <c r="M635" s="16">
        <f t="shared" ca="1" si="19"/>
        <v>0</v>
      </c>
    </row>
    <row r="636" spans="1:13">
      <c r="A636" t="s">
        <v>1576</v>
      </c>
      <c r="B636" t="s">
        <v>25</v>
      </c>
      <c r="C636" t="s">
        <v>399</v>
      </c>
      <c r="D636" t="s">
        <v>1258</v>
      </c>
      <c r="E636" s="4">
        <v>46147.958333333343</v>
      </c>
      <c r="F636">
        <v>72</v>
      </c>
      <c r="G636">
        <v>4.8</v>
      </c>
      <c r="H636">
        <v>62.4</v>
      </c>
      <c r="I636" t="s">
        <v>1265</v>
      </c>
      <c r="J636" t="s">
        <v>387</v>
      </c>
      <c r="K636" t="s">
        <v>323</v>
      </c>
      <c r="L636" s="7" t="str">
        <f t="shared" si="18"/>
        <v>No</v>
      </c>
      <c r="M636" s="16">
        <f t="shared" ca="1" si="19"/>
        <v>2.0416666666569654</v>
      </c>
    </row>
    <row r="637" spans="1:13">
      <c r="A637" t="s">
        <v>469</v>
      </c>
      <c r="B637" t="s">
        <v>34</v>
      </c>
      <c r="C637" t="s">
        <v>384</v>
      </c>
      <c r="D637" t="s">
        <v>1262</v>
      </c>
      <c r="E637" s="4">
        <v>45908</v>
      </c>
      <c r="F637">
        <v>48</v>
      </c>
      <c r="G637">
        <v>1.5</v>
      </c>
      <c r="H637">
        <v>24.6</v>
      </c>
      <c r="I637" t="s">
        <v>1259</v>
      </c>
      <c r="J637" t="s">
        <v>456</v>
      </c>
      <c r="K637" t="s">
        <v>328</v>
      </c>
      <c r="L637" s="7" t="str">
        <f t="shared" si="18"/>
        <v>No</v>
      </c>
      <c r="M637" s="16">
        <f t="shared" ca="1" si="19"/>
        <v>0</v>
      </c>
    </row>
    <row r="638" spans="1:13">
      <c r="A638" t="s">
        <v>649</v>
      </c>
      <c r="B638" t="s">
        <v>186</v>
      </c>
      <c r="C638" t="s">
        <v>476</v>
      </c>
      <c r="D638" t="s">
        <v>1262</v>
      </c>
      <c r="E638" s="4">
        <v>45905.791666666657</v>
      </c>
      <c r="F638">
        <v>48</v>
      </c>
      <c r="G638">
        <v>5.2</v>
      </c>
      <c r="H638">
        <v>25.6</v>
      </c>
      <c r="I638" t="s">
        <v>1259</v>
      </c>
      <c r="J638" t="s">
        <v>370</v>
      </c>
      <c r="K638" t="s">
        <v>328</v>
      </c>
      <c r="L638" s="7" t="str">
        <f t="shared" si="18"/>
        <v>No</v>
      </c>
      <c r="M638" s="16">
        <f t="shared" ca="1" si="19"/>
        <v>0</v>
      </c>
    </row>
    <row r="639" spans="1:13">
      <c r="A639" t="s">
        <v>1577</v>
      </c>
      <c r="B639" t="s">
        <v>23</v>
      </c>
      <c r="C639" t="s">
        <v>384</v>
      </c>
      <c r="D639" t="s">
        <v>1262</v>
      </c>
      <c r="E639" s="4">
        <v>46006.375</v>
      </c>
      <c r="F639">
        <v>8</v>
      </c>
      <c r="G639">
        <v>0.7</v>
      </c>
      <c r="H639">
        <v>29.2</v>
      </c>
      <c r="I639" t="s">
        <v>1259</v>
      </c>
      <c r="J639" t="s">
        <v>400</v>
      </c>
      <c r="K639" t="s">
        <v>323</v>
      </c>
      <c r="L639" s="7" t="str">
        <f t="shared" si="18"/>
        <v>Yes</v>
      </c>
      <c r="M639" s="16">
        <f t="shared" ca="1" si="19"/>
        <v>0</v>
      </c>
    </row>
    <row r="640" spans="1:13">
      <c r="A640" t="s">
        <v>616</v>
      </c>
      <c r="B640" t="s">
        <v>235</v>
      </c>
      <c r="C640" t="s">
        <v>373</v>
      </c>
      <c r="D640" t="s">
        <v>1266</v>
      </c>
      <c r="E640" s="4">
        <v>46124.833333333343</v>
      </c>
      <c r="F640">
        <v>72</v>
      </c>
      <c r="G640">
        <v>4.0999999999999996</v>
      </c>
      <c r="H640">
        <v>69.8</v>
      </c>
      <c r="I640" t="s">
        <v>1263</v>
      </c>
      <c r="J640" t="s">
        <v>366</v>
      </c>
      <c r="K640" t="s">
        <v>335</v>
      </c>
      <c r="L640" s="7" t="str">
        <f t="shared" si="18"/>
        <v>No</v>
      </c>
      <c r="M640" s="16">
        <f t="shared" ca="1" si="19"/>
        <v>25.166666666656965</v>
      </c>
    </row>
    <row r="641" spans="1:13">
      <c r="A641" t="s">
        <v>407</v>
      </c>
      <c r="B641" t="s">
        <v>232</v>
      </c>
      <c r="C641" t="s">
        <v>384</v>
      </c>
      <c r="D641" t="s">
        <v>1261</v>
      </c>
      <c r="E641" s="4">
        <v>46058.791666666657</v>
      </c>
      <c r="F641">
        <v>24</v>
      </c>
      <c r="G641">
        <v>1.1000000000000001</v>
      </c>
      <c r="H641">
        <v>128.9</v>
      </c>
      <c r="I641" t="s">
        <v>331</v>
      </c>
      <c r="J641" t="s">
        <v>374</v>
      </c>
      <c r="K641" t="s">
        <v>328</v>
      </c>
      <c r="L641" s="7" t="str">
        <f t="shared" si="18"/>
        <v>Yes</v>
      </c>
      <c r="M641" s="16">
        <f t="shared" ca="1" si="19"/>
        <v>91.208333333343035</v>
      </c>
    </row>
    <row r="642" spans="1:13">
      <c r="A642" t="s">
        <v>550</v>
      </c>
      <c r="B642" t="s">
        <v>97</v>
      </c>
      <c r="C642" t="s">
        <v>381</v>
      </c>
      <c r="D642" t="s">
        <v>1258</v>
      </c>
      <c r="E642" s="4">
        <v>46071.875</v>
      </c>
      <c r="F642">
        <v>48</v>
      </c>
      <c r="G642">
        <v>0.9</v>
      </c>
      <c r="H642">
        <v>96.7</v>
      </c>
      <c r="I642" t="s">
        <v>331</v>
      </c>
      <c r="J642" t="s">
        <v>393</v>
      </c>
      <c r="K642" t="s">
        <v>335</v>
      </c>
      <c r="L642" s="7" t="str">
        <f t="shared" ref="L642:L701" si="20">IF(H642&gt;F642,"Yes","No")</f>
        <v>Yes</v>
      </c>
      <c r="M642" s="16">
        <f t="shared" ref="M642:M701" ca="1" si="21">IF(I642="Closed",0,TODAY()-E642)</f>
        <v>78.125</v>
      </c>
    </row>
    <row r="643" spans="1:13">
      <c r="A643" t="s">
        <v>1578</v>
      </c>
      <c r="B643" t="s">
        <v>260</v>
      </c>
      <c r="C643" t="s">
        <v>365</v>
      </c>
      <c r="D643" t="s">
        <v>1258</v>
      </c>
      <c r="E643" s="4">
        <v>46059.25</v>
      </c>
      <c r="F643">
        <v>72</v>
      </c>
      <c r="G643">
        <v>1.6</v>
      </c>
      <c r="H643">
        <v>111.3</v>
      </c>
      <c r="I643" t="s">
        <v>1259</v>
      </c>
      <c r="J643" t="s">
        <v>366</v>
      </c>
      <c r="K643" t="s">
        <v>335</v>
      </c>
      <c r="L643" s="7" t="str">
        <f t="shared" si="20"/>
        <v>Yes</v>
      </c>
      <c r="M643" s="16">
        <f t="shared" ca="1" si="21"/>
        <v>0</v>
      </c>
    </row>
    <row r="644" spans="1:13">
      <c r="A644" t="s">
        <v>1579</v>
      </c>
      <c r="B644" t="s">
        <v>133</v>
      </c>
      <c r="C644" t="s">
        <v>369</v>
      </c>
      <c r="D644" t="s">
        <v>1262</v>
      </c>
      <c r="E644" s="4">
        <v>45853.375</v>
      </c>
      <c r="F644">
        <v>24</v>
      </c>
      <c r="G644">
        <v>1.7</v>
      </c>
      <c r="H644">
        <v>35.5</v>
      </c>
      <c r="I644" t="s">
        <v>331</v>
      </c>
      <c r="J644" t="s">
        <v>374</v>
      </c>
      <c r="K644" t="s">
        <v>323</v>
      </c>
      <c r="L644" s="7" t="str">
        <f t="shared" si="20"/>
        <v>Yes</v>
      </c>
      <c r="M644" s="16">
        <f t="shared" ca="1" si="21"/>
        <v>296.625</v>
      </c>
    </row>
    <row r="645" spans="1:13">
      <c r="A645" t="s">
        <v>1580</v>
      </c>
      <c r="B645" t="s">
        <v>34</v>
      </c>
      <c r="C645" t="s">
        <v>365</v>
      </c>
      <c r="D645" t="s">
        <v>1261</v>
      </c>
      <c r="E645" s="4">
        <v>46079.166666666657</v>
      </c>
      <c r="F645">
        <v>24</v>
      </c>
      <c r="G645">
        <v>6.3</v>
      </c>
      <c r="H645">
        <v>55.1</v>
      </c>
      <c r="I645" t="s">
        <v>331</v>
      </c>
      <c r="J645" t="s">
        <v>400</v>
      </c>
      <c r="K645" t="s">
        <v>323</v>
      </c>
      <c r="L645" s="7" t="str">
        <f t="shared" si="20"/>
        <v>Yes</v>
      </c>
      <c r="M645" s="16">
        <f t="shared" ca="1" si="21"/>
        <v>70.833333333343035</v>
      </c>
    </row>
    <row r="646" spans="1:13">
      <c r="A646" t="s">
        <v>1119</v>
      </c>
      <c r="B646" t="s">
        <v>208</v>
      </c>
      <c r="C646" t="s">
        <v>381</v>
      </c>
      <c r="D646" t="s">
        <v>1262</v>
      </c>
      <c r="E646" s="4">
        <v>45876.125</v>
      </c>
      <c r="F646">
        <v>72</v>
      </c>
      <c r="G646">
        <v>0.6</v>
      </c>
      <c r="H646">
        <v>26.6</v>
      </c>
      <c r="I646" t="s">
        <v>331</v>
      </c>
      <c r="J646" t="s">
        <v>396</v>
      </c>
      <c r="K646" t="s">
        <v>323</v>
      </c>
      <c r="L646" s="7" t="str">
        <f t="shared" si="20"/>
        <v>No</v>
      </c>
      <c r="M646" s="16">
        <f t="shared" ca="1" si="21"/>
        <v>273.875</v>
      </c>
    </row>
    <row r="647" spans="1:13">
      <c r="A647" t="s">
        <v>1581</v>
      </c>
      <c r="B647" t="s">
        <v>147</v>
      </c>
      <c r="C647" t="s">
        <v>443</v>
      </c>
      <c r="D647" t="s">
        <v>1262</v>
      </c>
      <c r="E647" s="4">
        <v>45862</v>
      </c>
      <c r="F647">
        <v>24</v>
      </c>
      <c r="G647">
        <v>3.4</v>
      </c>
      <c r="H647">
        <v>30.2</v>
      </c>
      <c r="I647" t="s">
        <v>1263</v>
      </c>
      <c r="J647" t="s">
        <v>378</v>
      </c>
      <c r="K647" t="s">
        <v>335</v>
      </c>
      <c r="L647" s="7" t="str">
        <f t="shared" si="20"/>
        <v>Yes</v>
      </c>
      <c r="M647" s="16">
        <f t="shared" ca="1" si="21"/>
        <v>288</v>
      </c>
    </row>
    <row r="648" spans="1:13">
      <c r="A648" t="s">
        <v>961</v>
      </c>
      <c r="B648" t="s">
        <v>53</v>
      </c>
      <c r="C648" t="s">
        <v>476</v>
      </c>
      <c r="D648" t="s">
        <v>1261</v>
      </c>
      <c r="E648" s="4">
        <v>45930.333333333343</v>
      </c>
      <c r="F648">
        <v>8</v>
      </c>
      <c r="G648">
        <v>3.4</v>
      </c>
      <c r="H648">
        <v>125.2</v>
      </c>
      <c r="I648" t="s">
        <v>1259</v>
      </c>
      <c r="J648" t="s">
        <v>403</v>
      </c>
      <c r="K648" t="s">
        <v>328</v>
      </c>
      <c r="L648" s="7" t="str">
        <f t="shared" si="20"/>
        <v>Yes</v>
      </c>
      <c r="M648" s="16">
        <f t="shared" ca="1" si="21"/>
        <v>0</v>
      </c>
    </row>
    <row r="649" spans="1:13">
      <c r="A649" t="s">
        <v>1582</v>
      </c>
      <c r="B649" t="s">
        <v>199</v>
      </c>
      <c r="C649" t="s">
        <v>381</v>
      </c>
      <c r="D649" t="s">
        <v>1258</v>
      </c>
      <c r="E649" s="4">
        <v>45911.333333333343</v>
      </c>
      <c r="F649">
        <v>4</v>
      </c>
      <c r="G649">
        <v>2.2000000000000002</v>
      </c>
      <c r="H649">
        <v>131.6</v>
      </c>
      <c r="I649" t="s">
        <v>1259</v>
      </c>
      <c r="J649" t="s">
        <v>393</v>
      </c>
      <c r="K649" t="s">
        <v>323</v>
      </c>
      <c r="L649" s="7" t="str">
        <f t="shared" si="20"/>
        <v>Yes</v>
      </c>
      <c r="M649" s="16">
        <f t="shared" ca="1" si="21"/>
        <v>0</v>
      </c>
    </row>
    <row r="650" spans="1:13">
      <c r="A650" t="s">
        <v>1028</v>
      </c>
      <c r="B650" t="s">
        <v>351</v>
      </c>
      <c r="C650" t="s">
        <v>369</v>
      </c>
      <c r="D650" t="s">
        <v>1261</v>
      </c>
      <c r="E650" s="4">
        <v>45973.791666666657</v>
      </c>
      <c r="F650">
        <v>24</v>
      </c>
      <c r="G650">
        <v>3.5</v>
      </c>
      <c r="H650">
        <v>60.1</v>
      </c>
      <c r="I650" t="s">
        <v>331</v>
      </c>
      <c r="J650" t="s">
        <v>370</v>
      </c>
      <c r="K650" t="s">
        <v>335</v>
      </c>
      <c r="L650" s="7" t="str">
        <f t="shared" si="20"/>
        <v>Yes</v>
      </c>
      <c r="M650" s="16">
        <f t="shared" ca="1" si="21"/>
        <v>176.20833333334303</v>
      </c>
    </row>
    <row r="651" spans="1:13">
      <c r="A651" t="s">
        <v>1583</v>
      </c>
      <c r="B651" t="s">
        <v>96</v>
      </c>
      <c r="C651" t="s">
        <v>384</v>
      </c>
      <c r="D651" t="s">
        <v>1262</v>
      </c>
      <c r="E651" s="4">
        <v>46064.041666666657</v>
      </c>
      <c r="F651">
        <v>8</v>
      </c>
      <c r="G651">
        <v>1.1000000000000001</v>
      </c>
      <c r="H651">
        <v>18.899999999999999</v>
      </c>
      <c r="I651" t="s">
        <v>1265</v>
      </c>
      <c r="J651" t="s">
        <v>393</v>
      </c>
      <c r="K651" t="s">
        <v>328</v>
      </c>
      <c r="L651" s="7" t="str">
        <f t="shared" si="20"/>
        <v>Yes</v>
      </c>
      <c r="M651" s="16">
        <f t="shared" ca="1" si="21"/>
        <v>85.958333333343035</v>
      </c>
    </row>
    <row r="652" spans="1:13">
      <c r="A652" t="s">
        <v>828</v>
      </c>
      <c r="B652" t="s">
        <v>101</v>
      </c>
      <c r="C652" t="s">
        <v>365</v>
      </c>
      <c r="D652" t="s">
        <v>1258</v>
      </c>
      <c r="E652" s="4">
        <v>46092.041666666657</v>
      </c>
      <c r="F652">
        <v>48</v>
      </c>
      <c r="G652">
        <v>2.4</v>
      </c>
      <c r="H652">
        <v>96.1</v>
      </c>
      <c r="I652" t="s">
        <v>1259</v>
      </c>
      <c r="J652" t="s">
        <v>440</v>
      </c>
      <c r="K652" t="s">
        <v>328</v>
      </c>
      <c r="L652" s="7" t="str">
        <f t="shared" si="20"/>
        <v>Yes</v>
      </c>
      <c r="M652" s="16">
        <f t="shared" ca="1" si="21"/>
        <v>0</v>
      </c>
    </row>
    <row r="653" spans="1:13">
      <c r="A653" t="s">
        <v>622</v>
      </c>
      <c r="B653" t="s">
        <v>69</v>
      </c>
      <c r="C653" t="s">
        <v>381</v>
      </c>
      <c r="D653" t="s">
        <v>1262</v>
      </c>
      <c r="E653" s="4">
        <v>45902.458333333343</v>
      </c>
      <c r="F653">
        <v>4</v>
      </c>
      <c r="G653">
        <v>1.5</v>
      </c>
      <c r="H653">
        <v>23</v>
      </c>
      <c r="I653" t="s">
        <v>1259</v>
      </c>
      <c r="J653" t="s">
        <v>370</v>
      </c>
      <c r="K653" t="s">
        <v>323</v>
      </c>
      <c r="L653" s="7" t="str">
        <f t="shared" si="20"/>
        <v>Yes</v>
      </c>
      <c r="M653" s="16">
        <f t="shared" ca="1" si="21"/>
        <v>0</v>
      </c>
    </row>
    <row r="654" spans="1:13">
      <c r="A654" t="s">
        <v>570</v>
      </c>
      <c r="B654" t="s">
        <v>73</v>
      </c>
      <c r="C654" t="s">
        <v>467</v>
      </c>
      <c r="D654" t="s">
        <v>1262</v>
      </c>
      <c r="E654" s="4">
        <v>46138.25</v>
      </c>
      <c r="F654">
        <v>72</v>
      </c>
      <c r="G654">
        <v>6.5</v>
      </c>
      <c r="H654">
        <v>1.9</v>
      </c>
      <c r="I654" t="s">
        <v>1259</v>
      </c>
      <c r="J654" t="s">
        <v>403</v>
      </c>
      <c r="K654" t="s">
        <v>335</v>
      </c>
      <c r="L654" s="7" t="str">
        <f t="shared" si="20"/>
        <v>No</v>
      </c>
      <c r="M654" s="16">
        <f t="shared" ca="1" si="21"/>
        <v>0</v>
      </c>
    </row>
    <row r="655" spans="1:13">
      <c r="A655" t="s">
        <v>907</v>
      </c>
      <c r="B655" t="s">
        <v>215</v>
      </c>
      <c r="C655" t="s">
        <v>399</v>
      </c>
      <c r="D655" t="s">
        <v>1261</v>
      </c>
      <c r="E655" s="4">
        <v>46094.875</v>
      </c>
      <c r="F655">
        <v>4</v>
      </c>
      <c r="G655">
        <v>5.8</v>
      </c>
      <c r="H655">
        <v>6.2</v>
      </c>
      <c r="I655" t="s">
        <v>1259</v>
      </c>
      <c r="J655" t="s">
        <v>378</v>
      </c>
      <c r="K655" t="s">
        <v>328</v>
      </c>
      <c r="L655" s="7" t="str">
        <f t="shared" si="20"/>
        <v>Yes</v>
      </c>
      <c r="M655" s="16">
        <f t="shared" ca="1" si="21"/>
        <v>0</v>
      </c>
    </row>
    <row r="656" spans="1:13">
      <c r="A656" t="s">
        <v>1584</v>
      </c>
      <c r="B656" t="s">
        <v>21</v>
      </c>
      <c r="C656" t="s">
        <v>417</v>
      </c>
      <c r="D656" t="s">
        <v>1262</v>
      </c>
      <c r="E656" s="4">
        <v>45893.416666666657</v>
      </c>
      <c r="F656">
        <v>8</v>
      </c>
      <c r="G656">
        <v>0.4</v>
      </c>
      <c r="H656">
        <v>36.200000000000003</v>
      </c>
      <c r="I656" t="s">
        <v>1259</v>
      </c>
      <c r="J656" t="s">
        <v>440</v>
      </c>
      <c r="K656" t="s">
        <v>335</v>
      </c>
      <c r="L656" s="7" t="str">
        <f t="shared" si="20"/>
        <v>Yes</v>
      </c>
      <c r="M656" s="16">
        <f t="shared" ca="1" si="21"/>
        <v>0</v>
      </c>
    </row>
    <row r="657" spans="1:13">
      <c r="A657" t="s">
        <v>1585</v>
      </c>
      <c r="B657" t="s">
        <v>140</v>
      </c>
      <c r="C657" t="s">
        <v>467</v>
      </c>
      <c r="D657" t="s">
        <v>1262</v>
      </c>
      <c r="E657" s="4">
        <v>45841.416666666657</v>
      </c>
      <c r="F657">
        <v>4</v>
      </c>
      <c r="G657">
        <v>4.3</v>
      </c>
      <c r="H657">
        <v>73.099999999999994</v>
      </c>
      <c r="I657" t="s">
        <v>1259</v>
      </c>
      <c r="J657" t="s">
        <v>370</v>
      </c>
      <c r="K657" t="s">
        <v>323</v>
      </c>
      <c r="L657" s="7" t="str">
        <f t="shared" si="20"/>
        <v>Yes</v>
      </c>
      <c r="M657" s="16">
        <f t="shared" ca="1" si="21"/>
        <v>0</v>
      </c>
    </row>
    <row r="658" spans="1:13">
      <c r="A658" t="s">
        <v>764</v>
      </c>
      <c r="B658" t="s">
        <v>14</v>
      </c>
      <c r="C658" t="s">
        <v>443</v>
      </c>
      <c r="D658" t="s">
        <v>1261</v>
      </c>
      <c r="E658" s="4">
        <v>45863.833333333343</v>
      </c>
      <c r="F658">
        <v>24</v>
      </c>
      <c r="G658">
        <v>2.2000000000000002</v>
      </c>
      <c r="H658">
        <v>10.1</v>
      </c>
      <c r="I658" t="s">
        <v>1265</v>
      </c>
      <c r="J658" t="s">
        <v>374</v>
      </c>
      <c r="K658" t="s">
        <v>335</v>
      </c>
      <c r="L658" s="7" t="str">
        <f t="shared" si="20"/>
        <v>No</v>
      </c>
      <c r="M658" s="16">
        <f t="shared" ca="1" si="21"/>
        <v>286.16666666665697</v>
      </c>
    </row>
    <row r="659" spans="1:13">
      <c r="A659" t="s">
        <v>806</v>
      </c>
      <c r="B659" t="s">
        <v>283</v>
      </c>
      <c r="C659" t="s">
        <v>369</v>
      </c>
      <c r="D659" t="s">
        <v>1261</v>
      </c>
      <c r="E659" s="4">
        <v>45961.5</v>
      </c>
      <c r="F659">
        <v>4</v>
      </c>
      <c r="G659">
        <v>0.3</v>
      </c>
      <c r="H659">
        <v>30.2</v>
      </c>
      <c r="I659" t="s">
        <v>1259</v>
      </c>
      <c r="J659" t="s">
        <v>400</v>
      </c>
      <c r="K659" t="s">
        <v>335</v>
      </c>
      <c r="L659" s="7" t="str">
        <f t="shared" si="20"/>
        <v>Yes</v>
      </c>
      <c r="M659" s="16">
        <f t="shared" ca="1" si="21"/>
        <v>0</v>
      </c>
    </row>
    <row r="660" spans="1:13">
      <c r="A660" t="s">
        <v>1083</v>
      </c>
      <c r="B660" t="s">
        <v>34</v>
      </c>
      <c r="C660" t="s">
        <v>392</v>
      </c>
      <c r="D660" t="s">
        <v>1261</v>
      </c>
      <c r="E660" s="4">
        <v>45991.625</v>
      </c>
      <c r="F660">
        <v>48</v>
      </c>
      <c r="G660">
        <v>4.8</v>
      </c>
      <c r="H660">
        <v>124.1</v>
      </c>
      <c r="I660" t="s">
        <v>1263</v>
      </c>
      <c r="J660" t="s">
        <v>374</v>
      </c>
      <c r="K660" t="s">
        <v>328</v>
      </c>
      <c r="L660" s="7" t="str">
        <f t="shared" si="20"/>
        <v>Yes</v>
      </c>
      <c r="M660" s="16">
        <f t="shared" ca="1" si="21"/>
        <v>158.375</v>
      </c>
    </row>
    <row r="661" spans="1:13">
      <c r="A661" t="s">
        <v>810</v>
      </c>
      <c r="B661" t="s">
        <v>151</v>
      </c>
      <c r="C661" t="s">
        <v>392</v>
      </c>
      <c r="D661" t="s">
        <v>1261</v>
      </c>
      <c r="E661" s="4">
        <v>46027.666666666657</v>
      </c>
      <c r="F661">
        <v>8</v>
      </c>
      <c r="G661">
        <v>3.3</v>
      </c>
      <c r="H661">
        <v>119.3</v>
      </c>
      <c r="I661" t="s">
        <v>1259</v>
      </c>
      <c r="J661" t="s">
        <v>374</v>
      </c>
      <c r="K661" t="s">
        <v>323</v>
      </c>
      <c r="L661" s="7" t="str">
        <f t="shared" si="20"/>
        <v>Yes</v>
      </c>
      <c r="M661" s="16">
        <f t="shared" ca="1" si="21"/>
        <v>0</v>
      </c>
    </row>
    <row r="662" spans="1:13">
      <c r="A662" t="s">
        <v>1586</v>
      </c>
      <c r="B662" t="s">
        <v>208</v>
      </c>
      <c r="C662" t="s">
        <v>399</v>
      </c>
      <c r="D662" t="s">
        <v>1262</v>
      </c>
      <c r="E662" s="4">
        <v>46027.791666666657</v>
      </c>
      <c r="F662">
        <v>8</v>
      </c>
      <c r="G662">
        <v>2.9</v>
      </c>
      <c r="H662">
        <v>33.6</v>
      </c>
      <c r="I662" t="s">
        <v>1265</v>
      </c>
      <c r="J662" t="s">
        <v>396</v>
      </c>
      <c r="K662" t="s">
        <v>335</v>
      </c>
      <c r="L662" s="7" t="str">
        <f t="shared" si="20"/>
        <v>Yes</v>
      </c>
      <c r="M662" s="16">
        <f t="shared" ca="1" si="21"/>
        <v>122.20833333334303</v>
      </c>
    </row>
    <row r="663" spans="1:13">
      <c r="A663" t="s">
        <v>723</v>
      </c>
      <c r="B663" t="s">
        <v>185</v>
      </c>
      <c r="C663" t="s">
        <v>377</v>
      </c>
      <c r="D663" t="s">
        <v>1262</v>
      </c>
      <c r="E663" s="4">
        <v>45918.625</v>
      </c>
      <c r="F663">
        <v>72</v>
      </c>
      <c r="G663">
        <v>4.2</v>
      </c>
      <c r="H663">
        <v>41.1</v>
      </c>
      <c r="I663" t="s">
        <v>331</v>
      </c>
      <c r="J663" t="s">
        <v>400</v>
      </c>
      <c r="K663" t="s">
        <v>328</v>
      </c>
      <c r="L663" s="7" t="str">
        <f t="shared" si="20"/>
        <v>No</v>
      </c>
      <c r="M663" s="16">
        <f t="shared" ca="1" si="21"/>
        <v>231.375</v>
      </c>
    </row>
    <row r="664" spans="1:13">
      <c r="A664" t="s">
        <v>1587</v>
      </c>
      <c r="B664" t="s">
        <v>14</v>
      </c>
      <c r="C664" t="s">
        <v>365</v>
      </c>
      <c r="D664" t="s">
        <v>1258</v>
      </c>
      <c r="E664" s="4">
        <v>45904.875</v>
      </c>
      <c r="F664">
        <v>24</v>
      </c>
      <c r="G664">
        <v>5.5</v>
      </c>
      <c r="H664">
        <v>71.599999999999994</v>
      </c>
      <c r="I664" t="s">
        <v>331</v>
      </c>
      <c r="J664" t="s">
        <v>387</v>
      </c>
      <c r="K664" t="s">
        <v>323</v>
      </c>
      <c r="L664" s="7" t="str">
        <f t="shared" si="20"/>
        <v>Yes</v>
      </c>
      <c r="M664" s="16">
        <f t="shared" ca="1" si="21"/>
        <v>245.125</v>
      </c>
    </row>
    <row r="665" spans="1:13">
      <c r="A665" t="s">
        <v>1185</v>
      </c>
      <c r="B665" t="s">
        <v>188</v>
      </c>
      <c r="C665" t="s">
        <v>373</v>
      </c>
      <c r="D665" t="s">
        <v>1258</v>
      </c>
      <c r="E665" s="4">
        <v>46100.541666666657</v>
      </c>
      <c r="F665">
        <v>48</v>
      </c>
      <c r="G665">
        <v>0.8</v>
      </c>
      <c r="H665">
        <v>89.8</v>
      </c>
      <c r="I665" t="s">
        <v>1259</v>
      </c>
      <c r="J665" t="s">
        <v>393</v>
      </c>
      <c r="K665" t="s">
        <v>335</v>
      </c>
      <c r="L665" s="7" t="str">
        <f t="shared" si="20"/>
        <v>Yes</v>
      </c>
      <c r="M665" s="16">
        <f t="shared" ca="1" si="21"/>
        <v>0</v>
      </c>
    </row>
    <row r="666" spans="1:13">
      <c r="A666" t="s">
        <v>496</v>
      </c>
      <c r="B666" t="s">
        <v>262</v>
      </c>
      <c r="C666" t="s">
        <v>443</v>
      </c>
      <c r="D666" t="s">
        <v>1261</v>
      </c>
      <c r="E666" s="4">
        <v>46096</v>
      </c>
      <c r="F666">
        <v>4</v>
      </c>
      <c r="G666">
        <v>4.9000000000000004</v>
      </c>
      <c r="H666">
        <v>63.7</v>
      </c>
      <c r="I666" t="s">
        <v>1259</v>
      </c>
      <c r="J666" t="s">
        <v>400</v>
      </c>
      <c r="K666" t="s">
        <v>328</v>
      </c>
      <c r="L666" s="7" t="str">
        <f t="shared" si="20"/>
        <v>Yes</v>
      </c>
      <c r="M666" s="16">
        <f t="shared" ca="1" si="21"/>
        <v>0</v>
      </c>
    </row>
    <row r="667" spans="1:13">
      <c r="A667" t="s">
        <v>527</v>
      </c>
      <c r="B667" t="s">
        <v>105</v>
      </c>
      <c r="C667" t="s">
        <v>369</v>
      </c>
      <c r="D667" t="s">
        <v>1262</v>
      </c>
      <c r="E667" s="4">
        <v>45991.416666666657</v>
      </c>
      <c r="F667">
        <v>72</v>
      </c>
      <c r="G667">
        <v>4.8</v>
      </c>
      <c r="H667">
        <v>58.6</v>
      </c>
      <c r="I667" t="s">
        <v>1259</v>
      </c>
      <c r="J667" t="s">
        <v>393</v>
      </c>
      <c r="K667" t="s">
        <v>335</v>
      </c>
      <c r="L667" s="7" t="str">
        <f t="shared" si="20"/>
        <v>No</v>
      </c>
      <c r="M667" s="16">
        <f t="shared" ca="1" si="21"/>
        <v>0</v>
      </c>
    </row>
    <row r="668" spans="1:13">
      <c r="A668" t="s">
        <v>1588</v>
      </c>
      <c r="B668" t="s">
        <v>215</v>
      </c>
      <c r="C668" t="s">
        <v>384</v>
      </c>
      <c r="D668" t="s">
        <v>1261</v>
      </c>
      <c r="E668" s="4">
        <v>45879.958333333343</v>
      </c>
      <c r="F668">
        <v>72</v>
      </c>
      <c r="G668">
        <v>1.8</v>
      </c>
      <c r="H668">
        <v>91.4</v>
      </c>
      <c r="I668" t="s">
        <v>1259</v>
      </c>
      <c r="J668" t="s">
        <v>387</v>
      </c>
      <c r="K668" t="s">
        <v>328</v>
      </c>
      <c r="L668" s="7" t="str">
        <f t="shared" si="20"/>
        <v>Yes</v>
      </c>
      <c r="M668" s="16">
        <f t="shared" ca="1" si="21"/>
        <v>0</v>
      </c>
    </row>
    <row r="669" spans="1:13">
      <c r="A669" t="s">
        <v>575</v>
      </c>
      <c r="B669" t="s">
        <v>21</v>
      </c>
      <c r="C669" t="s">
        <v>399</v>
      </c>
      <c r="D669" t="s">
        <v>1261</v>
      </c>
      <c r="E669" s="4">
        <v>46083.583333333343</v>
      </c>
      <c r="F669">
        <v>48</v>
      </c>
      <c r="G669">
        <v>5.7</v>
      </c>
      <c r="H669">
        <v>129.9</v>
      </c>
      <c r="I669" t="s">
        <v>1259</v>
      </c>
      <c r="J669" t="s">
        <v>440</v>
      </c>
      <c r="K669" t="s">
        <v>335</v>
      </c>
      <c r="L669" s="7" t="str">
        <f t="shared" si="20"/>
        <v>Yes</v>
      </c>
      <c r="M669" s="16">
        <f t="shared" ca="1" si="21"/>
        <v>0</v>
      </c>
    </row>
    <row r="670" spans="1:13">
      <c r="A670" t="s">
        <v>1589</v>
      </c>
      <c r="B670" t="s">
        <v>89</v>
      </c>
      <c r="C670" t="s">
        <v>443</v>
      </c>
      <c r="D670" t="s">
        <v>1258</v>
      </c>
      <c r="E670" s="4">
        <v>46041.375</v>
      </c>
      <c r="F670">
        <v>4</v>
      </c>
      <c r="G670">
        <v>1</v>
      </c>
      <c r="H670">
        <v>4.5999999999999996</v>
      </c>
      <c r="I670" t="s">
        <v>331</v>
      </c>
      <c r="J670" t="s">
        <v>387</v>
      </c>
      <c r="K670" t="s">
        <v>323</v>
      </c>
      <c r="L670" s="7" t="str">
        <f t="shared" si="20"/>
        <v>Yes</v>
      </c>
      <c r="M670" s="16">
        <f t="shared" ca="1" si="21"/>
        <v>108.625</v>
      </c>
    </row>
    <row r="671" spans="1:13">
      <c r="A671" t="s">
        <v>936</v>
      </c>
      <c r="B671" t="s">
        <v>202</v>
      </c>
      <c r="C671" t="s">
        <v>373</v>
      </c>
      <c r="D671" t="s">
        <v>1261</v>
      </c>
      <c r="E671" s="4">
        <v>45913.833333333343</v>
      </c>
      <c r="F671">
        <v>8</v>
      </c>
      <c r="G671">
        <v>2.9</v>
      </c>
      <c r="H671">
        <v>85.2</v>
      </c>
      <c r="I671" t="s">
        <v>1259</v>
      </c>
      <c r="J671" t="s">
        <v>366</v>
      </c>
      <c r="K671" t="s">
        <v>328</v>
      </c>
      <c r="L671" s="7" t="str">
        <f t="shared" si="20"/>
        <v>Yes</v>
      </c>
      <c r="M671" s="16">
        <f t="shared" ca="1" si="21"/>
        <v>0</v>
      </c>
    </row>
    <row r="672" spans="1:13">
      <c r="A672" t="s">
        <v>875</v>
      </c>
      <c r="B672" t="s">
        <v>196</v>
      </c>
      <c r="C672" t="s">
        <v>365</v>
      </c>
      <c r="D672" t="s">
        <v>1261</v>
      </c>
      <c r="E672" s="4">
        <v>46055</v>
      </c>
      <c r="F672">
        <v>4</v>
      </c>
      <c r="G672">
        <v>1.2</v>
      </c>
      <c r="H672">
        <v>22.9</v>
      </c>
      <c r="I672" t="s">
        <v>1259</v>
      </c>
      <c r="J672" t="s">
        <v>440</v>
      </c>
      <c r="K672" t="s">
        <v>335</v>
      </c>
      <c r="L672" s="7" t="str">
        <f t="shared" si="20"/>
        <v>Yes</v>
      </c>
      <c r="M672" s="16">
        <f t="shared" ca="1" si="21"/>
        <v>0</v>
      </c>
    </row>
    <row r="673" spans="1:13">
      <c r="A673" t="s">
        <v>1209</v>
      </c>
      <c r="B673" t="s">
        <v>116</v>
      </c>
      <c r="C673" t="s">
        <v>365</v>
      </c>
      <c r="D673" t="s">
        <v>1262</v>
      </c>
      <c r="E673" s="4">
        <v>45942.375</v>
      </c>
      <c r="F673">
        <v>72</v>
      </c>
      <c r="G673">
        <v>5.4</v>
      </c>
      <c r="H673">
        <v>31.1</v>
      </c>
      <c r="I673" t="s">
        <v>1259</v>
      </c>
      <c r="J673" t="s">
        <v>456</v>
      </c>
      <c r="K673" t="s">
        <v>323</v>
      </c>
      <c r="L673" s="7" t="str">
        <f t="shared" si="20"/>
        <v>No</v>
      </c>
      <c r="M673" s="16">
        <f t="shared" ca="1" si="21"/>
        <v>0</v>
      </c>
    </row>
    <row r="674" spans="1:13">
      <c r="A674" t="s">
        <v>1590</v>
      </c>
      <c r="B674" t="s">
        <v>69</v>
      </c>
      <c r="C674" t="s">
        <v>381</v>
      </c>
      <c r="D674" t="s">
        <v>1258</v>
      </c>
      <c r="E674" s="4">
        <v>46051.625</v>
      </c>
      <c r="F674">
        <v>72</v>
      </c>
      <c r="G674">
        <v>4</v>
      </c>
      <c r="H674">
        <v>75.7</v>
      </c>
      <c r="I674" t="s">
        <v>331</v>
      </c>
      <c r="J674" t="s">
        <v>440</v>
      </c>
      <c r="K674" t="s">
        <v>335</v>
      </c>
      <c r="L674" s="7" t="str">
        <f t="shared" si="20"/>
        <v>Yes</v>
      </c>
      <c r="M674" s="16">
        <f t="shared" ca="1" si="21"/>
        <v>98.375</v>
      </c>
    </row>
    <row r="675" spans="1:13">
      <c r="A675" t="s">
        <v>1030</v>
      </c>
      <c r="B675" t="s">
        <v>194</v>
      </c>
      <c r="C675" t="s">
        <v>476</v>
      </c>
      <c r="D675" t="s">
        <v>1262</v>
      </c>
      <c r="E675" s="4">
        <v>46088.291666666657</v>
      </c>
      <c r="F675">
        <v>4</v>
      </c>
      <c r="G675">
        <v>3.5</v>
      </c>
      <c r="H675">
        <v>33.299999999999997</v>
      </c>
      <c r="I675" t="s">
        <v>1259</v>
      </c>
      <c r="J675" t="s">
        <v>456</v>
      </c>
      <c r="K675" t="s">
        <v>335</v>
      </c>
      <c r="L675" s="7" t="str">
        <f t="shared" si="20"/>
        <v>Yes</v>
      </c>
      <c r="M675" s="16">
        <f t="shared" ca="1" si="21"/>
        <v>0</v>
      </c>
    </row>
    <row r="676" spans="1:13">
      <c r="A676" t="s">
        <v>1591</v>
      </c>
      <c r="B676" t="s">
        <v>155</v>
      </c>
      <c r="C676" t="s">
        <v>392</v>
      </c>
      <c r="D676" t="s">
        <v>1258</v>
      </c>
      <c r="E676" s="4">
        <v>46081.125</v>
      </c>
      <c r="F676">
        <v>48</v>
      </c>
      <c r="G676">
        <v>4.0999999999999996</v>
      </c>
      <c r="H676">
        <v>87.8</v>
      </c>
      <c r="I676" t="s">
        <v>1259</v>
      </c>
      <c r="J676" t="s">
        <v>400</v>
      </c>
      <c r="K676" t="s">
        <v>328</v>
      </c>
      <c r="L676" s="7" t="str">
        <f t="shared" si="20"/>
        <v>Yes</v>
      </c>
      <c r="M676" s="16">
        <f t="shared" ca="1" si="21"/>
        <v>0</v>
      </c>
    </row>
    <row r="677" spans="1:13">
      <c r="A677" t="s">
        <v>515</v>
      </c>
      <c r="B677" t="s">
        <v>285</v>
      </c>
      <c r="C677" t="s">
        <v>467</v>
      </c>
      <c r="D677" t="s">
        <v>1262</v>
      </c>
      <c r="E677" s="4">
        <v>46079.458333333343</v>
      </c>
      <c r="F677">
        <v>48</v>
      </c>
      <c r="G677">
        <v>1.7</v>
      </c>
      <c r="H677">
        <v>18.100000000000001</v>
      </c>
      <c r="I677" t="s">
        <v>1263</v>
      </c>
      <c r="J677" t="s">
        <v>396</v>
      </c>
      <c r="K677" t="s">
        <v>323</v>
      </c>
      <c r="L677" s="7" t="str">
        <f t="shared" si="20"/>
        <v>No</v>
      </c>
      <c r="M677" s="16">
        <f t="shared" ca="1" si="21"/>
        <v>70.541666666656965</v>
      </c>
    </row>
    <row r="678" spans="1:13">
      <c r="A678" t="s">
        <v>614</v>
      </c>
      <c r="B678" t="s">
        <v>204</v>
      </c>
      <c r="C678" t="s">
        <v>381</v>
      </c>
      <c r="D678" t="s">
        <v>1262</v>
      </c>
      <c r="E678" s="4">
        <v>45906.375</v>
      </c>
      <c r="F678">
        <v>48</v>
      </c>
      <c r="G678">
        <v>6.2</v>
      </c>
      <c r="H678">
        <v>64.2</v>
      </c>
      <c r="I678" t="s">
        <v>1259</v>
      </c>
      <c r="J678" t="s">
        <v>370</v>
      </c>
      <c r="K678" t="s">
        <v>335</v>
      </c>
      <c r="L678" s="7" t="str">
        <f t="shared" si="20"/>
        <v>Yes</v>
      </c>
      <c r="M678" s="16">
        <f t="shared" ca="1" si="21"/>
        <v>0</v>
      </c>
    </row>
    <row r="679" spans="1:13">
      <c r="A679" t="s">
        <v>1592</v>
      </c>
      <c r="B679" t="s">
        <v>120</v>
      </c>
      <c r="C679" t="s">
        <v>365</v>
      </c>
      <c r="D679" t="s">
        <v>1262</v>
      </c>
      <c r="E679" s="4">
        <v>45921.791666666657</v>
      </c>
      <c r="F679">
        <v>8</v>
      </c>
      <c r="G679">
        <v>2</v>
      </c>
      <c r="H679">
        <v>57.9</v>
      </c>
      <c r="I679" t="s">
        <v>1259</v>
      </c>
      <c r="J679" t="s">
        <v>403</v>
      </c>
      <c r="K679" t="s">
        <v>328</v>
      </c>
      <c r="L679" s="7" t="str">
        <f t="shared" si="20"/>
        <v>Yes</v>
      </c>
      <c r="M679" s="16">
        <f t="shared" ca="1" si="21"/>
        <v>0</v>
      </c>
    </row>
    <row r="680" spans="1:13">
      <c r="A680" t="s">
        <v>1593</v>
      </c>
      <c r="B680" t="s">
        <v>32</v>
      </c>
      <c r="C680" t="s">
        <v>384</v>
      </c>
      <c r="D680" t="s">
        <v>1262</v>
      </c>
      <c r="E680" s="4">
        <v>45890.541666666657</v>
      </c>
      <c r="F680">
        <v>48</v>
      </c>
      <c r="G680">
        <v>2.1</v>
      </c>
      <c r="H680">
        <v>17.3</v>
      </c>
      <c r="I680" t="s">
        <v>1265</v>
      </c>
      <c r="J680" t="s">
        <v>387</v>
      </c>
      <c r="K680" t="s">
        <v>335</v>
      </c>
      <c r="L680" s="7" t="str">
        <f t="shared" si="20"/>
        <v>No</v>
      </c>
      <c r="M680" s="16">
        <f t="shared" ca="1" si="21"/>
        <v>259.45833333334303</v>
      </c>
    </row>
    <row r="681" spans="1:13">
      <c r="A681" t="s">
        <v>949</v>
      </c>
      <c r="B681" t="s">
        <v>164</v>
      </c>
      <c r="C681" t="s">
        <v>467</v>
      </c>
      <c r="D681" t="s">
        <v>1258</v>
      </c>
      <c r="E681" s="4">
        <v>45920.208333333343</v>
      </c>
      <c r="F681">
        <v>72</v>
      </c>
      <c r="G681">
        <v>0.4</v>
      </c>
      <c r="H681">
        <v>11.2</v>
      </c>
      <c r="I681" t="s">
        <v>1259</v>
      </c>
      <c r="J681" t="s">
        <v>374</v>
      </c>
      <c r="K681" t="s">
        <v>328</v>
      </c>
      <c r="L681" s="7" t="str">
        <f t="shared" si="20"/>
        <v>No</v>
      </c>
      <c r="M681" s="16">
        <f t="shared" ca="1" si="21"/>
        <v>0</v>
      </c>
    </row>
    <row r="682" spans="1:13">
      <c r="A682" t="s">
        <v>775</v>
      </c>
      <c r="B682" t="s">
        <v>121</v>
      </c>
      <c r="C682" t="s">
        <v>476</v>
      </c>
      <c r="D682" t="s">
        <v>1261</v>
      </c>
      <c r="E682" s="4">
        <v>45971.416666666657</v>
      </c>
      <c r="F682">
        <v>24</v>
      </c>
      <c r="G682">
        <v>5</v>
      </c>
      <c r="H682">
        <v>104.1</v>
      </c>
      <c r="I682" t="s">
        <v>1259</v>
      </c>
      <c r="J682" t="s">
        <v>403</v>
      </c>
      <c r="K682" t="s">
        <v>323</v>
      </c>
      <c r="L682" s="7" t="str">
        <f t="shared" si="20"/>
        <v>Yes</v>
      </c>
      <c r="M682" s="16">
        <f t="shared" ca="1" si="21"/>
        <v>0</v>
      </c>
    </row>
    <row r="683" spans="1:13">
      <c r="A683" t="s">
        <v>929</v>
      </c>
      <c r="B683" t="s">
        <v>227</v>
      </c>
      <c r="C683" t="s">
        <v>476</v>
      </c>
      <c r="D683" t="s">
        <v>1262</v>
      </c>
      <c r="E683" s="4">
        <v>45892.916666666657</v>
      </c>
      <c r="F683">
        <v>4</v>
      </c>
      <c r="G683">
        <v>6</v>
      </c>
      <c r="H683">
        <v>34.5</v>
      </c>
      <c r="I683" t="s">
        <v>1259</v>
      </c>
      <c r="J683" t="s">
        <v>456</v>
      </c>
      <c r="K683" t="s">
        <v>328</v>
      </c>
      <c r="L683" s="7" t="str">
        <f t="shared" si="20"/>
        <v>Yes</v>
      </c>
      <c r="M683" s="16">
        <f t="shared" ca="1" si="21"/>
        <v>0</v>
      </c>
    </row>
    <row r="684" spans="1:13">
      <c r="A684" t="s">
        <v>796</v>
      </c>
      <c r="B684" t="s">
        <v>127</v>
      </c>
      <c r="C684" t="s">
        <v>443</v>
      </c>
      <c r="D684" t="s">
        <v>1262</v>
      </c>
      <c r="E684" s="4">
        <v>45891.708333333343</v>
      </c>
      <c r="F684">
        <v>4</v>
      </c>
      <c r="G684">
        <v>3.4</v>
      </c>
      <c r="H684">
        <v>14.2</v>
      </c>
      <c r="I684" t="s">
        <v>331</v>
      </c>
      <c r="J684" t="s">
        <v>366</v>
      </c>
      <c r="K684" t="s">
        <v>335</v>
      </c>
      <c r="L684" s="7" t="str">
        <f t="shared" si="20"/>
        <v>Yes</v>
      </c>
      <c r="M684" s="16">
        <f t="shared" ca="1" si="21"/>
        <v>258.29166666665697</v>
      </c>
    </row>
    <row r="685" spans="1:13">
      <c r="A685" t="s">
        <v>1218</v>
      </c>
      <c r="B685" t="s">
        <v>285</v>
      </c>
      <c r="C685" t="s">
        <v>381</v>
      </c>
      <c r="D685" t="s">
        <v>1261</v>
      </c>
      <c r="E685" s="4">
        <v>46065.666666666657</v>
      </c>
      <c r="F685">
        <v>48</v>
      </c>
      <c r="G685">
        <v>4.8</v>
      </c>
      <c r="H685">
        <v>15.9</v>
      </c>
      <c r="I685" t="s">
        <v>1259</v>
      </c>
      <c r="J685" t="s">
        <v>396</v>
      </c>
      <c r="K685" t="s">
        <v>328</v>
      </c>
      <c r="L685" s="7" t="str">
        <f t="shared" si="20"/>
        <v>No</v>
      </c>
      <c r="M685" s="16">
        <f t="shared" ca="1" si="21"/>
        <v>0</v>
      </c>
    </row>
    <row r="686" spans="1:13">
      <c r="A686" t="s">
        <v>995</v>
      </c>
      <c r="B686" t="s">
        <v>121</v>
      </c>
      <c r="C686" t="s">
        <v>377</v>
      </c>
      <c r="D686" t="s">
        <v>1258</v>
      </c>
      <c r="E686" s="4">
        <v>46051</v>
      </c>
      <c r="F686">
        <v>8</v>
      </c>
      <c r="G686">
        <v>5.5</v>
      </c>
      <c r="H686">
        <v>65.099999999999994</v>
      </c>
      <c r="I686" t="s">
        <v>331</v>
      </c>
      <c r="J686" t="s">
        <v>403</v>
      </c>
      <c r="K686" t="s">
        <v>328</v>
      </c>
      <c r="L686" s="7" t="str">
        <f t="shared" si="20"/>
        <v>Yes</v>
      </c>
      <c r="M686" s="16">
        <f t="shared" ca="1" si="21"/>
        <v>99</v>
      </c>
    </row>
    <row r="687" spans="1:13">
      <c r="A687" t="s">
        <v>1594</v>
      </c>
      <c r="B687" t="s">
        <v>131</v>
      </c>
      <c r="C687" t="s">
        <v>417</v>
      </c>
      <c r="D687" t="s">
        <v>1262</v>
      </c>
      <c r="E687" s="4">
        <v>46051.458333333343</v>
      </c>
      <c r="F687">
        <v>8</v>
      </c>
      <c r="G687">
        <v>1.2</v>
      </c>
      <c r="H687">
        <v>58.3</v>
      </c>
      <c r="I687" t="s">
        <v>1259</v>
      </c>
      <c r="J687" t="s">
        <v>366</v>
      </c>
      <c r="K687" t="s">
        <v>328</v>
      </c>
      <c r="L687" s="7" t="str">
        <f t="shared" si="20"/>
        <v>Yes</v>
      </c>
      <c r="M687" s="16">
        <f t="shared" ca="1" si="21"/>
        <v>0</v>
      </c>
    </row>
    <row r="688" spans="1:13">
      <c r="A688" t="s">
        <v>991</v>
      </c>
      <c r="B688" t="s">
        <v>183</v>
      </c>
      <c r="C688" t="s">
        <v>369</v>
      </c>
      <c r="D688" t="s">
        <v>1258</v>
      </c>
      <c r="E688" s="4">
        <v>46048.583333333343</v>
      </c>
      <c r="F688">
        <v>72</v>
      </c>
      <c r="G688">
        <v>5.2</v>
      </c>
      <c r="H688">
        <v>50.4</v>
      </c>
      <c r="I688" t="s">
        <v>1265</v>
      </c>
      <c r="J688" t="s">
        <v>403</v>
      </c>
      <c r="K688" t="s">
        <v>328</v>
      </c>
      <c r="L688" s="7" t="str">
        <f t="shared" si="20"/>
        <v>No</v>
      </c>
      <c r="M688" s="16">
        <f t="shared" ca="1" si="21"/>
        <v>101.41666666665697</v>
      </c>
    </row>
    <row r="689" spans="1:13">
      <c r="A689" t="s">
        <v>498</v>
      </c>
      <c r="B689" t="s">
        <v>294</v>
      </c>
      <c r="C689" t="s">
        <v>476</v>
      </c>
      <c r="D689" t="s">
        <v>1266</v>
      </c>
      <c r="E689" s="4">
        <v>45882.416666666657</v>
      </c>
      <c r="F689">
        <v>24</v>
      </c>
      <c r="G689">
        <v>2.7</v>
      </c>
      <c r="H689">
        <v>59.7</v>
      </c>
      <c r="I689" t="s">
        <v>1259</v>
      </c>
      <c r="J689" t="s">
        <v>400</v>
      </c>
      <c r="K689" t="s">
        <v>328</v>
      </c>
      <c r="L689" s="7" t="str">
        <f t="shared" si="20"/>
        <v>Yes</v>
      </c>
      <c r="M689" s="16">
        <f t="shared" ca="1" si="21"/>
        <v>0</v>
      </c>
    </row>
    <row r="690" spans="1:13">
      <c r="A690" t="s">
        <v>1595</v>
      </c>
      <c r="B690" t="s">
        <v>249</v>
      </c>
      <c r="C690" t="s">
        <v>392</v>
      </c>
      <c r="D690" t="s">
        <v>1261</v>
      </c>
      <c r="E690" s="4">
        <v>46133.041666666657</v>
      </c>
      <c r="F690">
        <v>72</v>
      </c>
      <c r="G690">
        <v>6.3</v>
      </c>
      <c r="H690">
        <v>58</v>
      </c>
      <c r="I690" t="s">
        <v>1259</v>
      </c>
      <c r="J690" t="s">
        <v>370</v>
      </c>
      <c r="K690" t="s">
        <v>323</v>
      </c>
      <c r="L690" s="7" t="str">
        <f t="shared" si="20"/>
        <v>No</v>
      </c>
      <c r="M690" s="16">
        <f t="shared" ca="1" si="21"/>
        <v>0</v>
      </c>
    </row>
    <row r="691" spans="1:13">
      <c r="A691" t="s">
        <v>920</v>
      </c>
      <c r="B691" t="s">
        <v>227</v>
      </c>
      <c r="C691" t="s">
        <v>467</v>
      </c>
      <c r="D691" t="s">
        <v>1262</v>
      </c>
      <c r="E691" s="4">
        <v>45999.458333333343</v>
      </c>
      <c r="F691">
        <v>4</v>
      </c>
      <c r="G691">
        <v>5.4</v>
      </c>
      <c r="H691">
        <v>69.3</v>
      </c>
      <c r="I691" t="s">
        <v>1259</v>
      </c>
      <c r="J691" t="s">
        <v>403</v>
      </c>
      <c r="K691" t="s">
        <v>323</v>
      </c>
      <c r="L691" s="7" t="str">
        <f t="shared" si="20"/>
        <v>Yes</v>
      </c>
      <c r="M691" s="16">
        <f t="shared" ca="1" si="21"/>
        <v>0</v>
      </c>
    </row>
    <row r="692" spans="1:13">
      <c r="A692" t="s">
        <v>1596</v>
      </c>
      <c r="B692" t="s">
        <v>110</v>
      </c>
      <c r="C692" t="s">
        <v>365</v>
      </c>
      <c r="D692" t="s">
        <v>1262</v>
      </c>
      <c r="E692" s="4">
        <v>46117.791666666657</v>
      </c>
      <c r="F692">
        <v>72</v>
      </c>
      <c r="G692">
        <v>4.3</v>
      </c>
      <c r="H692">
        <v>54</v>
      </c>
      <c r="I692" t="s">
        <v>1259</v>
      </c>
      <c r="J692" t="s">
        <v>378</v>
      </c>
      <c r="K692" t="s">
        <v>335</v>
      </c>
      <c r="L692" s="7" t="str">
        <f t="shared" si="20"/>
        <v>No</v>
      </c>
      <c r="M692" s="16">
        <f t="shared" ca="1" si="21"/>
        <v>0</v>
      </c>
    </row>
    <row r="693" spans="1:13">
      <c r="A693" t="s">
        <v>564</v>
      </c>
      <c r="B693" t="s">
        <v>40</v>
      </c>
      <c r="C693" t="s">
        <v>377</v>
      </c>
      <c r="D693" t="s">
        <v>1262</v>
      </c>
      <c r="E693" s="4">
        <v>45882.041666666657</v>
      </c>
      <c r="F693">
        <v>72</v>
      </c>
      <c r="G693">
        <v>2.2999999999999998</v>
      </c>
      <c r="H693">
        <v>56.1</v>
      </c>
      <c r="I693" t="s">
        <v>1259</v>
      </c>
      <c r="J693" t="s">
        <v>403</v>
      </c>
      <c r="K693" t="s">
        <v>323</v>
      </c>
      <c r="L693" s="7" t="str">
        <f t="shared" si="20"/>
        <v>No</v>
      </c>
      <c r="M693" s="16">
        <f t="shared" ca="1" si="21"/>
        <v>0</v>
      </c>
    </row>
    <row r="694" spans="1:13">
      <c r="A694" t="s">
        <v>855</v>
      </c>
      <c r="B694" t="s">
        <v>76</v>
      </c>
      <c r="C694" t="s">
        <v>467</v>
      </c>
      <c r="D694" t="s">
        <v>1261</v>
      </c>
      <c r="E694" s="4">
        <v>46100.708333333343</v>
      </c>
      <c r="F694">
        <v>24</v>
      </c>
      <c r="G694">
        <v>3.5</v>
      </c>
      <c r="H694">
        <v>102.4</v>
      </c>
      <c r="I694" t="s">
        <v>331</v>
      </c>
      <c r="J694" t="s">
        <v>387</v>
      </c>
      <c r="K694" t="s">
        <v>323</v>
      </c>
      <c r="L694" s="7" t="str">
        <f t="shared" si="20"/>
        <v>Yes</v>
      </c>
      <c r="M694" s="16">
        <f t="shared" ca="1" si="21"/>
        <v>49.291666666656965</v>
      </c>
    </row>
    <row r="695" spans="1:13">
      <c r="A695" t="s">
        <v>1597</v>
      </c>
      <c r="B695" t="s">
        <v>168</v>
      </c>
      <c r="C695" t="s">
        <v>467</v>
      </c>
      <c r="D695" t="s">
        <v>1261</v>
      </c>
      <c r="E695" s="4">
        <v>45994.958333333343</v>
      </c>
      <c r="F695">
        <v>48</v>
      </c>
      <c r="G695">
        <v>6.4</v>
      </c>
      <c r="H695">
        <v>17.3</v>
      </c>
      <c r="I695" t="s">
        <v>1265</v>
      </c>
      <c r="J695" t="s">
        <v>396</v>
      </c>
      <c r="K695" t="s">
        <v>335</v>
      </c>
      <c r="L695" s="7" t="str">
        <f t="shared" si="20"/>
        <v>No</v>
      </c>
      <c r="M695" s="16">
        <f t="shared" ca="1" si="21"/>
        <v>155.04166666665697</v>
      </c>
    </row>
    <row r="696" spans="1:13">
      <c r="A696" t="s">
        <v>523</v>
      </c>
      <c r="B696" t="s">
        <v>140</v>
      </c>
      <c r="C696" t="s">
        <v>476</v>
      </c>
      <c r="D696" t="s">
        <v>1258</v>
      </c>
      <c r="E696" s="4">
        <v>45863.833333333343</v>
      </c>
      <c r="F696">
        <v>4</v>
      </c>
      <c r="G696">
        <v>3</v>
      </c>
      <c r="H696">
        <v>78.099999999999994</v>
      </c>
      <c r="I696" t="s">
        <v>1265</v>
      </c>
      <c r="J696" t="s">
        <v>396</v>
      </c>
      <c r="K696" t="s">
        <v>328</v>
      </c>
      <c r="L696" s="7" t="str">
        <f t="shared" si="20"/>
        <v>Yes</v>
      </c>
      <c r="M696" s="16">
        <f t="shared" ca="1" si="21"/>
        <v>286.16666666665697</v>
      </c>
    </row>
    <row r="697" spans="1:13">
      <c r="A697" t="s">
        <v>1598</v>
      </c>
      <c r="B697" t="s">
        <v>61</v>
      </c>
      <c r="C697" t="s">
        <v>381</v>
      </c>
      <c r="D697" t="s">
        <v>1266</v>
      </c>
      <c r="E697" s="4">
        <v>46128.916666666657</v>
      </c>
      <c r="F697">
        <v>72</v>
      </c>
      <c r="G697">
        <v>5.5</v>
      </c>
      <c r="H697">
        <v>19.2</v>
      </c>
      <c r="I697" t="s">
        <v>331</v>
      </c>
      <c r="J697" t="s">
        <v>378</v>
      </c>
      <c r="K697" t="s">
        <v>323</v>
      </c>
      <c r="L697" s="7" t="str">
        <f t="shared" si="20"/>
        <v>No</v>
      </c>
      <c r="M697" s="16">
        <f t="shared" ca="1" si="21"/>
        <v>21.083333333343035</v>
      </c>
    </row>
    <row r="698" spans="1:13">
      <c r="A698" t="s">
        <v>1599</v>
      </c>
      <c r="B698" t="s">
        <v>66</v>
      </c>
      <c r="C698" t="s">
        <v>392</v>
      </c>
      <c r="D698" t="s">
        <v>1261</v>
      </c>
      <c r="E698" s="4">
        <v>46032.666666666657</v>
      </c>
      <c r="F698">
        <v>8</v>
      </c>
      <c r="G698">
        <v>0.9</v>
      </c>
      <c r="H698">
        <v>70.8</v>
      </c>
      <c r="I698" t="s">
        <v>331</v>
      </c>
      <c r="J698" t="s">
        <v>396</v>
      </c>
      <c r="K698" t="s">
        <v>335</v>
      </c>
      <c r="L698" s="7" t="str">
        <f t="shared" si="20"/>
        <v>Yes</v>
      </c>
      <c r="M698" s="16">
        <f t="shared" ca="1" si="21"/>
        <v>117.33333333334303</v>
      </c>
    </row>
    <row r="699" spans="1:13">
      <c r="A699" t="s">
        <v>1600</v>
      </c>
      <c r="B699" t="s">
        <v>118</v>
      </c>
      <c r="C699" t="s">
        <v>384</v>
      </c>
      <c r="D699" t="s">
        <v>1262</v>
      </c>
      <c r="E699" s="4">
        <v>46049.083333333343</v>
      </c>
      <c r="F699">
        <v>4</v>
      </c>
      <c r="G699">
        <v>0.6</v>
      </c>
      <c r="H699">
        <v>68.400000000000006</v>
      </c>
      <c r="I699" t="s">
        <v>1259</v>
      </c>
      <c r="J699" t="s">
        <v>440</v>
      </c>
      <c r="K699" t="s">
        <v>328</v>
      </c>
      <c r="L699" s="7" t="str">
        <f t="shared" si="20"/>
        <v>Yes</v>
      </c>
      <c r="M699" s="16">
        <f t="shared" ca="1" si="21"/>
        <v>0</v>
      </c>
    </row>
    <row r="700" spans="1:13">
      <c r="A700" t="s">
        <v>1601</v>
      </c>
      <c r="B700" t="s">
        <v>91</v>
      </c>
      <c r="C700" t="s">
        <v>392</v>
      </c>
      <c r="D700" t="s">
        <v>1258</v>
      </c>
      <c r="E700" s="4">
        <v>46140.708333333343</v>
      </c>
      <c r="F700">
        <v>72</v>
      </c>
      <c r="G700">
        <v>5.0999999999999996</v>
      </c>
      <c r="H700">
        <v>117.6</v>
      </c>
      <c r="I700" t="s">
        <v>1259</v>
      </c>
      <c r="J700" t="s">
        <v>378</v>
      </c>
      <c r="K700" t="s">
        <v>335</v>
      </c>
      <c r="L700" s="7" t="str">
        <f t="shared" si="20"/>
        <v>Yes</v>
      </c>
      <c r="M700" s="16">
        <f t="shared" ca="1" si="21"/>
        <v>0</v>
      </c>
    </row>
    <row r="701" spans="1:13">
      <c r="A701" t="s">
        <v>662</v>
      </c>
      <c r="B701" t="s">
        <v>142</v>
      </c>
      <c r="C701" t="s">
        <v>381</v>
      </c>
      <c r="D701" t="s">
        <v>1266</v>
      </c>
      <c r="E701" s="4">
        <v>46089.958333333343</v>
      </c>
      <c r="F701">
        <v>48</v>
      </c>
      <c r="G701">
        <v>5.4</v>
      </c>
      <c r="H701">
        <v>12.5</v>
      </c>
      <c r="I701" t="s">
        <v>331</v>
      </c>
      <c r="J701" t="s">
        <v>370</v>
      </c>
      <c r="K701" t="s">
        <v>335</v>
      </c>
      <c r="L701" s="7" t="str">
        <f t="shared" si="20"/>
        <v>No</v>
      </c>
      <c r="M701" s="16">
        <f t="shared" ca="1" si="21"/>
        <v>60.041666666656965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1"/>
  <sheetViews>
    <sheetView workbookViewId="0"/>
  </sheetViews>
  <sheetFormatPr baseColWidth="10" defaultColWidth="8.83203125" defaultRowHeight="15"/>
  <cols>
    <col min="1" max="1" width="11" customWidth="1"/>
    <col min="2" max="2" width="10.33203125" customWidth="1"/>
    <col min="3" max="3" width="9.1640625" customWidth="1"/>
    <col min="4" max="4" width="20.83203125" customWidth="1"/>
    <col min="5" max="5" width="9.5" customWidth="1"/>
    <col min="6" max="6" width="10.5" customWidth="1"/>
    <col min="7" max="7" width="11" customWidth="1"/>
    <col min="8" max="8" width="22" customWidth="1"/>
    <col min="9" max="9" width="11.6640625" customWidth="1"/>
    <col min="10" max="10" width="9" customWidth="1"/>
  </cols>
  <sheetData>
    <row r="1" spans="1:10" ht="15" customHeight="1">
      <c r="A1" s="3" t="s">
        <v>354</v>
      </c>
      <c r="B1" s="3" t="s">
        <v>355</v>
      </c>
      <c r="C1" s="3" t="s">
        <v>1</v>
      </c>
      <c r="D1" s="3" t="s">
        <v>356</v>
      </c>
      <c r="E1" s="3" t="s">
        <v>357</v>
      </c>
      <c r="F1" s="3" t="s">
        <v>358</v>
      </c>
      <c r="G1" s="3" t="s">
        <v>359</v>
      </c>
      <c r="H1" s="3" t="s">
        <v>360</v>
      </c>
      <c r="I1" s="3" t="s">
        <v>361</v>
      </c>
      <c r="J1" s="3" t="s">
        <v>362</v>
      </c>
    </row>
    <row r="2" spans="1:10">
      <c r="A2" t="s">
        <v>363</v>
      </c>
      <c r="B2" t="s">
        <v>364</v>
      </c>
      <c r="C2" t="s">
        <v>61</v>
      </c>
      <c r="D2" t="s">
        <v>365</v>
      </c>
      <c r="E2" t="s">
        <v>366</v>
      </c>
      <c r="F2" s="4">
        <v>46127.013582164349</v>
      </c>
      <c r="G2" s="4">
        <v>46127.194785960652</v>
      </c>
      <c r="H2">
        <v>4.3</v>
      </c>
      <c r="I2" t="s">
        <v>9</v>
      </c>
      <c r="J2" t="s">
        <v>335</v>
      </c>
    </row>
    <row r="3" spans="1:10">
      <c r="A3" t="s">
        <v>367</v>
      </c>
      <c r="B3" t="s">
        <v>368</v>
      </c>
      <c r="C3" t="s">
        <v>43</v>
      </c>
      <c r="D3" t="s">
        <v>369</v>
      </c>
      <c r="E3" t="s">
        <v>370</v>
      </c>
      <c r="F3" s="4">
        <v>45905.771768287043</v>
      </c>
      <c r="G3" s="4">
        <v>45905.802791435177</v>
      </c>
      <c r="H3">
        <v>0.7</v>
      </c>
      <c r="I3" t="s">
        <v>12</v>
      </c>
      <c r="J3" t="s">
        <v>323</v>
      </c>
    </row>
    <row r="4" spans="1:10">
      <c r="A4" t="s">
        <v>371</v>
      </c>
      <c r="B4" t="s">
        <v>372</v>
      </c>
      <c r="C4" t="s">
        <v>295</v>
      </c>
      <c r="D4" t="s">
        <v>373</v>
      </c>
      <c r="E4" t="s">
        <v>374</v>
      </c>
      <c r="F4" s="4">
        <v>45951.737221689807</v>
      </c>
      <c r="G4" s="4">
        <v>45952.055499317132</v>
      </c>
      <c r="H4">
        <v>7.6</v>
      </c>
      <c r="I4" t="s">
        <v>9</v>
      </c>
      <c r="J4" t="s">
        <v>323</v>
      </c>
    </row>
    <row r="5" spans="1:10">
      <c r="A5" t="s">
        <v>375</v>
      </c>
      <c r="B5" t="s">
        <v>376</v>
      </c>
      <c r="C5" t="s">
        <v>202</v>
      </c>
      <c r="D5" t="s">
        <v>377</v>
      </c>
      <c r="E5" t="s">
        <v>378</v>
      </c>
      <c r="F5" s="4">
        <v>45967.10077704861</v>
      </c>
      <c r="G5" s="4">
        <v>45967.237105995373</v>
      </c>
      <c r="H5">
        <v>3.3</v>
      </c>
      <c r="I5" t="s">
        <v>9</v>
      </c>
      <c r="J5" t="s">
        <v>323</v>
      </c>
    </row>
    <row r="6" spans="1:10">
      <c r="A6" t="s">
        <v>379</v>
      </c>
      <c r="B6" t="s">
        <v>380</v>
      </c>
      <c r="C6" t="s">
        <v>217</v>
      </c>
      <c r="D6" t="s">
        <v>381</v>
      </c>
      <c r="E6" t="s">
        <v>366</v>
      </c>
      <c r="F6" s="4">
        <v>46005.28980233796</v>
      </c>
      <c r="G6" s="4">
        <v>46005.426719224539</v>
      </c>
      <c r="H6">
        <v>3.3</v>
      </c>
      <c r="I6" t="s">
        <v>9</v>
      </c>
      <c r="J6" t="s">
        <v>328</v>
      </c>
    </row>
    <row r="7" spans="1:10">
      <c r="A7" t="s">
        <v>382</v>
      </c>
      <c r="B7" t="s">
        <v>383</v>
      </c>
      <c r="C7" t="s">
        <v>173</v>
      </c>
      <c r="D7" t="s">
        <v>384</v>
      </c>
      <c r="E7" t="s">
        <v>378</v>
      </c>
      <c r="F7" s="4">
        <v>46005.857406805553</v>
      </c>
      <c r="G7" s="4">
        <v>46005.886983194447</v>
      </c>
      <c r="H7">
        <v>0.7</v>
      </c>
      <c r="I7" t="s">
        <v>12</v>
      </c>
      <c r="J7" t="s">
        <v>323</v>
      </c>
    </row>
    <row r="8" spans="1:10">
      <c r="A8" t="s">
        <v>385</v>
      </c>
      <c r="B8" t="s">
        <v>386</v>
      </c>
      <c r="C8" t="s">
        <v>87</v>
      </c>
      <c r="D8" t="s">
        <v>377</v>
      </c>
      <c r="E8" t="s">
        <v>387</v>
      </c>
      <c r="F8" s="4">
        <v>45908.124685243063</v>
      </c>
      <c r="G8" s="4">
        <v>45908.438275034721</v>
      </c>
      <c r="H8">
        <v>7.5</v>
      </c>
      <c r="I8" t="s">
        <v>9</v>
      </c>
      <c r="J8" t="s">
        <v>328</v>
      </c>
    </row>
    <row r="9" spans="1:10">
      <c r="A9" t="s">
        <v>388</v>
      </c>
      <c r="B9" t="s">
        <v>389</v>
      </c>
      <c r="C9" t="s">
        <v>204</v>
      </c>
      <c r="D9" t="s">
        <v>384</v>
      </c>
      <c r="E9" t="s">
        <v>370</v>
      </c>
      <c r="F9" s="4">
        <v>45927.075986608797</v>
      </c>
      <c r="G9" s="4">
        <v>45927.352796527783</v>
      </c>
      <c r="H9">
        <v>6.6</v>
      </c>
      <c r="I9" t="s">
        <v>9</v>
      </c>
      <c r="J9" t="s">
        <v>328</v>
      </c>
    </row>
    <row r="10" spans="1:10">
      <c r="A10" t="s">
        <v>390</v>
      </c>
      <c r="B10" t="s">
        <v>391</v>
      </c>
      <c r="C10" t="s">
        <v>223</v>
      </c>
      <c r="D10" t="s">
        <v>392</v>
      </c>
      <c r="E10" t="s">
        <v>393</v>
      </c>
      <c r="F10" s="4">
        <v>46057.169177222233</v>
      </c>
      <c r="G10" s="4">
        <v>46057.211124467591</v>
      </c>
      <c r="H10">
        <v>1</v>
      </c>
      <c r="I10" t="s">
        <v>12</v>
      </c>
      <c r="J10" t="s">
        <v>328</v>
      </c>
    </row>
    <row r="11" spans="1:10">
      <c r="A11" t="s">
        <v>394</v>
      </c>
      <c r="B11" t="s">
        <v>395</v>
      </c>
      <c r="C11" t="s">
        <v>27</v>
      </c>
      <c r="D11" t="s">
        <v>377</v>
      </c>
      <c r="E11" t="s">
        <v>396</v>
      </c>
      <c r="F11" s="4">
        <v>45879.383352152778</v>
      </c>
      <c r="G11" s="4">
        <v>45879.580986724533</v>
      </c>
      <c r="H11">
        <v>4.7</v>
      </c>
      <c r="I11" t="s">
        <v>9</v>
      </c>
      <c r="J11" t="s">
        <v>323</v>
      </c>
    </row>
    <row r="12" spans="1:10">
      <c r="A12" t="s">
        <v>397</v>
      </c>
      <c r="B12" t="s">
        <v>398</v>
      </c>
      <c r="C12" t="s">
        <v>112</v>
      </c>
      <c r="D12" t="s">
        <v>399</v>
      </c>
      <c r="E12" t="s">
        <v>400</v>
      </c>
      <c r="F12" s="4">
        <v>45987.308013310183</v>
      </c>
      <c r="G12" s="4">
        <v>45987.553857106483</v>
      </c>
      <c r="H12">
        <v>5.9</v>
      </c>
      <c r="I12" t="s">
        <v>9</v>
      </c>
      <c r="J12" t="s">
        <v>323</v>
      </c>
    </row>
    <row r="13" spans="1:10">
      <c r="A13" t="s">
        <v>401</v>
      </c>
      <c r="B13" t="s">
        <v>402</v>
      </c>
      <c r="C13" t="s">
        <v>57</v>
      </c>
      <c r="D13" t="s">
        <v>399</v>
      </c>
      <c r="E13" t="s">
        <v>403</v>
      </c>
      <c r="F13" s="4">
        <v>45864.030559548613</v>
      </c>
      <c r="G13" s="4">
        <v>45864.195435428242</v>
      </c>
      <c r="H13">
        <v>4</v>
      </c>
      <c r="I13" t="s">
        <v>9</v>
      </c>
      <c r="J13" t="s">
        <v>328</v>
      </c>
    </row>
    <row r="14" spans="1:10">
      <c r="A14" t="s">
        <v>404</v>
      </c>
      <c r="B14" t="s">
        <v>405</v>
      </c>
      <c r="C14" t="s">
        <v>285</v>
      </c>
      <c r="D14" t="s">
        <v>369</v>
      </c>
      <c r="E14" t="s">
        <v>403</v>
      </c>
      <c r="F14" s="4">
        <v>45861.526162858798</v>
      </c>
      <c r="G14" s="4">
        <v>45861.774453738428</v>
      </c>
      <c r="H14">
        <v>6</v>
      </c>
      <c r="I14" t="s">
        <v>12</v>
      </c>
      <c r="J14" t="s">
        <v>328</v>
      </c>
    </row>
    <row r="15" spans="1:10">
      <c r="A15" t="s">
        <v>406</v>
      </c>
      <c r="B15" t="s">
        <v>407</v>
      </c>
      <c r="C15" t="s">
        <v>232</v>
      </c>
      <c r="D15" t="s">
        <v>384</v>
      </c>
      <c r="E15" t="s">
        <v>374</v>
      </c>
      <c r="F15" s="4">
        <v>46062.36059783565</v>
      </c>
      <c r="G15" s="4">
        <v>46062.509440011578</v>
      </c>
      <c r="H15">
        <v>3.6</v>
      </c>
      <c r="I15" t="s">
        <v>9</v>
      </c>
      <c r="J15" t="s">
        <v>328</v>
      </c>
    </row>
    <row r="16" spans="1:10">
      <c r="A16" t="s">
        <v>408</v>
      </c>
      <c r="B16" t="s">
        <v>409</v>
      </c>
      <c r="C16" t="s">
        <v>140</v>
      </c>
      <c r="D16" t="s">
        <v>381</v>
      </c>
      <c r="E16" t="s">
        <v>387</v>
      </c>
      <c r="F16" s="4">
        <v>46121.892709004627</v>
      </c>
      <c r="G16" s="4">
        <v>46121.927860995369</v>
      </c>
      <c r="H16">
        <v>0.8</v>
      </c>
      <c r="I16" t="s">
        <v>9</v>
      </c>
      <c r="J16" t="s">
        <v>323</v>
      </c>
    </row>
    <row r="17" spans="1:10">
      <c r="A17" t="s">
        <v>410</v>
      </c>
      <c r="B17" t="s">
        <v>411</v>
      </c>
      <c r="C17" t="s">
        <v>103</v>
      </c>
      <c r="D17" t="s">
        <v>365</v>
      </c>
      <c r="E17" t="s">
        <v>400</v>
      </c>
      <c r="F17" s="4">
        <v>45862.609791967603</v>
      </c>
      <c r="G17" s="4">
        <v>45862.832474212963</v>
      </c>
      <c r="H17">
        <v>5.3</v>
      </c>
      <c r="I17" t="s">
        <v>9</v>
      </c>
      <c r="J17" t="s">
        <v>323</v>
      </c>
    </row>
    <row r="18" spans="1:10">
      <c r="A18" t="s">
        <v>412</v>
      </c>
      <c r="B18" t="s">
        <v>413</v>
      </c>
      <c r="C18" t="s">
        <v>190</v>
      </c>
      <c r="D18" t="s">
        <v>399</v>
      </c>
      <c r="E18" t="s">
        <v>414</v>
      </c>
      <c r="F18" s="4">
        <v>45890.769650173614</v>
      </c>
      <c r="G18" s="4">
        <v>45891.039283124999</v>
      </c>
      <c r="H18">
        <v>6.5</v>
      </c>
      <c r="I18" t="s">
        <v>9</v>
      </c>
      <c r="J18" t="s">
        <v>323</v>
      </c>
    </row>
    <row r="19" spans="1:10">
      <c r="A19" t="s">
        <v>415</v>
      </c>
      <c r="B19" t="s">
        <v>416</v>
      </c>
      <c r="C19" t="s">
        <v>194</v>
      </c>
      <c r="D19" t="s">
        <v>417</v>
      </c>
      <c r="E19" t="s">
        <v>400</v>
      </c>
      <c r="F19" s="4">
        <v>46101.530910254631</v>
      </c>
      <c r="G19" s="4">
        <v>46101.752966770837</v>
      </c>
      <c r="H19">
        <v>5.3</v>
      </c>
      <c r="I19" t="s">
        <v>12</v>
      </c>
      <c r="J19" t="s">
        <v>335</v>
      </c>
    </row>
    <row r="20" spans="1:10">
      <c r="A20" t="s">
        <v>418</v>
      </c>
      <c r="B20" t="s">
        <v>419</v>
      </c>
      <c r="C20" t="s">
        <v>228</v>
      </c>
      <c r="D20" t="s">
        <v>369</v>
      </c>
      <c r="E20" t="s">
        <v>370</v>
      </c>
      <c r="F20" s="4">
        <v>46011.345754699083</v>
      </c>
      <c r="G20" s="4">
        <v>46011.60334277778</v>
      </c>
      <c r="H20">
        <v>6.2</v>
      </c>
      <c r="I20" t="s">
        <v>9</v>
      </c>
      <c r="J20" t="s">
        <v>335</v>
      </c>
    </row>
    <row r="21" spans="1:10">
      <c r="A21" t="s">
        <v>420</v>
      </c>
      <c r="B21" t="s">
        <v>421</v>
      </c>
      <c r="C21" t="s">
        <v>245</v>
      </c>
      <c r="D21" t="s">
        <v>384</v>
      </c>
      <c r="E21" t="s">
        <v>366</v>
      </c>
      <c r="F21" s="4">
        <v>45871.611905219906</v>
      </c>
      <c r="G21" s="4">
        <v>45871.781437199083</v>
      </c>
      <c r="H21">
        <v>4.0999999999999996</v>
      </c>
      <c r="I21" t="s">
        <v>9</v>
      </c>
      <c r="J21" t="s">
        <v>335</v>
      </c>
    </row>
    <row r="22" spans="1:10">
      <c r="A22" t="s">
        <v>422</v>
      </c>
      <c r="B22" t="s">
        <v>423</v>
      </c>
      <c r="C22" t="s">
        <v>34</v>
      </c>
      <c r="D22" t="s">
        <v>369</v>
      </c>
      <c r="E22" t="s">
        <v>414</v>
      </c>
      <c r="F22" s="4">
        <v>46037.123098275457</v>
      </c>
      <c r="G22" s="4">
        <v>46037.310137685177</v>
      </c>
      <c r="H22">
        <v>4.5</v>
      </c>
      <c r="I22" t="s">
        <v>9</v>
      </c>
      <c r="J22" t="s">
        <v>328</v>
      </c>
    </row>
    <row r="23" spans="1:10">
      <c r="A23" t="s">
        <v>424</v>
      </c>
      <c r="B23" t="s">
        <v>425</v>
      </c>
      <c r="C23" t="s">
        <v>124</v>
      </c>
      <c r="D23" t="s">
        <v>377</v>
      </c>
      <c r="E23" t="s">
        <v>387</v>
      </c>
      <c r="F23" s="4">
        <v>46049.340276365743</v>
      </c>
      <c r="G23" s="4">
        <v>46049.437761793983</v>
      </c>
      <c r="H23">
        <v>2.2999999999999998</v>
      </c>
      <c r="I23" t="s">
        <v>9</v>
      </c>
      <c r="J23" t="s">
        <v>323</v>
      </c>
    </row>
    <row r="24" spans="1:10">
      <c r="A24" t="s">
        <v>426</v>
      </c>
      <c r="B24" t="s">
        <v>427</v>
      </c>
      <c r="C24" t="s">
        <v>163</v>
      </c>
      <c r="D24" t="s">
        <v>417</v>
      </c>
      <c r="E24" t="s">
        <v>374</v>
      </c>
      <c r="F24" s="4">
        <v>46097.398377187499</v>
      </c>
      <c r="G24" s="4">
        <v>46097.671373344907</v>
      </c>
      <c r="H24">
        <v>6.6</v>
      </c>
      <c r="I24" t="s">
        <v>9</v>
      </c>
      <c r="J24" t="s">
        <v>328</v>
      </c>
    </row>
    <row r="25" spans="1:10">
      <c r="A25" t="s">
        <v>428</v>
      </c>
      <c r="B25" t="s">
        <v>429</v>
      </c>
      <c r="C25" t="s">
        <v>49</v>
      </c>
      <c r="D25" t="s">
        <v>373</v>
      </c>
      <c r="E25" t="s">
        <v>374</v>
      </c>
      <c r="F25" s="4">
        <v>46099.682693483803</v>
      </c>
      <c r="G25" s="4">
        <v>46099.857112152778</v>
      </c>
      <c r="H25">
        <v>4.2</v>
      </c>
      <c r="I25" t="s">
        <v>9</v>
      </c>
      <c r="J25" t="s">
        <v>328</v>
      </c>
    </row>
    <row r="26" spans="1:10">
      <c r="A26" t="s">
        <v>430</v>
      </c>
      <c r="B26" t="s">
        <v>431</v>
      </c>
      <c r="C26" t="s">
        <v>185</v>
      </c>
      <c r="D26" t="s">
        <v>365</v>
      </c>
      <c r="E26" t="s">
        <v>403</v>
      </c>
      <c r="F26" s="4">
        <v>46141.363110335653</v>
      </c>
      <c r="G26" s="4">
        <v>46141.513611296286</v>
      </c>
      <c r="H26">
        <v>3.6</v>
      </c>
      <c r="I26" t="s">
        <v>9</v>
      </c>
      <c r="J26" t="s">
        <v>328</v>
      </c>
    </row>
    <row r="27" spans="1:10">
      <c r="A27" t="s">
        <v>432</v>
      </c>
      <c r="B27" t="s">
        <v>433</v>
      </c>
      <c r="C27" t="s">
        <v>7</v>
      </c>
      <c r="D27" t="s">
        <v>392</v>
      </c>
      <c r="E27" t="s">
        <v>370</v>
      </c>
      <c r="F27" s="4">
        <v>45949.350922013888</v>
      </c>
      <c r="G27" s="4">
        <v>45949.400200682867</v>
      </c>
      <c r="H27">
        <v>1.2</v>
      </c>
      <c r="I27" t="s">
        <v>9</v>
      </c>
      <c r="J27" t="s">
        <v>335</v>
      </c>
    </row>
    <row r="28" spans="1:10">
      <c r="A28" t="s">
        <v>434</v>
      </c>
      <c r="B28" t="s">
        <v>435</v>
      </c>
      <c r="C28" t="s">
        <v>163</v>
      </c>
      <c r="D28" t="s">
        <v>373</v>
      </c>
      <c r="E28" t="s">
        <v>370</v>
      </c>
      <c r="F28" s="4">
        <v>46076.636802789348</v>
      </c>
      <c r="G28" s="4">
        <v>46076.7026468287</v>
      </c>
      <c r="H28">
        <v>1.6</v>
      </c>
      <c r="I28" t="s">
        <v>9</v>
      </c>
      <c r="J28" t="s">
        <v>323</v>
      </c>
    </row>
    <row r="29" spans="1:10">
      <c r="A29" t="s">
        <v>436</v>
      </c>
      <c r="B29" t="s">
        <v>437</v>
      </c>
      <c r="C29" t="s">
        <v>225</v>
      </c>
      <c r="D29" t="s">
        <v>365</v>
      </c>
      <c r="E29" t="s">
        <v>393</v>
      </c>
      <c r="F29" s="4">
        <v>46079.437333553236</v>
      </c>
      <c r="G29" s="4">
        <v>46079.755718368047</v>
      </c>
      <c r="H29">
        <v>7.6</v>
      </c>
      <c r="I29" t="s">
        <v>9</v>
      </c>
      <c r="J29" t="s">
        <v>323</v>
      </c>
    </row>
    <row r="30" spans="1:10">
      <c r="A30" t="s">
        <v>438</v>
      </c>
      <c r="B30" t="s">
        <v>439</v>
      </c>
      <c r="C30" t="s">
        <v>208</v>
      </c>
      <c r="D30" t="s">
        <v>399</v>
      </c>
      <c r="E30" t="s">
        <v>440</v>
      </c>
      <c r="F30" s="4">
        <v>45961.225024340281</v>
      </c>
      <c r="G30" s="4">
        <v>45961.347511018517</v>
      </c>
      <c r="H30">
        <v>2.9</v>
      </c>
      <c r="I30" t="s">
        <v>12</v>
      </c>
      <c r="J30" t="s">
        <v>328</v>
      </c>
    </row>
    <row r="31" spans="1:10">
      <c r="A31" t="s">
        <v>441</v>
      </c>
      <c r="B31" t="s">
        <v>442</v>
      </c>
      <c r="C31" t="s">
        <v>103</v>
      </c>
      <c r="D31" t="s">
        <v>443</v>
      </c>
      <c r="E31" t="s">
        <v>374</v>
      </c>
      <c r="F31" s="4">
        <v>45879.279397812497</v>
      </c>
      <c r="G31" s="4">
        <v>45879.331088715277</v>
      </c>
      <c r="H31">
        <v>1.2</v>
      </c>
      <c r="I31" t="s">
        <v>12</v>
      </c>
      <c r="J31" t="s">
        <v>323</v>
      </c>
    </row>
    <row r="32" spans="1:10">
      <c r="A32" t="s">
        <v>444</v>
      </c>
      <c r="B32" t="s">
        <v>445</v>
      </c>
      <c r="C32" t="s">
        <v>295</v>
      </c>
      <c r="D32" t="s">
        <v>377</v>
      </c>
      <c r="E32" t="s">
        <v>403</v>
      </c>
      <c r="F32" s="4">
        <v>46015.955020381953</v>
      </c>
      <c r="G32" s="4">
        <v>46016.270096689812</v>
      </c>
      <c r="H32">
        <v>7.6</v>
      </c>
      <c r="I32" t="s">
        <v>9</v>
      </c>
      <c r="J32" t="s">
        <v>328</v>
      </c>
    </row>
    <row r="33" spans="1:10">
      <c r="A33" t="s">
        <v>446</v>
      </c>
      <c r="B33" t="s">
        <v>447</v>
      </c>
      <c r="C33" t="s">
        <v>127</v>
      </c>
      <c r="D33" t="s">
        <v>365</v>
      </c>
      <c r="E33" t="s">
        <v>374</v>
      </c>
      <c r="F33" s="4">
        <v>45961.613851354166</v>
      </c>
      <c r="G33" s="4">
        <v>45961.869726481476</v>
      </c>
      <c r="H33">
        <v>6.1</v>
      </c>
      <c r="I33" t="s">
        <v>9</v>
      </c>
      <c r="J33" t="s">
        <v>335</v>
      </c>
    </row>
    <row r="34" spans="1:10">
      <c r="A34" t="s">
        <v>448</v>
      </c>
      <c r="B34" t="s">
        <v>449</v>
      </c>
      <c r="C34" t="s">
        <v>163</v>
      </c>
      <c r="D34" t="s">
        <v>365</v>
      </c>
      <c r="E34" t="s">
        <v>440</v>
      </c>
      <c r="F34" s="4">
        <v>45880.768823668979</v>
      </c>
      <c r="G34" s="4">
        <v>45880.947288645832</v>
      </c>
      <c r="H34">
        <v>4.3</v>
      </c>
      <c r="I34" t="s">
        <v>9</v>
      </c>
      <c r="J34" t="s">
        <v>323</v>
      </c>
    </row>
    <row r="35" spans="1:10">
      <c r="A35" t="s">
        <v>450</v>
      </c>
      <c r="B35" t="s">
        <v>451</v>
      </c>
      <c r="C35" t="s">
        <v>16</v>
      </c>
      <c r="D35" t="s">
        <v>377</v>
      </c>
      <c r="E35" t="s">
        <v>440</v>
      </c>
      <c r="F35" s="4">
        <v>46130.828387569447</v>
      </c>
      <c r="G35" s="4">
        <v>46130.994478263892</v>
      </c>
      <c r="H35">
        <v>4</v>
      </c>
      <c r="I35" t="s">
        <v>9</v>
      </c>
      <c r="J35" t="s">
        <v>335</v>
      </c>
    </row>
    <row r="36" spans="1:10">
      <c r="A36" t="s">
        <v>452</v>
      </c>
      <c r="B36" t="s">
        <v>453</v>
      </c>
      <c r="C36" t="s">
        <v>249</v>
      </c>
      <c r="D36" t="s">
        <v>384</v>
      </c>
      <c r="E36" t="s">
        <v>396</v>
      </c>
      <c r="F36" s="4">
        <v>45988.534326388894</v>
      </c>
      <c r="G36" s="4">
        <v>45988.753141377318</v>
      </c>
      <c r="H36">
        <v>5.3</v>
      </c>
      <c r="I36" t="s">
        <v>9</v>
      </c>
      <c r="J36" t="s">
        <v>335</v>
      </c>
    </row>
    <row r="37" spans="1:10">
      <c r="A37" t="s">
        <v>454</v>
      </c>
      <c r="B37" t="s">
        <v>455</v>
      </c>
      <c r="C37" t="s">
        <v>197</v>
      </c>
      <c r="D37" t="s">
        <v>384</v>
      </c>
      <c r="E37" t="s">
        <v>456</v>
      </c>
      <c r="F37" s="4">
        <v>46108.799020833343</v>
      </c>
      <c r="G37" s="4">
        <v>46109.120940011577</v>
      </c>
      <c r="H37">
        <v>7.7</v>
      </c>
      <c r="I37" t="s">
        <v>9</v>
      </c>
      <c r="J37" t="s">
        <v>335</v>
      </c>
    </row>
    <row r="38" spans="1:10">
      <c r="A38" t="s">
        <v>457</v>
      </c>
      <c r="B38" t="s">
        <v>458</v>
      </c>
      <c r="C38" t="s">
        <v>73</v>
      </c>
      <c r="D38" t="s">
        <v>392</v>
      </c>
      <c r="E38" t="s">
        <v>400</v>
      </c>
      <c r="F38" s="4">
        <v>46147.246776180553</v>
      </c>
      <c r="G38" s="4">
        <v>46147.471219166669</v>
      </c>
      <c r="H38">
        <v>5.4</v>
      </c>
      <c r="I38" t="s">
        <v>12</v>
      </c>
      <c r="J38" t="s">
        <v>323</v>
      </c>
    </row>
    <row r="39" spans="1:10">
      <c r="A39" t="s">
        <v>459</v>
      </c>
      <c r="B39" t="s">
        <v>460</v>
      </c>
      <c r="C39" t="s">
        <v>87</v>
      </c>
      <c r="D39" t="s">
        <v>399</v>
      </c>
      <c r="E39" t="s">
        <v>440</v>
      </c>
      <c r="F39" s="4">
        <v>46025.883804247693</v>
      </c>
      <c r="G39" s="4">
        <v>46025.930858946762</v>
      </c>
      <c r="H39">
        <v>1.1000000000000001</v>
      </c>
      <c r="I39" t="s">
        <v>9</v>
      </c>
      <c r="J39" t="s">
        <v>323</v>
      </c>
    </row>
    <row r="40" spans="1:10">
      <c r="A40" t="s">
        <v>461</v>
      </c>
      <c r="B40" t="s">
        <v>462</v>
      </c>
      <c r="C40" t="s">
        <v>91</v>
      </c>
      <c r="D40" t="s">
        <v>384</v>
      </c>
      <c r="E40" t="s">
        <v>387</v>
      </c>
      <c r="F40" s="4">
        <v>45894.026880613434</v>
      </c>
      <c r="G40" s="4">
        <v>45894.092203645843</v>
      </c>
      <c r="H40">
        <v>1.6</v>
      </c>
      <c r="I40" t="s">
        <v>9</v>
      </c>
      <c r="J40" t="s">
        <v>328</v>
      </c>
    </row>
    <row r="41" spans="1:10">
      <c r="A41" t="s">
        <v>463</v>
      </c>
      <c r="B41" t="s">
        <v>464</v>
      </c>
      <c r="C41" t="s">
        <v>286</v>
      </c>
      <c r="D41" t="s">
        <v>369</v>
      </c>
      <c r="E41" t="s">
        <v>393</v>
      </c>
      <c r="F41" s="4">
        <v>45940.694120011583</v>
      </c>
      <c r="G41" s="4">
        <v>45940.882933229157</v>
      </c>
      <c r="H41">
        <v>4.5</v>
      </c>
      <c r="I41" t="s">
        <v>9</v>
      </c>
      <c r="J41" t="s">
        <v>323</v>
      </c>
    </row>
    <row r="42" spans="1:10">
      <c r="A42" t="s">
        <v>465</v>
      </c>
      <c r="B42" t="s">
        <v>466</v>
      </c>
      <c r="C42" t="s">
        <v>142</v>
      </c>
      <c r="D42" t="s">
        <v>467</v>
      </c>
      <c r="E42" t="s">
        <v>440</v>
      </c>
      <c r="F42" s="4">
        <v>45947.183503043983</v>
      </c>
      <c r="G42" s="4">
        <v>45947.204649201391</v>
      </c>
      <c r="H42">
        <v>0.5</v>
      </c>
      <c r="I42" t="s">
        <v>9</v>
      </c>
      <c r="J42" t="s">
        <v>323</v>
      </c>
    </row>
    <row r="43" spans="1:10">
      <c r="A43" t="s">
        <v>468</v>
      </c>
      <c r="B43" t="s">
        <v>469</v>
      </c>
      <c r="C43" t="s">
        <v>34</v>
      </c>
      <c r="D43" t="s">
        <v>384</v>
      </c>
      <c r="E43" t="s">
        <v>456</v>
      </c>
      <c r="F43" s="4">
        <v>45908.296480682868</v>
      </c>
      <c r="G43" s="4">
        <v>45908.621089583343</v>
      </c>
      <c r="H43">
        <v>7.8</v>
      </c>
      <c r="I43" t="s">
        <v>12</v>
      </c>
      <c r="J43" t="s">
        <v>328</v>
      </c>
    </row>
    <row r="44" spans="1:10">
      <c r="A44" t="s">
        <v>470</v>
      </c>
      <c r="B44" t="s">
        <v>471</v>
      </c>
      <c r="C44" t="s">
        <v>118</v>
      </c>
      <c r="D44" t="s">
        <v>365</v>
      </c>
      <c r="E44" t="s">
        <v>400</v>
      </c>
      <c r="F44" s="4">
        <v>46047.334833032408</v>
      </c>
      <c r="G44" s="4">
        <v>46047.434069166673</v>
      </c>
      <c r="H44">
        <v>2.4</v>
      </c>
      <c r="I44" t="s">
        <v>9</v>
      </c>
      <c r="J44" t="s">
        <v>335</v>
      </c>
    </row>
    <row r="45" spans="1:10">
      <c r="A45" t="s">
        <v>472</v>
      </c>
      <c r="B45" t="s">
        <v>473</v>
      </c>
      <c r="C45" t="s">
        <v>106</v>
      </c>
      <c r="D45" t="s">
        <v>392</v>
      </c>
      <c r="E45" t="s">
        <v>414</v>
      </c>
      <c r="F45" s="4">
        <v>45945.868903495371</v>
      </c>
      <c r="G45" s="4">
        <v>45945.956222499997</v>
      </c>
      <c r="H45">
        <v>2.1</v>
      </c>
      <c r="I45" t="s">
        <v>9</v>
      </c>
      <c r="J45" t="s">
        <v>335</v>
      </c>
    </row>
    <row r="46" spans="1:10">
      <c r="A46" t="s">
        <v>474</v>
      </c>
      <c r="B46" t="s">
        <v>475</v>
      </c>
      <c r="C46" t="s">
        <v>40</v>
      </c>
      <c r="D46" t="s">
        <v>476</v>
      </c>
      <c r="E46" t="s">
        <v>387</v>
      </c>
      <c r="F46" s="4">
        <v>45890.582362222223</v>
      </c>
      <c r="G46" s="4">
        <v>45890.834190231479</v>
      </c>
      <c r="H46">
        <v>6</v>
      </c>
      <c r="I46" t="s">
        <v>9</v>
      </c>
      <c r="J46" t="s">
        <v>328</v>
      </c>
    </row>
    <row r="47" spans="1:10">
      <c r="A47" t="s">
        <v>477</v>
      </c>
      <c r="B47" t="s">
        <v>478</v>
      </c>
      <c r="C47" t="s">
        <v>51</v>
      </c>
      <c r="D47" t="s">
        <v>417</v>
      </c>
      <c r="E47" t="s">
        <v>396</v>
      </c>
      <c r="F47" s="4">
        <v>46035.927067789351</v>
      </c>
      <c r="G47" s="4">
        <v>46036.166160289351</v>
      </c>
      <c r="H47">
        <v>5.7</v>
      </c>
      <c r="I47" t="s">
        <v>9</v>
      </c>
      <c r="J47" t="s">
        <v>335</v>
      </c>
    </row>
    <row r="48" spans="1:10">
      <c r="A48" t="s">
        <v>479</v>
      </c>
      <c r="B48" t="s">
        <v>480</v>
      </c>
      <c r="C48" t="s">
        <v>285</v>
      </c>
      <c r="D48" t="s">
        <v>476</v>
      </c>
      <c r="E48" t="s">
        <v>403</v>
      </c>
      <c r="F48" s="4">
        <v>45856.80623790509</v>
      </c>
      <c r="G48" s="4">
        <v>45857.101533518522</v>
      </c>
      <c r="H48">
        <v>7.1</v>
      </c>
      <c r="I48" t="s">
        <v>12</v>
      </c>
      <c r="J48" t="s">
        <v>328</v>
      </c>
    </row>
    <row r="49" spans="1:10">
      <c r="A49" t="s">
        <v>481</v>
      </c>
      <c r="B49" t="s">
        <v>482</v>
      </c>
      <c r="C49" t="s">
        <v>11</v>
      </c>
      <c r="D49" t="s">
        <v>467</v>
      </c>
      <c r="E49" t="s">
        <v>370</v>
      </c>
      <c r="F49" s="4">
        <v>45893.50208726852</v>
      </c>
      <c r="G49" s="4">
        <v>45893.622390590281</v>
      </c>
      <c r="H49">
        <v>2.9</v>
      </c>
      <c r="I49" t="s">
        <v>9</v>
      </c>
      <c r="J49" t="s">
        <v>323</v>
      </c>
    </row>
    <row r="50" spans="1:10">
      <c r="A50" t="s">
        <v>483</v>
      </c>
      <c r="B50" t="s">
        <v>484</v>
      </c>
      <c r="C50" t="s">
        <v>71</v>
      </c>
      <c r="D50" t="s">
        <v>392</v>
      </c>
      <c r="E50" t="s">
        <v>403</v>
      </c>
      <c r="F50" s="4">
        <v>45987.613819247686</v>
      </c>
      <c r="G50" s="4">
        <v>45987.940790185188</v>
      </c>
      <c r="H50">
        <v>7.8</v>
      </c>
      <c r="I50" t="s">
        <v>9</v>
      </c>
      <c r="J50" t="s">
        <v>328</v>
      </c>
    </row>
    <row r="51" spans="1:10">
      <c r="A51" t="s">
        <v>485</v>
      </c>
      <c r="B51" t="s">
        <v>486</v>
      </c>
      <c r="C51" t="s">
        <v>27</v>
      </c>
      <c r="D51" t="s">
        <v>417</v>
      </c>
      <c r="E51" t="s">
        <v>393</v>
      </c>
      <c r="F51" s="4">
        <v>45891.754125891202</v>
      </c>
      <c r="G51" s="4">
        <v>45892.08215357639</v>
      </c>
      <c r="H51">
        <v>7.9</v>
      </c>
      <c r="I51" t="s">
        <v>9</v>
      </c>
      <c r="J51" t="s">
        <v>335</v>
      </c>
    </row>
    <row r="52" spans="1:10">
      <c r="A52" t="s">
        <v>487</v>
      </c>
      <c r="B52" t="s">
        <v>488</v>
      </c>
      <c r="C52" t="s">
        <v>202</v>
      </c>
      <c r="D52" t="s">
        <v>373</v>
      </c>
      <c r="E52" t="s">
        <v>400</v>
      </c>
      <c r="F52" s="4">
        <v>46079.03606997685</v>
      </c>
      <c r="G52" s="4">
        <v>46079.1595462037</v>
      </c>
      <c r="H52">
        <v>3</v>
      </c>
      <c r="I52" t="s">
        <v>9</v>
      </c>
      <c r="J52" t="s">
        <v>335</v>
      </c>
    </row>
    <row r="53" spans="1:10">
      <c r="A53" t="s">
        <v>489</v>
      </c>
      <c r="B53" t="s">
        <v>490</v>
      </c>
      <c r="C53" t="s">
        <v>180</v>
      </c>
      <c r="D53" t="s">
        <v>417</v>
      </c>
      <c r="E53" t="s">
        <v>440</v>
      </c>
      <c r="F53" s="4">
        <v>46034.251324733799</v>
      </c>
      <c r="G53" s="4">
        <v>46034.272797905091</v>
      </c>
      <c r="H53">
        <v>0.5</v>
      </c>
      <c r="I53" t="s">
        <v>9</v>
      </c>
      <c r="J53" t="s">
        <v>335</v>
      </c>
    </row>
    <row r="54" spans="1:10">
      <c r="A54" t="s">
        <v>491</v>
      </c>
      <c r="B54" t="s">
        <v>492</v>
      </c>
      <c r="C54" t="s">
        <v>185</v>
      </c>
      <c r="D54" t="s">
        <v>369</v>
      </c>
      <c r="E54" t="s">
        <v>440</v>
      </c>
      <c r="F54" s="4">
        <v>46124.531209849527</v>
      </c>
      <c r="G54" s="4">
        <v>46124.681156631937</v>
      </c>
      <c r="H54">
        <v>3.6</v>
      </c>
      <c r="I54" t="s">
        <v>9</v>
      </c>
      <c r="J54" t="s">
        <v>335</v>
      </c>
    </row>
    <row r="55" spans="1:10">
      <c r="A55" t="s">
        <v>493</v>
      </c>
      <c r="B55" t="s">
        <v>494</v>
      </c>
      <c r="C55" t="s">
        <v>225</v>
      </c>
      <c r="D55" t="s">
        <v>392</v>
      </c>
      <c r="E55" t="s">
        <v>403</v>
      </c>
      <c r="F55" s="4">
        <v>45847.873420960648</v>
      </c>
      <c r="G55" s="4">
        <v>45848.062420381953</v>
      </c>
      <c r="H55">
        <v>4.5</v>
      </c>
      <c r="I55" t="s">
        <v>9</v>
      </c>
      <c r="J55" t="s">
        <v>328</v>
      </c>
    </row>
    <row r="56" spans="1:10">
      <c r="A56" t="s">
        <v>495</v>
      </c>
      <c r="B56" t="s">
        <v>496</v>
      </c>
      <c r="C56" t="s">
        <v>262</v>
      </c>
      <c r="D56" t="s">
        <v>443</v>
      </c>
      <c r="E56" t="s">
        <v>400</v>
      </c>
      <c r="F56" s="4">
        <v>46097.728569756953</v>
      </c>
      <c r="G56" s="4">
        <v>46097.917731006943</v>
      </c>
      <c r="H56">
        <v>4.5</v>
      </c>
      <c r="I56" t="s">
        <v>9</v>
      </c>
      <c r="J56" t="s">
        <v>328</v>
      </c>
    </row>
    <row r="57" spans="1:10">
      <c r="A57" t="s">
        <v>497</v>
      </c>
      <c r="B57" t="s">
        <v>498</v>
      </c>
      <c r="C57" t="s">
        <v>294</v>
      </c>
      <c r="D57" t="s">
        <v>476</v>
      </c>
      <c r="E57" t="s">
        <v>400</v>
      </c>
      <c r="F57" s="4">
        <v>45883.524043877318</v>
      </c>
      <c r="G57" s="4">
        <v>45883.583444583332</v>
      </c>
      <c r="H57">
        <v>1.4</v>
      </c>
      <c r="I57" t="s">
        <v>9</v>
      </c>
      <c r="J57" t="s">
        <v>328</v>
      </c>
    </row>
    <row r="58" spans="1:10">
      <c r="A58" t="s">
        <v>499</v>
      </c>
      <c r="B58" t="s">
        <v>500</v>
      </c>
      <c r="C58" t="s">
        <v>66</v>
      </c>
      <c r="D58" t="s">
        <v>443</v>
      </c>
      <c r="E58" t="s">
        <v>370</v>
      </c>
      <c r="F58" s="4">
        <v>46116.00807369213</v>
      </c>
      <c r="G58" s="4">
        <v>46116.140771319442</v>
      </c>
      <c r="H58">
        <v>3.2</v>
      </c>
      <c r="I58" t="s">
        <v>12</v>
      </c>
      <c r="J58" t="s">
        <v>335</v>
      </c>
    </row>
    <row r="59" spans="1:10">
      <c r="A59" t="s">
        <v>501</v>
      </c>
      <c r="B59" t="s">
        <v>502</v>
      </c>
      <c r="C59" t="s">
        <v>61</v>
      </c>
      <c r="D59" t="s">
        <v>467</v>
      </c>
      <c r="E59" t="s">
        <v>378</v>
      </c>
      <c r="F59" s="4">
        <v>46012.188421620369</v>
      </c>
      <c r="G59" s="4">
        <v>46012.325030162043</v>
      </c>
      <c r="H59">
        <v>3.3</v>
      </c>
      <c r="I59" t="s">
        <v>12</v>
      </c>
      <c r="J59" t="s">
        <v>323</v>
      </c>
    </row>
    <row r="60" spans="1:10">
      <c r="A60" t="s">
        <v>503</v>
      </c>
      <c r="B60" t="s">
        <v>492</v>
      </c>
      <c r="C60" t="s">
        <v>185</v>
      </c>
      <c r="D60" t="s">
        <v>369</v>
      </c>
      <c r="E60" t="s">
        <v>440</v>
      </c>
      <c r="F60" s="4">
        <v>46124.482331412037</v>
      </c>
      <c r="G60" s="4">
        <v>46124.509346516214</v>
      </c>
      <c r="H60">
        <v>0.6</v>
      </c>
      <c r="I60" t="s">
        <v>9</v>
      </c>
      <c r="J60" t="s">
        <v>335</v>
      </c>
    </row>
    <row r="61" spans="1:10">
      <c r="A61" t="s">
        <v>504</v>
      </c>
      <c r="B61" t="s">
        <v>505</v>
      </c>
      <c r="C61" t="s">
        <v>147</v>
      </c>
      <c r="D61" t="s">
        <v>369</v>
      </c>
      <c r="E61" t="s">
        <v>393</v>
      </c>
      <c r="F61" s="4">
        <v>45941.760826574071</v>
      </c>
      <c r="G61" s="4">
        <v>45942.036747662038</v>
      </c>
      <c r="H61">
        <v>6.6</v>
      </c>
      <c r="I61" t="s">
        <v>9</v>
      </c>
      <c r="J61" t="s">
        <v>323</v>
      </c>
    </row>
    <row r="62" spans="1:10">
      <c r="A62" t="s">
        <v>506</v>
      </c>
      <c r="B62" t="s">
        <v>507</v>
      </c>
      <c r="C62" t="s">
        <v>112</v>
      </c>
      <c r="D62" t="s">
        <v>384</v>
      </c>
      <c r="E62" t="s">
        <v>456</v>
      </c>
      <c r="F62" s="4">
        <v>45965.99486230324</v>
      </c>
      <c r="G62" s="4">
        <v>45966.170010844908</v>
      </c>
      <c r="H62">
        <v>4.2</v>
      </c>
      <c r="I62" t="s">
        <v>9</v>
      </c>
      <c r="J62" t="s">
        <v>335</v>
      </c>
    </row>
    <row r="63" spans="1:10">
      <c r="A63" t="s">
        <v>508</v>
      </c>
      <c r="B63" t="s">
        <v>509</v>
      </c>
      <c r="C63" t="s">
        <v>56</v>
      </c>
      <c r="D63" t="s">
        <v>365</v>
      </c>
      <c r="E63" t="s">
        <v>403</v>
      </c>
      <c r="F63" s="4">
        <v>45842.314284513886</v>
      </c>
      <c r="G63" s="4">
        <v>45842.555132754627</v>
      </c>
      <c r="H63">
        <v>5.8</v>
      </c>
      <c r="I63" t="s">
        <v>9</v>
      </c>
      <c r="J63" t="s">
        <v>328</v>
      </c>
    </row>
    <row r="64" spans="1:10">
      <c r="A64" t="s">
        <v>510</v>
      </c>
      <c r="B64" t="s">
        <v>511</v>
      </c>
      <c r="C64" t="s">
        <v>260</v>
      </c>
      <c r="D64" t="s">
        <v>369</v>
      </c>
      <c r="E64" t="s">
        <v>393</v>
      </c>
      <c r="F64" s="4">
        <v>45907.713278148149</v>
      </c>
      <c r="G64" s="4">
        <v>45907.990712569437</v>
      </c>
      <c r="H64">
        <v>6.7</v>
      </c>
      <c r="I64" t="s">
        <v>9</v>
      </c>
      <c r="J64" t="s">
        <v>335</v>
      </c>
    </row>
    <row r="65" spans="1:10">
      <c r="A65" t="s">
        <v>512</v>
      </c>
      <c r="B65" t="s">
        <v>513</v>
      </c>
      <c r="C65" t="s">
        <v>18</v>
      </c>
      <c r="D65" t="s">
        <v>377</v>
      </c>
      <c r="E65" t="s">
        <v>374</v>
      </c>
      <c r="F65" s="4">
        <v>45844.593827268523</v>
      </c>
      <c r="G65" s="4">
        <v>45844.769039143517</v>
      </c>
      <c r="H65">
        <v>4.2</v>
      </c>
      <c r="I65" t="s">
        <v>9</v>
      </c>
      <c r="J65" t="s">
        <v>323</v>
      </c>
    </row>
    <row r="66" spans="1:10">
      <c r="A66" t="s">
        <v>514</v>
      </c>
      <c r="B66" t="s">
        <v>515</v>
      </c>
      <c r="C66" t="s">
        <v>285</v>
      </c>
      <c r="D66" t="s">
        <v>467</v>
      </c>
      <c r="E66" t="s">
        <v>396</v>
      </c>
      <c r="F66" s="4">
        <v>46080.015522847221</v>
      </c>
      <c r="G66" s="4">
        <v>46080.246411030093</v>
      </c>
      <c r="H66">
        <v>5.5</v>
      </c>
      <c r="I66" t="s">
        <v>9</v>
      </c>
      <c r="J66" t="s">
        <v>323</v>
      </c>
    </row>
    <row r="67" spans="1:10">
      <c r="A67" t="s">
        <v>516</v>
      </c>
      <c r="B67" t="s">
        <v>517</v>
      </c>
      <c r="C67" t="s">
        <v>194</v>
      </c>
      <c r="D67" t="s">
        <v>384</v>
      </c>
      <c r="E67" t="s">
        <v>440</v>
      </c>
      <c r="F67" s="4">
        <v>45854.379903506953</v>
      </c>
      <c r="G67" s="4">
        <v>45854.440813831017</v>
      </c>
      <c r="H67">
        <v>1.5</v>
      </c>
      <c r="I67" t="s">
        <v>12</v>
      </c>
      <c r="J67" t="s">
        <v>323</v>
      </c>
    </row>
    <row r="68" spans="1:10">
      <c r="A68" t="s">
        <v>518</v>
      </c>
      <c r="B68" t="s">
        <v>519</v>
      </c>
      <c r="C68" t="s">
        <v>34</v>
      </c>
      <c r="D68" t="s">
        <v>384</v>
      </c>
      <c r="E68" t="s">
        <v>370</v>
      </c>
      <c r="F68" s="4">
        <v>45846.111806099543</v>
      </c>
      <c r="G68" s="4">
        <v>45846.399976608787</v>
      </c>
      <c r="H68">
        <v>6.9</v>
      </c>
      <c r="I68" t="s">
        <v>9</v>
      </c>
      <c r="J68" t="s">
        <v>323</v>
      </c>
    </row>
    <row r="69" spans="1:10">
      <c r="A69" t="s">
        <v>520</v>
      </c>
      <c r="B69" t="s">
        <v>521</v>
      </c>
      <c r="C69" t="s">
        <v>49</v>
      </c>
      <c r="D69" t="s">
        <v>381</v>
      </c>
      <c r="E69" t="s">
        <v>440</v>
      </c>
      <c r="F69" s="4">
        <v>46108.486239039346</v>
      </c>
      <c r="G69" s="4">
        <v>46108.71894071759</v>
      </c>
      <c r="H69">
        <v>5.6</v>
      </c>
      <c r="I69" t="s">
        <v>9</v>
      </c>
      <c r="J69" t="s">
        <v>335</v>
      </c>
    </row>
    <row r="70" spans="1:10">
      <c r="A70" t="s">
        <v>522</v>
      </c>
      <c r="B70" t="s">
        <v>523</v>
      </c>
      <c r="C70" t="s">
        <v>140</v>
      </c>
      <c r="D70" t="s">
        <v>476</v>
      </c>
      <c r="E70" t="s">
        <v>396</v>
      </c>
      <c r="F70" s="4">
        <v>45865.567613854168</v>
      </c>
      <c r="G70" s="4">
        <v>45865.667485011567</v>
      </c>
      <c r="H70">
        <v>2.4</v>
      </c>
      <c r="I70" t="s">
        <v>9</v>
      </c>
      <c r="J70" t="s">
        <v>328</v>
      </c>
    </row>
    <row r="71" spans="1:10">
      <c r="A71" t="s">
        <v>524</v>
      </c>
      <c r="B71" t="s">
        <v>525</v>
      </c>
      <c r="C71" t="s">
        <v>11</v>
      </c>
      <c r="D71" t="s">
        <v>399</v>
      </c>
      <c r="E71" t="s">
        <v>374</v>
      </c>
      <c r="F71" s="4">
        <v>46052.215110543977</v>
      </c>
      <c r="G71" s="4">
        <v>46052.369417141213</v>
      </c>
      <c r="H71">
        <v>3.7</v>
      </c>
      <c r="I71" t="s">
        <v>9</v>
      </c>
      <c r="J71" t="s">
        <v>323</v>
      </c>
    </row>
    <row r="72" spans="1:10">
      <c r="A72" t="s">
        <v>526</v>
      </c>
      <c r="B72" t="s">
        <v>527</v>
      </c>
      <c r="C72" t="s">
        <v>105</v>
      </c>
      <c r="D72" t="s">
        <v>369</v>
      </c>
      <c r="E72" t="s">
        <v>393</v>
      </c>
      <c r="F72" s="4">
        <v>45991.543298321762</v>
      </c>
      <c r="G72" s="4">
        <v>45991.857493946758</v>
      </c>
      <c r="H72">
        <v>7.5</v>
      </c>
      <c r="I72" t="s">
        <v>9</v>
      </c>
      <c r="J72" t="s">
        <v>335</v>
      </c>
    </row>
    <row r="73" spans="1:10">
      <c r="A73" t="s">
        <v>528</v>
      </c>
      <c r="B73" t="s">
        <v>529</v>
      </c>
      <c r="C73" t="s">
        <v>183</v>
      </c>
      <c r="D73" t="s">
        <v>392</v>
      </c>
      <c r="E73" t="s">
        <v>374</v>
      </c>
      <c r="F73" s="4">
        <v>46126.183500810177</v>
      </c>
      <c r="G73" s="4">
        <v>46126.416888344909</v>
      </c>
      <c r="H73">
        <v>5.6</v>
      </c>
      <c r="I73" t="s">
        <v>9</v>
      </c>
      <c r="J73" t="s">
        <v>335</v>
      </c>
    </row>
    <row r="74" spans="1:10">
      <c r="A74" t="s">
        <v>530</v>
      </c>
      <c r="B74" t="s">
        <v>531</v>
      </c>
      <c r="C74" t="s">
        <v>226</v>
      </c>
      <c r="D74" t="s">
        <v>365</v>
      </c>
      <c r="E74" t="s">
        <v>366</v>
      </c>
      <c r="F74" s="4">
        <v>45854.28019208333</v>
      </c>
      <c r="G74" s="4">
        <v>45854.314608125002</v>
      </c>
      <c r="H74">
        <v>0.8</v>
      </c>
      <c r="I74" t="s">
        <v>9</v>
      </c>
      <c r="J74" t="s">
        <v>323</v>
      </c>
    </row>
    <row r="75" spans="1:10">
      <c r="A75" t="s">
        <v>532</v>
      </c>
      <c r="B75" t="s">
        <v>533</v>
      </c>
      <c r="C75" t="s">
        <v>295</v>
      </c>
      <c r="D75" t="s">
        <v>392</v>
      </c>
      <c r="E75" t="s">
        <v>378</v>
      </c>
      <c r="F75" s="4">
        <v>46039.259311006943</v>
      </c>
      <c r="G75" s="4">
        <v>46039.411413738417</v>
      </c>
      <c r="H75">
        <v>3.7</v>
      </c>
      <c r="I75" t="s">
        <v>9</v>
      </c>
      <c r="J75" t="s">
        <v>335</v>
      </c>
    </row>
    <row r="76" spans="1:10">
      <c r="A76" t="s">
        <v>534</v>
      </c>
      <c r="B76" t="s">
        <v>535</v>
      </c>
      <c r="C76" t="s">
        <v>51</v>
      </c>
      <c r="D76" t="s">
        <v>417</v>
      </c>
      <c r="E76" t="s">
        <v>403</v>
      </c>
      <c r="F76" s="4">
        <v>45938.386858865742</v>
      </c>
      <c r="G76" s="4">
        <v>45938.512287766207</v>
      </c>
      <c r="H76">
        <v>3</v>
      </c>
      <c r="I76" t="s">
        <v>9</v>
      </c>
      <c r="J76" t="s">
        <v>323</v>
      </c>
    </row>
    <row r="77" spans="1:10">
      <c r="A77" t="s">
        <v>536</v>
      </c>
      <c r="B77" t="s">
        <v>413</v>
      </c>
      <c r="C77" t="s">
        <v>190</v>
      </c>
      <c r="D77" t="s">
        <v>399</v>
      </c>
      <c r="E77" t="s">
        <v>414</v>
      </c>
      <c r="F77" s="4">
        <v>45892.094171365738</v>
      </c>
      <c r="G77" s="4">
        <v>45892.185513449083</v>
      </c>
      <c r="H77">
        <v>2.2000000000000002</v>
      </c>
      <c r="I77" t="s">
        <v>9</v>
      </c>
      <c r="J77" t="s">
        <v>323</v>
      </c>
    </row>
    <row r="78" spans="1:10">
      <c r="A78" t="s">
        <v>537</v>
      </c>
      <c r="B78" t="s">
        <v>538</v>
      </c>
      <c r="C78" t="s">
        <v>27</v>
      </c>
      <c r="D78" t="s">
        <v>365</v>
      </c>
      <c r="E78" t="s">
        <v>378</v>
      </c>
      <c r="F78" s="4">
        <v>45911.77805990741</v>
      </c>
      <c r="G78" s="4">
        <v>45911.860417245371</v>
      </c>
      <c r="H78">
        <v>2</v>
      </c>
      <c r="I78" t="s">
        <v>9</v>
      </c>
      <c r="J78" t="s">
        <v>335</v>
      </c>
    </row>
    <row r="79" spans="1:10">
      <c r="A79" t="s">
        <v>539</v>
      </c>
      <c r="B79" t="s">
        <v>540</v>
      </c>
      <c r="C79" t="s">
        <v>127</v>
      </c>
      <c r="D79" t="s">
        <v>399</v>
      </c>
      <c r="E79" t="s">
        <v>378</v>
      </c>
      <c r="F79" s="4">
        <v>45894.03328909722</v>
      </c>
      <c r="G79" s="4">
        <v>45894.084349340279</v>
      </c>
      <c r="H79">
        <v>1.2</v>
      </c>
      <c r="I79" t="s">
        <v>9</v>
      </c>
      <c r="J79" t="s">
        <v>328</v>
      </c>
    </row>
    <row r="80" spans="1:10">
      <c r="A80" t="s">
        <v>541</v>
      </c>
      <c r="B80" t="s">
        <v>542</v>
      </c>
      <c r="C80" t="s">
        <v>247</v>
      </c>
      <c r="D80" t="s">
        <v>381</v>
      </c>
      <c r="E80" t="s">
        <v>456</v>
      </c>
      <c r="F80" s="4">
        <v>46057.982039768518</v>
      </c>
      <c r="G80" s="4">
        <v>46058.198590949083</v>
      </c>
      <c r="H80">
        <v>5.2</v>
      </c>
      <c r="I80" t="s">
        <v>9</v>
      </c>
      <c r="J80" t="s">
        <v>328</v>
      </c>
    </row>
    <row r="81" spans="1:10">
      <c r="A81" t="s">
        <v>543</v>
      </c>
      <c r="B81" t="s">
        <v>544</v>
      </c>
      <c r="C81" t="s">
        <v>63</v>
      </c>
      <c r="D81" t="s">
        <v>467</v>
      </c>
      <c r="E81" t="s">
        <v>370</v>
      </c>
      <c r="F81" s="4">
        <v>46044.519496886584</v>
      </c>
      <c r="G81" s="4">
        <v>46044.688322881942</v>
      </c>
      <c r="H81">
        <v>4.0999999999999996</v>
      </c>
      <c r="I81" t="s">
        <v>9</v>
      </c>
      <c r="J81" t="s">
        <v>335</v>
      </c>
    </row>
    <row r="82" spans="1:10">
      <c r="A82" t="s">
        <v>545</v>
      </c>
      <c r="B82" t="s">
        <v>546</v>
      </c>
      <c r="C82" t="s">
        <v>197</v>
      </c>
      <c r="D82" t="s">
        <v>392</v>
      </c>
      <c r="E82" t="s">
        <v>456</v>
      </c>
      <c r="F82" s="4">
        <v>46032.128729548611</v>
      </c>
      <c r="G82" s="4">
        <v>46032.311961331019</v>
      </c>
      <c r="H82">
        <v>4.4000000000000004</v>
      </c>
      <c r="I82" t="s">
        <v>9</v>
      </c>
      <c r="J82" t="s">
        <v>328</v>
      </c>
    </row>
    <row r="83" spans="1:10">
      <c r="A83" t="s">
        <v>547</v>
      </c>
      <c r="B83" t="s">
        <v>548</v>
      </c>
      <c r="C83" t="s">
        <v>96</v>
      </c>
      <c r="D83" t="s">
        <v>399</v>
      </c>
      <c r="E83" t="s">
        <v>387</v>
      </c>
      <c r="F83" s="4">
        <v>46111.188830752311</v>
      </c>
      <c r="G83" s="4">
        <v>46111.403278634258</v>
      </c>
      <c r="H83">
        <v>5.0999999999999996</v>
      </c>
      <c r="I83" t="s">
        <v>9</v>
      </c>
      <c r="J83" t="s">
        <v>323</v>
      </c>
    </row>
    <row r="84" spans="1:10">
      <c r="A84" t="s">
        <v>549</v>
      </c>
      <c r="B84" t="s">
        <v>550</v>
      </c>
      <c r="C84" t="s">
        <v>97</v>
      </c>
      <c r="D84" t="s">
        <v>381</v>
      </c>
      <c r="E84" t="s">
        <v>393</v>
      </c>
      <c r="F84" s="4">
        <v>46073.673846400467</v>
      </c>
      <c r="G84" s="4">
        <v>46073.733687974527</v>
      </c>
      <c r="H84">
        <v>1.4</v>
      </c>
      <c r="I84" t="s">
        <v>9</v>
      </c>
      <c r="J84" t="s">
        <v>335</v>
      </c>
    </row>
    <row r="85" spans="1:10">
      <c r="A85" t="s">
        <v>551</v>
      </c>
      <c r="B85" t="s">
        <v>552</v>
      </c>
      <c r="C85" t="s">
        <v>7</v>
      </c>
      <c r="D85" t="s">
        <v>377</v>
      </c>
      <c r="E85" t="s">
        <v>400</v>
      </c>
      <c r="F85" s="4">
        <v>45947.459147893518</v>
      </c>
      <c r="G85" s="4">
        <v>45947.758132384261</v>
      </c>
      <c r="H85">
        <v>7.2</v>
      </c>
      <c r="I85" t="s">
        <v>9</v>
      </c>
      <c r="J85" t="s">
        <v>328</v>
      </c>
    </row>
    <row r="86" spans="1:10">
      <c r="A86" t="s">
        <v>553</v>
      </c>
      <c r="B86" t="s">
        <v>554</v>
      </c>
      <c r="C86" t="s">
        <v>140</v>
      </c>
      <c r="D86" t="s">
        <v>392</v>
      </c>
      <c r="E86" t="s">
        <v>396</v>
      </c>
      <c r="F86" s="4">
        <v>46092.277016805558</v>
      </c>
      <c r="G86" s="4">
        <v>46092.548596111112</v>
      </c>
      <c r="H86">
        <v>6.5</v>
      </c>
      <c r="I86" t="s">
        <v>12</v>
      </c>
      <c r="J86" t="s">
        <v>323</v>
      </c>
    </row>
    <row r="87" spans="1:10">
      <c r="A87" t="s">
        <v>555</v>
      </c>
      <c r="B87" t="s">
        <v>556</v>
      </c>
      <c r="C87" t="s">
        <v>138</v>
      </c>
      <c r="D87" t="s">
        <v>384</v>
      </c>
      <c r="E87" t="s">
        <v>414</v>
      </c>
      <c r="F87" s="4">
        <v>46133.823843437502</v>
      </c>
      <c r="G87" s="4">
        <v>46133.865236226848</v>
      </c>
      <c r="H87">
        <v>1</v>
      </c>
      <c r="I87" t="s">
        <v>9</v>
      </c>
      <c r="J87" t="s">
        <v>335</v>
      </c>
    </row>
    <row r="88" spans="1:10">
      <c r="A88" t="s">
        <v>557</v>
      </c>
      <c r="B88" t="s">
        <v>372</v>
      </c>
      <c r="C88" t="s">
        <v>295</v>
      </c>
      <c r="D88" t="s">
        <v>373</v>
      </c>
      <c r="E88" t="s">
        <v>374</v>
      </c>
      <c r="F88" s="4">
        <v>45951.605084641204</v>
      </c>
      <c r="G88" s="4">
        <v>45951.891520879632</v>
      </c>
      <c r="H88">
        <v>6.9</v>
      </c>
      <c r="I88" t="s">
        <v>9</v>
      </c>
      <c r="J88" t="s">
        <v>323</v>
      </c>
    </row>
    <row r="89" spans="1:10">
      <c r="A89" t="s">
        <v>558</v>
      </c>
      <c r="B89" t="s">
        <v>559</v>
      </c>
      <c r="C89" t="s">
        <v>192</v>
      </c>
      <c r="D89" t="s">
        <v>384</v>
      </c>
      <c r="E89" t="s">
        <v>440</v>
      </c>
      <c r="F89" s="4">
        <v>46002.528899432873</v>
      </c>
      <c r="G89" s="4">
        <v>46002.622580266201</v>
      </c>
      <c r="H89">
        <v>2.2000000000000002</v>
      </c>
      <c r="I89" t="s">
        <v>9</v>
      </c>
      <c r="J89" t="s">
        <v>335</v>
      </c>
    </row>
    <row r="90" spans="1:10">
      <c r="A90" t="s">
        <v>560</v>
      </c>
      <c r="B90" t="s">
        <v>515</v>
      </c>
      <c r="C90" t="s">
        <v>285</v>
      </c>
      <c r="D90" t="s">
        <v>467</v>
      </c>
      <c r="E90" t="s">
        <v>396</v>
      </c>
      <c r="F90" s="4">
        <v>46079.928939479163</v>
      </c>
      <c r="G90" s="4">
        <v>46080.091463831021</v>
      </c>
      <c r="H90">
        <v>3.9</v>
      </c>
      <c r="I90" t="s">
        <v>9</v>
      </c>
      <c r="J90" t="s">
        <v>323</v>
      </c>
    </row>
    <row r="91" spans="1:10">
      <c r="A91" t="s">
        <v>561</v>
      </c>
      <c r="B91" t="s">
        <v>562</v>
      </c>
      <c r="C91" t="s">
        <v>173</v>
      </c>
      <c r="D91" t="s">
        <v>373</v>
      </c>
      <c r="E91" t="s">
        <v>378</v>
      </c>
      <c r="F91" s="4">
        <v>45978.069319675917</v>
      </c>
      <c r="G91" s="4">
        <v>45978.283662557871</v>
      </c>
      <c r="H91">
        <v>5.0999999999999996</v>
      </c>
      <c r="I91" t="s">
        <v>9</v>
      </c>
      <c r="J91" t="s">
        <v>335</v>
      </c>
    </row>
    <row r="92" spans="1:10">
      <c r="A92" t="s">
        <v>563</v>
      </c>
      <c r="B92" t="s">
        <v>564</v>
      </c>
      <c r="C92" t="s">
        <v>40</v>
      </c>
      <c r="D92" t="s">
        <v>377</v>
      </c>
      <c r="E92" t="s">
        <v>403</v>
      </c>
      <c r="F92" s="4">
        <v>45883.871763518517</v>
      </c>
      <c r="G92" s="4">
        <v>45884.034495844913</v>
      </c>
      <c r="H92">
        <v>3.9</v>
      </c>
      <c r="I92" t="s">
        <v>9</v>
      </c>
      <c r="J92" t="s">
        <v>323</v>
      </c>
    </row>
    <row r="93" spans="1:10">
      <c r="A93" t="s">
        <v>565</v>
      </c>
      <c r="B93" t="s">
        <v>566</v>
      </c>
      <c r="C93" t="s">
        <v>253</v>
      </c>
      <c r="D93" t="s">
        <v>369</v>
      </c>
      <c r="E93" t="s">
        <v>370</v>
      </c>
      <c r="F93" s="4">
        <v>45910.451426412037</v>
      </c>
      <c r="G93" s="4">
        <v>45910.476099918982</v>
      </c>
      <c r="H93">
        <v>0.6</v>
      </c>
      <c r="I93" t="s">
        <v>9</v>
      </c>
      <c r="J93" t="s">
        <v>323</v>
      </c>
    </row>
    <row r="94" spans="1:10">
      <c r="A94" t="s">
        <v>567</v>
      </c>
      <c r="B94" t="s">
        <v>568</v>
      </c>
      <c r="C94" t="s">
        <v>162</v>
      </c>
      <c r="D94" t="s">
        <v>392</v>
      </c>
      <c r="E94" t="s">
        <v>440</v>
      </c>
      <c r="F94" s="4">
        <v>45995.301507164353</v>
      </c>
      <c r="G94" s="4">
        <v>45995.382845046297</v>
      </c>
      <c r="H94">
        <v>2</v>
      </c>
      <c r="I94" t="s">
        <v>9</v>
      </c>
      <c r="J94" t="s">
        <v>328</v>
      </c>
    </row>
    <row r="95" spans="1:10">
      <c r="A95" t="s">
        <v>569</v>
      </c>
      <c r="B95" t="s">
        <v>570</v>
      </c>
      <c r="C95" t="s">
        <v>73</v>
      </c>
      <c r="D95" t="s">
        <v>467</v>
      </c>
      <c r="E95" t="s">
        <v>403</v>
      </c>
      <c r="F95" s="4">
        <v>46138.290287754629</v>
      </c>
      <c r="G95" s="4">
        <v>46138.422180844907</v>
      </c>
      <c r="H95">
        <v>3.2</v>
      </c>
      <c r="I95" t="s">
        <v>9</v>
      </c>
      <c r="J95" t="s">
        <v>335</v>
      </c>
    </row>
    <row r="96" spans="1:10">
      <c r="A96" t="s">
        <v>571</v>
      </c>
      <c r="B96" t="s">
        <v>469</v>
      </c>
      <c r="C96" t="s">
        <v>34</v>
      </c>
      <c r="D96" t="s">
        <v>384</v>
      </c>
      <c r="E96" t="s">
        <v>456</v>
      </c>
      <c r="F96" s="4">
        <v>45908.45573991898</v>
      </c>
      <c r="G96" s="4">
        <v>45908.552558402778</v>
      </c>
      <c r="H96">
        <v>2.2999999999999998</v>
      </c>
      <c r="I96" t="s">
        <v>9</v>
      </c>
      <c r="J96" t="s">
        <v>328</v>
      </c>
    </row>
    <row r="97" spans="1:10">
      <c r="A97" t="s">
        <v>572</v>
      </c>
      <c r="B97" t="s">
        <v>573</v>
      </c>
      <c r="C97" t="s">
        <v>36</v>
      </c>
      <c r="D97" t="s">
        <v>365</v>
      </c>
      <c r="E97" t="s">
        <v>387</v>
      </c>
      <c r="F97" s="4">
        <v>45848.129127071763</v>
      </c>
      <c r="G97" s="4">
        <v>45848.332623622693</v>
      </c>
      <c r="H97">
        <v>4.9000000000000004</v>
      </c>
      <c r="I97" t="s">
        <v>9</v>
      </c>
      <c r="J97" t="s">
        <v>323</v>
      </c>
    </row>
    <row r="98" spans="1:10">
      <c r="A98" t="s">
        <v>574</v>
      </c>
      <c r="B98" t="s">
        <v>575</v>
      </c>
      <c r="C98" t="s">
        <v>21</v>
      </c>
      <c r="D98" t="s">
        <v>399</v>
      </c>
      <c r="E98" t="s">
        <v>440</v>
      </c>
      <c r="F98" s="4">
        <v>46087.666380625</v>
      </c>
      <c r="G98" s="4">
        <v>46087.784460289353</v>
      </c>
      <c r="H98">
        <v>2.8</v>
      </c>
      <c r="I98" t="s">
        <v>9</v>
      </c>
      <c r="J98" t="s">
        <v>335</v>
      </c>
    </row>
    <row r="99" spans="1:10">
      <c r="A99" t="s">
        <v>576</v>
      </c>
      <c r="B99" t="s">
        <v>577</v>
      </c>
      <c r="C99" t="s">
        <v>168</v>
      </c>
      <c r="D99" t="s">
        <v>384</v>
      </c>
      <c r="E99" t="s">
        <v>400</v>
      </c>
      <c r="F99" s="4">
        <v>46042.204331597219</v>
      </c>
      <c r="G99" s="4">
        <v>46042.321625682867</v>
      </c>
      <c r="H99">
        <v>2.8</v>
      </c>
      <c r="I99" t="s">
        <v>9</v>
      </c>
      <c r="J99" t="s">
        <v>323</v>
      </c>
    </row>
    <row r="100" spans="1:10">
      <c r="A100" t="s">
        <v>578</v>
      </c>
      <c r="B100" t="s">
        <v>579</v>
      </c>
      <c r="C100" t="s">
        <v>76</v>
      </c>
      <c r="D100" t="s">
        <v>373</v>
      </c>
      <c r="E100" t="s">
        <v>396</v>
      </c>
      <c r="F100" s="4">
        <v>46041.626960069443</v>
      </c>
      <c r="G100" s="4">
        <v>46041.809568576391</v>
      </c>
      <c r="H100">
        <v>4.4000000000000004</v>
      </c>
      <c r="I100" t="s">
        <v>9</v>
      </c>
      <c r="J100" t="s">
        <v>323</v>
      </c>
    </row>
    <row r="101" spans="1:10">
      <c r="A101" t="s">
        <v>580</v>
      </c>
      <c r="B101" t="s">
        <v>581</v>
      </c>
      <c r="C101" t="s">
        <v>131</v>
      </c>
      <c r="D101" t="s">
        <v>373</v>
      </c>
      <c r="E101" t="s">
        <v>387</v>
      </c>
      <c r="F101" s="4">
        <v>45982.744395682872</v>
      </c>
      <c r="G101" s="4">
        <v>45982.923700219908</v>
      </c>
      <c r="H101">
        <v>4.3</v>
      </c>
      <c r="I101" t="s">
        <v>9</v>
      </c>
      <c r="J101" t="s">
        <v>328</v>
      </c>
    </row>
    <row r="102" spans="1:10">
      <c r="A102" t="s">
        <v>582</v>
      </c>
      <c r="B102" t="s">
        <v>546</v>
      </c>
      <c r="C102" t="s">
        <v>197</v>
      </c>
      <c r="D102" t="s">
        <v>392</v>
      </c>
      <c r="E102" t="s">
        <v>456</v>
      </c>
      <c r="F102" s="4">
        <v>46030.951655104167</v>
      </c>
      <c r="G102" s="4">
        <v>46031.033553159723</v>
      </c>
      <c r="H102">
        <v>2</v>
      </c>
      <c r="I102" t="s">
        <v>12</v>
      </c>
      <c r="J102" t="s">
        <v>328</v>
      </c>
    </row>
    <row r="103" spans="1:10">
      <c r="A103" t="s">
        <v>583</v>
      </c>
      <c r="B103" t="s">
        <v>584</v>
      </c>
      <c r="C103" t="s">
        <v>248</v>
      </c>
      <c r="D103" t="s">
        <v>381</v>
      </c>
      <c r="E103" t="s">
        <v>396</v>
      </c>
      <c r="F103" s="4">
        <v>46029.765430312502</v>
      </c>
      <c r="G103" s="4">
        <v>46029.892998622687</v>
      </c>
      <c r="H103">
        <v>3.1</v>
      </c>
      <c r="I103" t="s">
        <v>9</v>
      </c>
      <c r="J103" t="s">
        <v>335</v>
      </c>
    </row>
    <row r="104" spans="1:10">
      <c r="A104" t="s">
        <v>585</v>
      </c>
      <c r="B104" t="s">
        <v>586</v>
      </c>
      <c r="C104" t="s">
        <v>36</v>
      </c>
      <c r="D104" t="s">
        <v>417</v>
      </c>
      <c r="E104" t="s">
        <v>403</v>
      </c>
      <c r="F104" s="4">
        <v>45943.62522224537</v>
      </c>
      <c r="G104" s="4">
        <v>45943.749538530094</v>
      </c>
      <c r="H104">
        <v>3</v>
      </c>
      <c r="I104" t="s">
        <v>9</v>
      </c>
      <c r="J104" t="s">
        <v>328</v>
      </c>
    </row>
    <row r="105" spans="1:10">
      <c r="A105" t="s">
        <v>587</v>
      </c>
      <c r="B105" t="s">
        <v>588</v>
      </c>
      <c r="C105" t="s">
        <v>147</v>
      </c>
      <c r="D105" t="s">
        <v>377</v>
      </c>
      <c r="E105" t="s">
        <v>378</v>
      </c>
      <c r="F105" s="4">
        <v>46026.549710520827</v>
      </c>
      <c r="G105" s="4">
        <v>46026.701386134257</v>
      </c>
      <c r="H105">
        <v>3.6</v>
      </c>
      <c r="I105" t="s">
        <v>12</v>
      </c>
      <c r="J105" t="s">
        <v>335</v>
      </c>
    </row>
    <row r="106" spans="1:10">
      <c r="A106" t="s">
        <v>589</v>
      </c>
      <c r="B106" t="s">
        <v>590</v>
      </c>
      <c r="C106" t="s">
        <v>127</v>
      </c>
      <c r="D106" t="s">
        <v>476</v>
      </c>
      <c r="E106" t="s">
        <v>396</v>
      </c>
      <c r="F106" s="4">
        <v>46073.232116284722</v>
      </c>
      <c r="G106" s="4">
        <v>46073.537494317126</v>
      </c>
      <c r="H106">
        <v>7.3</v>
      </c>
      <c r="I106" t="s">
        <v>9</v>
      </c>
      <c r="J106" t="s">
        <v>335</v>
      </c>
    </row>
    <row r="107" spans="1:10">
      <c r="A107" t="s">
        <v>591</v>
      </c>
      <c r="B107" t="s">
        <v>592</v>
      </c>
      <c r="C107" t="s">
        <v>32</v>
      </c>
      <c r="D107" t="s">
        <v>369</v>
      </c>
      <c r="E107" t="s">
        <v>393</v>
      </c>
      <c r="F107" s="4">
        <v>45894.484031817126</v>
      </c>
      <c r="G107" s="4">
        <v>45894.721496574071</v>
      </c>
      <c r="H107">
        <v>5.7</v>
      </c>
      <c r="I107" t="s">
        <v>9</v>
      </c>
      <c r="J107" t="s">
        <v>328</v>
      </c>
    </row>
    <row r="108" spans="1:10">
      <c r="A108" t="s">
        <v>593</v>
      </c>
      <c r="B108" t="s">
        <v>594</v>
      </c>
      <c r="C108" t="s">
        <v>171</v>
      </c>
      <c r="D108" t="s">
        <v>417</v>
      </c>
      <c r="E108" t="s">
        <v>456</v>
      </c>
      <c r="F108" s="4">
        <v>45959.121074328701</v>
      </c>
      <c r="G108" s="4">
        <v>45959.37146584491</v>
      </c>
      <c r="H108">
        <v>6</v>
      </c>
      <c r="I108" t="s">
        <v>9</v>
      </c>
      <c r="J108" t="s">
        <v>328</v>
      </c>
    </row>
    <row r="109" spans="1:10">
      <c r="A109" t="s">
        <v>595</v>
      </c>
      <c r="B109" t="s">
        <v>596</v>
      </c>
      <c r="C109" t="s">
        <v>110</v>
      </c>
      <c r="D109" t="s">
        <v>443</v>
      </c>
      <c r="E109" t="s">
        <v>403</v>
      </c>
      <c r="F109" s="4">
        <v>45862.222325381947</v>
      </c>
      <c r="G109" s="4">
        <v>45862.360631157397</v>
      </c>
      <c r="H109">
        <v>3.3</v>
      </c>
      <c r="I109" t="s">
        <v>9</v>
      </c>
      <c r="J109" t="s">
        <v>335</v>
      </c>
    </row>
    <row r="110" spans="1:10">
      <c r="A110" t="s">
        <v>597</v>
      </c>
      <c r="B110" t="s">
        <v>598</v>
      </c>
      <c r="C110" t="s">
        <v>118</v>
      </c>
      <c r="D110" t="s">
        <v>392</v>
      </c>
      <c r="E110" t="s">
        <v>393</v>
      </c>
      <c r="F110" s="4">
        <v>45998.440488831016</v>
      </c>
      <c r="G110" s="4">
        <v>45998.484363159732</v>
      </c>
      <c r="H110">
        <v>1.1000000000000001</v>
      </c>
      <c r="I110" t="s">
        <v>12</v>
      </c>
      <c r="J110" t="s">
        <v>335</v>
      </c>
    </row>
    <row r="111" spans="1:10">
      <c r="A111" t="s">
        <v>599</v>
      </c>
      <c r="B111" t="s">
        <v>600</v>
      </c>
      <c r="C111" t="s">
        <v>51</v>
      </c>
      <c r="D111" t="s">
        <v>417</v>
      </c>
      <c r="E111" t="s">
        <v>378</v>
      </c>
      <c r="F111" s="4">
        <v>46121.285982488429</v>
      </c>
      <c r="G111" s="4">
        <v>46121.444443356479</v>
      </c>
      <c r="H111">
        <v>3.8</v>
      </c>
      <c r="I111" t="s">
        <v>9</v>
      </c>
      <c r="J111" t="s">
        <v>323</v>
      </c>
    </row>
    <row r="112" spans="1:10">
      <c r="A112" t="s">
        <v>601</v>
      </c>
      <c r="B112" t="s">
        <v>602</v>
      </c>
      <c r="C112" t="s">
        <v>7</v>
      </c>
      <c r="D112" t="s">
        <v>467</v>
      </c>
      <c r="E112" t="s">
        <v>414</v>
      </c>
      <c r="F112" s="4">
        <v>46098.200918750001</v>
      </c>
      <c r="G112" s="4">
        <v>46098.231028831018</v>
      </c>
      <c r="H112">
        <v>0.7</v>
      </c>
      <c r="I112" t="s">
        <v>12</v>
      </c>
      <c r="J112" t="s">
        <v>335</v>
      </c>
    </row>
    <row r="113" spans="1:10">
      <c r="A113" t="s">
        <v>603</v>
      </c>
      <c r="B113" t="s">
        <v>604</v>
      </c>
      <c r="C113" t="s">
        <v>194</v>
      </c>
      <c r="D113" t="s">
        <v>384</v>
      </c>
      <c r="E113" t="s">
        <v>370</v>
      </c>
      <c r="F113" s="4">
        <v>46036.224678715284</v>
      </c>
      <c r="G113" s="4">
        <v>46036.327386689823</v>
      </c>
      <c r="H113">
        <v>2.5</v>
      </c>
      <c r="I113" t="s">
        <v>12</v>
      </c>
      <c r="J113" t="s">
        <v>335</v>
      </c>
    </row>
    <row r="114" spans="1:10">
      <c r="A114" t="s">
        <v>605</v>
      </c>
      <c r="B114" t="s">
        <v>606</v>
      </c>
      <c r="C114" t="s">
        <v>59</v>
      </c>
      <c r="D114" t="s">
        <v>467</v>
      </c>
      <c r="E114" t="s">
        <v>374</v>
      </c>
      <c r="F114" s="4">
        <v>45929.103189560177</v>
      </c>
      <c r="G114" s="4">
        <v>45929.185269004629</v>
      </c>
      <c r="H114">
        <v>2</v>
      </c>
      <c r="I114" t="s">
        <v>12</v>
      </c>
      <c r="J114" t="s">
        <v>328</v>
      </c>
    </row>
    <row r="115" spans="1:10">
      <c r="A115" t="s">
        <v>607</v>
      </c>
      <c r="B115" t="s">
        <v>608</v>
      </c>
      <c r="C115" t="s">
        <v>106</v>
      </c>
      <c r="D115" t="s">
        <v>392</v>
      </c>
      <c r="E115" t="s">
        <v>387</v>
      </c>
      <c r="F115" s="4">
        <v>45983.023542106479</v>
      </c>
      <c r="G115" s="4">
        <v>45983.050935983803</v>
      </c>
      <c r="H115">
        <v>0.7</v>
      </c>
      <c r="I115" t="s">
        <v>9</v>
      </c>
      <c r="J115" t="s">
        <v>323</v>
      </c>
    </row>
    <row r="116" spans="1:10">
      <c r="A116" t="s">
        <v>609</v>
      </c>
      <c r="B116" t="s">
        <v>610</v>
      </c>
      <c r="C116" t="s">
        <v>51</v>
      </c>
      <c r="D116" t="s">
        <v>392</v>
      </c>
      <c r="E116" t="s">
        <v>387</v>
      </c>
      <c r="F116" s="4">
        <v>46068.152807372688</v>
      </c>
      <c r="G116" s="4">
        <v>46068.450206805559</v>
      </c>
      <c r="H116">
        <v>7.1</v>
      </c>
      <c r="I116" t="s">
        <v>9</v>
      </c>
      <c r="J116" t="s">
        <v>328</v>
      </c>
    </row>
    <row r="117" spans="1:10">
      <c r="A117" t="s">
        <v>611</v>
      </c>
      <c r="B117" t="s">
        <v>612</v>
      </c>
      <c r="C117" t="s">
        <v>247</v>
      </c>
      <c r="D117" t="s">
        <v>365</v>
      </c>
      <c r="E117" t="s">
        <v>414</v>
      </c>
      <c r="F117" s="4">
        <v>45912.81790130787</v>
      </c>
      <c r="G117" s="4">
        <v>45912.913781493058</v>
      </c>
      <c r="H117">
        <v>2.2999999999999998</v>
      </c>
      <c r="I117" t="s">
        <v>9</v>
      </c>
      <c r="J117" t="s">
        <v>335</v>
      </c>
    </row>
    <row r="118" spans="1:10">
      <c r="A118" t="s">
        <v>613</v>
      </c>
      <c r="B118" t="s">
        <v>614</v>
      </c>
      <c r="C118" t="s">
        <v>204</v>
      </c>
      <c r="D118" t="s">
        <v>381</v>
      </c>
      <c r="E118" t="s">
        <v>370</v>
      </c>
      <c r="F118" s="4">
        <v>45906.83338747685</v>
      </c>
      <c r="G118" s="4">
        <v>45907.01888541667</v>
      </c>
      <c r="H118">
        <v>4.5</v>
      </c>
      <c r="I118" t="s">
        <v>9</v>
      </c>
      <c r="J118" t="s">
        <v>335</v>
      </c>
    </row>
    <row r="119" spans="1:10">
      <c r="A119" t="s">
        <v>615</v>
      </c>
      <c r="B119" t="s">
        <v>616</v>
      </c>
      <c r="C119" t="s">
        <v>235</v>
      </c>
      <c r="D119" t="s">
        <v>373</v>
      </c>
      <c r="E119" t="s">
        <v>366</v>
      </c>
      <c r="F119" s="4">
        <v>46127.397505532397</v>
      </c>
      <c r="G119" s="4">
        <v>46127.692835069443</v>
      </c>
      <c r="H119">
        <v>7.1</v>
      </c>
      <c r="I119" t="s">
        <v>12</v>
      </c>
      <c r="J119" t="s">
        <v>335</v>
      </c>
    </row>
    <row r="120" spans="1:10">
      <c r="A120" t="s">
        <v>617</v>
      </c>
      <c r="B120" t="s">
        <v>618</v>
      </c>
      <c r="C120" t="s">
        <v>127</v>
      </c>
      <c r="D120" t="s">
        <v>417</v>
      </c>
      <c r="E120" t="s">
        <v>374</v>
      </c>
      <c r="F120" s="4">
        <v>45890.219207685193</v>
      </c>
      <c r="G120" s="4">
        <v>45890.280914363429</v>
      </c>
      <c r="H120">
        <v>1.5</v>
      </c>
      <c r="I120" t="s">
        <v>12</v>
      </c>
      <c r="J120" t="s">
        <v>335</v>
      </c>
    </row>
    <row r="121" spans="1:10">
      <c r="A121" t="s">
        <v>619</v>
      </c>
      <c r="B121" t="s">
        <v>620</v>
      </c>
      <c r="C121" t="s">
        <v>80</v>
      </c>
      <c r="D121" t="s">
        <v>399</v>
      </c>
      <c r="E121" t="s">
        <v>440</v>
      </c>
      <c r="F121" s="4">
        <v>45890.114241932868</v>
      </c>
      <c r="G121" s="4">
        <v>45890.252030057869</v>
      </c>
      <c r="H121">
        <v>3.3</v>
      </c>
      <c r="I121" t="s">
        <v>9</v>
      </c>
      <c r="J121" t="s">
        <v>323</v>
      </c>
    </row>
    <row r="122" spans="1:10">
      <c r="A122" t="s">
        <v>621</v>
      </c>
      <c r="B122" t="s">
        <v>622</v>
      </c>
      <c r="C122" t="s">
        <v>69</v>
      </c>
      <c r="D122" t="s">
        <v>381</v>
      </c>
      <c r="E122" t="s">
        <v>370</v>
      </c>
      <c r="F122" s="4">
        <v>45902.69269340278</v>
      </c>
      <c r="G122" s="4">
        <v>45902.727962731478</v>
      </c>
      <c r="H122">
        <v>0.8</v>
      </c>
      <c r="I122" t="s">
        <v>9</v>
      </c>
      <c r="J122" t="s">
        <v>323</v>
      </c>
    </row>
    <row r="123" spans="1:10">
      <c r="A123" t="s">
        <v>623</v>
      </c>
      <c r="B123" t="s">
        <v>624</v>
      </c>
      <c r="C123" t="s">
        <v>188</v>
      </c>
      <c r="D123" t="s">
        <v>384</v>
      </c>
      <c r="E123" t="s">
        <v>400</v>
      </c>
      <c r="F123" s="4">
        <v>46106.793919571763</v>
      </c>
      <c r="G123" s="4">
        <v>46106.906685011571</v>
      </c>
      <c r="H123">
        <v>2.7</v>
      </c>
      <c r="I123" t="s">
        <v>12</v>
      </c>
      <c r="J123" t="s">
        <v>323</v>
      </c>
    </row>
    <row r="124" spans="1:10">
      <c r="A124" t="s">
        <v>625</v>
      </c>
      <c r="B124" t="s">
        <v>626</v>
      </c>
      <c r="C124" t="s">
        <v>21</v>
      </c>
      <c r="D124" t="s">
        <v>476</v>
      </c>
      <c r="E124" t="s">
        <v>374</v>
      </c>
      <c r="F124" s="4">
        <v>45980.676430810177</v>
      </c>
      <c r="G124" s="4">
        <v>45980.945892870368</v>
      </c>
      <c r="H124">
        <v>6.5</v>
      </c>
      <c r="I124" t="s">
        <v>9</v>
      </c>
      <c r="J124" t="s">
        <v>323</v>
      </c>
    </row>
    <row r="125" spans="1:10">
      <c r="A125" t="s">
        <v>627</v>
      </c>
      <c r="B125" t="s">
        <v>628</v>
      </c>
      <c r="C125" t="s">
        <v>183</v>
      </c>
      <c r="D125" t="s">
        <v>384</v>
      </c>
      <c r="E125" t="s">
        <v>393</v>
      </c>
      <c r="F125" s="4">
        <v>45936.238486249997</v>
      </c>
      <c r="G125" s="4">
        <v>45936.536142800927</v>
      </c>
      <c r="H125">
        <v>7.1</v>
      </c>
      <c r="I125" t="s">
        <v>12</v>
      </c>
      <c r="J125" t="s">
        <v>335</v>
      </c>
    </row>
    <row r="126" spans="1:10">
      <c r="A126" t="s">
        <v>629</v>
      </c>
      <c r="B126" t="s">
        <v>630</v>
      </c>
      <c r="C126" t="s">
        <v>106</v>
      </c>
      <c r="D126" t="s">
        <v>384</v>
      </c>
      <c r="E126" t="s">
        <v>403</v>
      </c>
      <c r="F126" s="4">
        <v>46113.590544444443</v>
      </c>
      <c r="G126" s="4">
        <v>46113.858564409733</v>
      </c>
      <c r="H126">
        <v>6.4</v>
      </c>
      <c r="I126" t="s">
        <v>9</v>
      </c>
      <c r="J126" t="s">
        <v>323</v>
      </c>
    </row>
    <row r="127" spans="1:10">
      <c r="A127" t="s">
        <v>631</v>
      </c>
      <c r="B127" t="s">
        <v>632</v>
      </c>
      <c r="C127" t="s">
        <v>63</v>
      </c>
      <c r="D127" t="s">
        <v>476</v>
      </c>
      <c r="E127" t="s">
        <v>378</v>
      </c>
      <c r="F127" s="4">
        <v>46126.730551435183</v>
      </c>
      <c r="G127" s="4">
        <v>46126.986168530093</v>
      </c>
      <c r="H127">
        <v>6.1</v>
      </c>
      <c r="I127" t="s">
        <v>9</v>
      </c>
      <c r="J127" t="s">
        <v>323</v>
      </c>
    </row>
    <row r="128" spans="1:10">
      <c r="A128" t="s">
        <v>633</v>
      </c>
      <c r="B128" t="s">
        <v>634</v>
      </c>
      <c r="C128" t="s">
        <v>27</v>
      </c>
      <c r="D128" t="s">
        <v>392</v>
      </c>
      <c r="E128" t="s">
        <v>400</v>
      </c>
      <c r="F128" s="4">
        <v>46004.684207789353</v>
      </c>
      <c r="G128" s="4">
        <v>46004.867194988423</v>
      </c>
      <c r="H128">
        <v>4.4000000000000004</v>
      </c>
      <c r="I128" t="s">
        <v>12</v>
      </c>
      <c r="J128" t="s">
        <v>335</v>
      </c>
    </row>
    <row r="129" spans="1:10">
      <c r="A129" t="s">
        <v>635</v>
      </c>
      <c r="B129" t="s">
        <v>636</v>
      </c>
      <c r="C129" t="s">
        <v>247</v>
      </c>
      <c r="D129" t="s">
        <v>365</v>
      </c>
      <c r="E129" t="s">
        <v>374</v>
      </c>
      <c r="F129" s="4">
        <v>46104.634484201393</v>
      </c>
      <c r="G129" s="4">
        <v>46104.806347858786</v>
      </c>
      <c r="H129">
        <v>4.0999999999999996</v>
      </c>
      <c r="I129" t="s">
        <v>9</v>
      </c>
      <c r="J129" t="s">
        <v>328</v>
      </c>
    </row>
    <row r="130" spans="1:10">
      <c r="A130" t="s">
        <v>637</v>
      </c>
      <c r="B130" t="s">
        <v>638</v>
      </c>
      <c r="C130" t="s">
        <v>159</v>
      </c>
      <c r="D130" t="s">
        <v>373</v>
      </c>
      <c r="E130" t="s">
        <v>440</v>
      </c>
      <c r="F130" s="4">
        <v>46040.165396458331</v>
      </c>
      <c r="G130" s="4">
        <v>46040.311525439807</v>
      </c>
      <c r="H130">
        <v>3.5</v>
      </c>
      <c r="I130" t="s">
        <v>9</v>
      </c>
      <c r="J130" t="s">
        <v>323</v>
      </c>
    </row>
    <row r="131" spans="1:10">
      <c r="A131" t="s">
        <v>639</v>
      </c>
      <c r="B131" t="s">
        <v>640</v>
      </c>
      <c r="C131" t="s">
        <v>162</v>
      </c>
      <c r="D131" t="s">
        <v>381</v>
      </c>
      <c r="E131" t="s">
        <v>378</v>
      </c>
      <c r="F131" s="4">
        <v>46008.32785306713</v>
      </c>
      <c r="G131" s="4">
        <v>46008.413436273149</v>
      </c>
      <c r="H131">
        <v>2.1</v>
      </c>
      <c r="I131" t="s">
        <v>9</v>
      </c>
      <c r="J131" t="s">
        <v>335</v>
      </c>
    </row>
    <row r="132" spans="1:10">
      <c r="A132" t="s">
        <v>641</v>
      </c>
      <c r="B132" t="s">
        <v>642</v>
      </c>
      <c r="C132" t="s">
        <v>249</v>
      </c>
      <c r="D132" t="s">
        <v>365</v>
      </c>
      <c r="E132" t="s">
        <v>374</v>
      </c>
      <c r="F132" s="4">
        <v>46066.342120381953</v>
      </c>
      <c r="G132" s="4">
        <v>46066.486672453713</v>
      </c>
      <c r="H132">
        <v>3.5</v>
      </c>
      <c r="I132" t="s">
        <v>9</v>
      </c>
      <c r="J132" t="s">
        <v>323</v>
      </c>
    </row>
    <row r="133" spans="1:10">
      <c r="A133" t="s">
        <v>643</v>
      </c>
      <c r="B133" t="s">
        <v>398</v>
      </c>
      <c r="C133" t="s">
        <v>112</v>
      </c>
      <c r="D133" t="s">
        <v>399</v>
      </c>
      <c r="E133" t="s">
        <v>400</v>
      </c>
      <c r="F133" s="4">
        <v>45987.656931689817</v>
      </c>
      <c r="G133" s="4">
        <v>45987.970108425929</v>
      </c>
      <c r="H133">
        <v>7.5</v>
      </c>
      <c r="I133" t="s">
        <v>9</v>
      </c>
      <c r="J133" t="s">
        <v>323</v>
      </c>
    </row>
    <row r="134" spans="1:10">
      <c r="A134" t="s">
        <v>644</v>
      </c>
      <c r="B134" t="s">
        <v>645</v>
      </c>
      <c r="C134" t="s">
        <v>226</v>
      </c>
      <c r="D134" t="s">
        <v>476</v>
      </c>
      <c r="E134" t="s">
        <v>456</v>
      </c>
      <c r="F134" s="4">
        <v>46081.635267569443</v>
      </c>
      <c r="G134" s="4">
        <v>46081.89098300926</v>
      </c>
      <c r="H134">
        <v>6.1</v>
      </c>
      <c r="I134" t="s">
        <v>9</v>
      </c>
      <c r="J134" t="s">
        <v>328</v>
      </c>
    </row>
    <row r="135" spans="1:10">
      <c r="A135" t="s">
        <v>646</v>
      </c>
      <c r="B135" t="s">
        <v>647</v>
      </c>
      <c r="C135" t="s">
        <v>116</v>
      </c>
      <c r="D135" t="s">
        <v>373</v>
      </c>
      <c r="E135" t="s">
        <v>414</v>
      </c>
      <c r="F135" s="4">
        <v>46012.408056284723</v>
      </c>
      <c r="G135" s="4">
        <v>46012.6113778125</v>
      </c>
      <c r="H135">
        <v>4.9000000000000004</v>
      </c>
      <c r="I135" t="s">
        <v>9</v>
      </c>
      <c r="J135" t="s">
        <v>335</v>
      </c>
    </row>
    <row r="136" spans="1:10">
      <c r="A136" t="s">
        <v>648</v>
      </c>
      <c r="B136" t="s">
        <v>649</v>
      </c>
      <c r="C136" t="s">
        <v>186</v>
      </c>
      <c r="D136" t="s">
        <v>476</v>
      </c>
      <c r="E136" t="s">
        <v>370</v>
      </c>
      <c r="F136" s="4">
        <v>45906.150465578707</v>
      </c>
      <c r="G136" s="4">
        <v>45906.312283657397</v>
      </c>
      <c r="H136">
        <v>3.9</v>
      </c>
      <c r="I136" t="s">
        <v>9</v>
      </c>
      <c r="J136" t="s">
        <v>328</v>
      </c>
    </row>
    <row r="137" spans="1:10">
      <c r="A137" t="s">
        <v>650</v>
      </c>
      <c r="B137" t="s">
        <v>651</v>
      </c>
      <c r="C137" t="s">
        <v>194</v>
      </c>
      <c r="D137" t="s">
        <v>384</v>
      </c>
      <c r="E137" t="s">
        <v>400</v>
      </c>
      <c r="F137" s="4">
        <v>46101.841779201393</v>
      </c>
      <c r="G137" s="4">
        <v>46101.961681412038</v>
      </c>
      <c r="H137">
        <v>2.9</v>
      </c>
      <c r="I137" t="s">
        <v>9</v>
      </c>
      <c r="J137" t="s">
        <v>335</v>
      </c>
    </row>
    <row r="138" spans="1:10">
      <c r="A138" t="s">
        <v>652</v>
      </c>
      <c r="B138" t="s">
        <v>653</v>
      </c>
      <c r="C138" t="s">
        <v>253</v>
      </c>
      <c r="D138" t="s">
        <v>381</v>
      </c>
      <c r="E138" t="s">
        <v>387</v>
      </c>
      <c r="F138" s="4">
        <v>46058.523036377323</v>
      </c>
      <c r="G138" s="4">
        <v>46058.626877488423</v>
      </c>
      <c r="H138">
        <v>2.5</v>
      </c>
      <c r="I138" t="s">
        <v>12</v>
      </c>
      <c r="J138" t="s">
        <v>323</v>
      </c>
    </row>
    <row r="139" spans="1:10">
      <c r="A139" t="s">
        <v>654</v>
      </c>
      <c r="B139" t="s">
        <v>655</v>
      </c>
      <c r="C139" t="s">
        <v>89</v>
      </c>
      <c r="D139" t="s">
        <v>381</v>
      </c>
      <c r="E139" t="s">
        <v>378</v>
      </c>
      <c r="F139" s="4">
        <v>46011.795404826393</v>
      </c>
      <c r="G139" s="4">
        <v>46011.973039699071</v>
      </c>
      <c r="H139">
        <v>4.3</v>
      </c>
      <c r="I139" t="s">
        <v>9</v>
      </c>
      <c r="J139" t="s">
        <v>323</v>
      </c>
    </row>
    <row r="140" spans="1:10">
      <c r="A140" t="s">
        <v>656</v>
      </c>
      <c r="B140" t="s">
        <v>657</v>
      </c>
      <c r="C140" t="s">
        <v>73</v>
      </c>
      <c r="D140" t="s">
        <v>443</v>
      </c>
      <c r="E140" t="s">
        <v>414</v>
      </c>
      <c r="F140" s="4">
        <v>46004.855671041667</v>
      </c>
      <c r="G140" s="4">
        <v>46005.166068726852</v>
      </c>
      <c r="H140">
        <v>7.4</v>
      </c>
      <c r="I140" t="s">
        <v>12</v>
      </c>
      <c r="J140" t="s">
        <v>323</v>
      </c>
    </row>
    <row r="141" spans="1:10">
      <c r="A141" t="s">
        <v>658</v>
      </c>
      <c r="B141" t="s">
        <v>659</v>
      </c>
      <c r="C141" t="s">
        <v>123</v>
      </c>
      <c r="D141" t="s">
        <v>392</v>
      </c>
      <c r="E141" t="s">
        <v>396</v>
      </c>
      <c r="F141" s="4">
        <v>46037.133910046286</v>
      </c>
      <c r="G141" s="4">
        <v>46037.325376527777</v>
      </c>
      <c r="H141">
        <v>4.5999999999999996</v>
      </c>
      <c r="I141" t="s">
        <v>9</v>
      </c>
      <c r="J141" t="s">
        <v>335</v>
      </c>
    </row>
    <row r="142" spans="1:10">
      <c r="A142" t="s">
        <v>660</v>
      </c>
      <c r="B142" t="s">
        <v>564</v>
      </c>
      <c r="C142" t="s">
        <v>40</v>
      </c>
      <c r="D142" t="s">
        <v>377</v>
      </c>
      <c r="E142" t="s">
        <v>403</v>
      </c>
      <c r="F142" s="4">
        <v>45882.811268182872</v>
      </c>
      <c r="G142" s="4">
        <v>45882.926700138887</v>
      </c>
      <c r="H142">
        <v>2.8</v>
      </c>
      <c r="I142" t="s">
        <v>9</v>
      </c>
      <c r="J142" t="s">
        <v>323</v>
      </c>
    </row>
    <row r="143" spans="1:10">
      <c r="A143" t="s">
        <v>661</v>
      </c>
      <c r="B143" t="s">
        <v>662</v>
      </c>
      <c r="C143" t="s">
        <v>142</v>
      </c>
      <c r="D143" t="s">
        <v>381</v>
      </c>
      <c r="E143" t="s">
        <v>370</v>
      </c>
      <c r="F143" s="4">
        <v>46090.398670949071</v>
      </c>
      <c r="G143" s="4">
        <v>46090.479080046287</v>
      </c>
      <c r="H143">
        <v>1.9</v>
      </c>
      <c r="I143" t="s">
        <v>9</v>
      </c>
      <c r="J143" t="s">
        <v>335</v>
      </c>
    </row>
    <row r="144" spans="1:10">
      <c r="A144" t="s">
        <v>663</v>
      </c>
      <c r="B144" t="s">
        <v>402</v>
      </c>
      <c r="C144" t="s">
        <v>57</v>
      </c>
      <c r="D144" t="s">
        <v>399</v>
      </c>
      <c r="E144" t="s">
        <v>403</v>
      </c>
      <c r="F144" s="4">
        <v>45865.03841040509</v>
      </c>
      <c r="G144" s="4">
        <v>45865.294363530091</v>
      </c>
      <c r="H144">
        <v>6.1</v>
      </c>
      <c r="I144" t="s">
        <v>9</v>
      </c>
      <c r="J144" t="s">
        <v>328</v>
      </c>
    </row>
    <row r="145" spans="1:10">
      <c r="A145" t="s">
        <v>664</v>
      </c>
      <c r="B145" t="s">
        <v>665</v>
      </c>
      <c r="C145" t="s">
        <v>163</v>
      </c>
      <c r="D145" t="s">
        <v>399</v>
      </c>
      <c r="E145" t="s">
        <v>456</v>
      </c>
      <c r="F145" s="4">
        <v>46030.723303171297</v>
      </c>
      <c r="G145" s="4">
        <v>46030.837722175929</v>
      </c>
      <c r="H145">
        <v>2.7</v>
      </c>
      <c r="I145" t="s">
        <v>9</v>
      </c>
      <c r="J145" t="s">
        <v>335</v>
      </c>
    </row>
    <row r="146" spans="1:10">
      <c r="A146" t="s">
        <v>666</v>
      </c>
      <c r="B146" t="s">
        <v>667</v>
      </c>
      <c r="C146" t="s">
        <v>171</v>
      </c>
      <c r="D146" t="s">
        <v>369</v>
      </c>
      <c r="E146" t="s">
        <v>403</v>
      </c>
      <c r="F146" s="4">
        <v>45895.318103888887</v>
      </c>
      <c r="G146" s="4">
        <v>45895.595768888888</v>
      </c>
      <c r="H146">
        <v>6.7</v>
      </c>
      <c r="I146" t="s">
        <v>9</v>
      </c>
      <c r="J146" t="s">
        <v>328</v>
      </c>
    </row>
    <row r="147" spans="1:10">
      <c r="A147" t="s">
        <v>668</v>
      </c>
      <c r="B147" t="s">
        <v>669</v>
      </c>
      <c r="C147" t="s">
        <v>57</v>
      </c>
      <c r="D147" t="s">
        <v>467</v>
      </c>
      <c r="E147" t="s">
        <v>378</v>
      </c>
      <c r="F147" s="4">
        <v>45898.357068622689</v>
      </c>
      <c r="G147" s="4">
        <v>45898.538104131942</v>
      </c>
      <c r="H147">
        <v>4.3</v>
      </c>
      <c r="I147" t="s">
        <v>9</v>
      </c>
      <c r="J147" t="s">
        <v>323</v>
      </c>
    </row>
    <row r="148" spans="1:10">
      <c r="A148" t="s">
        <v>670</v>
      </c>
      <c r="B148" t="s">
        <v>671</v>
      </c>
      <c r="C148" t="s">
        <v>151</v>
      </c>
      <c r="D148" t="s">
        <v>476</v>
      </c>
      <c r="E148" t="s">
        <v>366</v>
      </c>
      <c r="F148" s="4">
        <v>46060.496822037043</v>
      </c>
      <c r="G148" s="4">
        <v>46060.588773645832</v>
      </c>
      <c r="H148">
        <v>2.2000000000000002</v>
      </c>
      <c r="I148" t="s">
        <v>9</v>
      </c>
      <c r="J148" t="s">
        <v>323</v>
      </c>
    </row>
    <row r="149" spans="1:10">
      <c r="A149" t="s">
        <v>672</v>
      </c>
      <c r="B149" t="s">
        <v>673</v>
      </c>
      <c r="C149" t="s">
        <v>164</v>
      </c>
      <c r="D149" t="s">
        <v>373</v>
      </c>
      <c r="E149" t="s">
        <v>414</v>
      </c>
      <c r="F149" s="4">
        <v>45840.987953055563</v>
      </c>
      <c r="G149" s="4">
        <v>45841.169981817133</v>
      </c>
      <c r="H149">
        <v>4.4000000000000004</v>
      </c>
      <c r="I149" t="s">
        <v>9</v>
      </c>
      <c r="J149" t="s">
        <v>328</v>
      </c>
    </row>
    <row r="150" spans="1:10">
      <c r="A150" t="s">
        <v>674</v>
      </c>
      <c r="B150" t="s">
        <v>675</v>
      </c>
      <c r="C150" t="s">
        <v>217</v>
      </c>
      <c r="D150" t="s">
        <v>365</v>
      </c>
      <c r="E150" t="s">
        <v>414</v>
      </c>
      <c r="F150" s="4">
        <v>46109.398028981479</v>
      </c>
      <c r="G150" s="4">
        <v>46109.56305016204</v>
      </c>
      <c r="H150">
        <v>4</v>
      </c>
      <c r="I150" t="s">
        <v>9</v>
      </c>
      <c r="J150" t="s">
        <v>323</v>
      </c>
    </row>
    <row r="151" spans="1:10">
      <c r="A151" t="s">
        <v>676</v>
      </c>
      <c r="B151" t="s">
        <v>677</v>
      </c>
      <c r="C151" t="s">
        <v>11</v>
      </c>
      <c r="D151" t="s">
        <v>417</v>
      </c>
      <c r="E151" t="s">
        <v>378</v>
      </c>
      <c r="F151" s="4">
        <v>45953.494707824073</v>
      </c>
      <c r="G151" s="4">
        <v>45953.649538958343</v>
      </c>
      <c r="H151">
        <v>3.7</v>
      </c>
      <c r="I151" t="s">
        <v>9</v>
      </c>
      <c r="J151" t="s">
        <v>328</v>
      </c>
    </row>
    <row r="152" spans="1:10">
      <c r="A152" t="s">
        <v>678</v>
      </c>
      <c r="B152" t="s">
        <v>679</v>
      </c>
      <c r="C152" t="s">
        <v>164</v>
      </c>
      <c r="D152" t="s">
        <v>369</v>
      </c>
      <c r="E152" t="s">
        <v>387</v>
      </c>
      <c r="F152" s="4">
        <v>45901.044425231477</v>
      </c>
      <c r="G152" s="4">
        <v>45901.205874791667</v>
      </c>
      <c r="H152">
        <v>3.9</v>
      </c>
      <c r="I152" t="s">
        <v>9</v>
      </c>
      <c r="J152" t="s">
        <v>335</v>
      </c>
    </row>
    <row r="153" spans="1:10">
      <c r="A153" t="s">
        <v>680</v>
      </c>
      <c r="B153" t="s">
        <v>681</v>
      </c>
      <c r="C153" t="s">
        <v>21</v>
      </c>
      <c r="D153" t="s">
        <v>399</v>
      </c>
      <c r="E153" t="s">
        <v>396</v>
      </c>
      <c r="F153" s="4">
        <v>45869.533690034717</v>
      </c>
      <c r="G153" s="4">
        <v>45869.827570312496</v>
      </c>
      <c r="H153">
        <v>7.1</v>
      </c>
      <c r="I153" t="s">
        <v>9</v>
      </c>
      <c r="J153" t="s">
        <v>335</v>
      </c>
    </row>
    <row r="154" spans="1:10">
      <c r="A154" t="s">
        <v>682</v>
      </c>
      <c r="B154" t="s">
        <v>492</v>
      </c>
      <c r="C154" t="s">
        <v>185</v>
      </c>
      <c r="D154" t="s">
        <v>369</v>
      </c>
      <c r="E154" t="s">
        <v>440</v>
      </c>
      <c r="F154" s="4">
        <v>46124.512478344906</v>
      </c>
      <c r="G154" s="4">
        <v>46124.739201724537</v>
      </c>
      <c r="H154">
        <v>5.4</v>
      </c>
      <c r="I154" t="s">
        <v>9</v>
      </c>
      <c r="J154" t="s">
        <v>335</v>
      </c>
    </row>
    <row r="155" spans="1:10">
      <c r="A155" t="s">
        <v>683</v>
      </c>
      <c r="B155" t="s">
        <v>684</v>
      </c>
      <c r="C155" t="s">
        <v>249</v>
      </c>
      <c r="D155" t="s">
        <v>377</v>
      </c>
      <c r="E155" t="s">
        <v>403</v>
      </c>
      <c r="F155" s="4">
        <v>45869.172590243063</v>
      </c>
      <c r="G155" s="4">
        <v>45869.407724456018</v>
      </c>
      <c r="H155">
        <v>5.6</v>
      </c>
      <c r="I155" t="s">
        <v>9</v>
      </c>
      <c r="J155" t="s">
        <v>328</v>
      </c>
    </row>
    <row r="156" spans="1:10">
      <c r="A156" t="s">
        <v>685</v>
      </c>
      <c r="B156" t="s">
        <v>686</v>
      </c>
      <c r="C156" t="s">
        <v>97</v>
      </c>
      <c r="D156" t="s">
        <v>381</v>
      </c>
      <c r="E156" t="s">
        <v>403</v>
      </c>
      <c r="F156" s="4">
        <v>45965.692431423609</v>
      </c>
      <c r="G156" s="4">
        <v>45965.896688229157</v>
      </c>
      <c r="H156">
        <v>4.9000000000000004</v>
      </c>
      <c r="I156" t="s">
        <v>9</v>
      </c>
      <c r="J156" t="s">
        <v>323</v>
      </c>
    </row>
    <row r="157" spans="1:10">
      <c r="A157" t="s">
        <v>687</v>
      </c>
      <c r="B157" t="s">
        <v>688</v>
      </c>
      <c r="C157" t="s">
        <v>105</v>
      </c>
      <c r="D157" t="s">
        <v>467</v>
      </c>
      <c r="E157" t="s">
        <v>456</v>
      </c>
      <c r="F157" s="4">
        <v>46058.111957499998</v>
      </c>
      <c r="G157" s="4">
        <v>46058.180819351852</v>
      </c>
      <c r="H157">
        <v>1.7</v>
      </c>
      <c r="I157" t="s">
        <v>9</v>
      </c>
      <c r="J157" t="s">
        <v>335</v>
      </c>
    </row>
    <row r="158" spans="1:10">
      <c r="A158" t="s">
        <v>689</v>
      </c>
      <c r="B158" t="s">
        <v>690</v>
      </c>
      <c r="C158" t="s">
        <v>23</v>
      </c>
      <c r="D158" t="s">
        <v>381</v>
      </c>
      <c r="E158" t="s">
        <v>374</v>
      </c>
      <c r="F158" s="4">
        <v>45880.509020949074</v>
      </c>
      <c r="G158" s="4">
        <v>45880.779587337973</v>
      </c>
      <c r="H158">
        <v>6.5</v>
      </c>
      <c r="I158" t="s">
        <v>9</v>
      </c>
      <c r="J158" t="s">
        <v>323</v>
      </c>
    </row>
    <row r="159" spans="1:10">
      <c r="A159" t="s">
        <v>691</v>
      </c>
      <c r="B159" t="s">
        <v>692</v>
      </c>
      <c r="C159" t="s">
        <v>27</v>
      </c>
      <c r="D159" t="s">
        <v>476</v>
      </c>
      <c r="E159" t="s">
        <v>403</v>
      </c>
      <c r="F159" s="4">
        <v>46124.463316875001</v>
      </c>
      <c r="G159" s="4">
        <v>46124.790454004629</v>
      </c>
      <c r="H159">
        <v>7.9</v>
      </c>
      <c r="I159" t="s">
        <v>12</v>
      </c>
      <c r="J159" t="s">
        <v>328</v>
      </c>
    </row>
    <row r="160" spans="1:10">
      <c r="A160" t="s">
        <v>693</v>
      </c>
      <c r="B160" t="s">
        <v>694</v>
      </c>
      <c r="C160" t="s">
        <v>53</v>
      </c>
      <c r="D160" t="s">
        <v>381</v>
      </c>
      <c r="E160" t="s">
        <v>393</v>
      </c>
      <c r="F160" s="4">
        <v>45843.471645289363</v>
      </c>
      <c r="G160" s="4">
        <v>45843.613239189814</v>
      </c>
      <c r="H160">
        <v>3.4</v>
      </c>
      <c r="I160" t="s">
        <v>9</v>
      </c>
      <c r="J160" t="s">
        <v>335</v>
      </c>
    </row>
    <row r="161" spans="1:10">
      <c r="A161" t="s">
        <v>695</v>
      </c>
      <c r="B161" t="s">
        <v>696</v>
      </c>
      <c r="C161" t="s">
        <v>127</v>
      </c>
      <c r="D161" t="s">
        <v>377</v>
      </c>
      <c r="E161" t="s">
        <v>440</v>
      </c>
      <c r="F161" s="4">
        <v>46063.678812546299</v>
      </c>
      <c r="G161" s="4">
        <v>46063.840750671297</v>
      </c>
      <c r="H161">
        <v>3.9</v>
      </c>
      <c r="I161" t="s">
        <v>9</v>
      </c>
      <c r="J161" t="s">
        <v>335</v>
      </c>
    </row>
    <row r="162" spans="1:10">
      <c r="A162" t="s">
        <v>697</v>
      </c>
      <c r="B162" t="s">
        <v>698</v>
      </c>
      <c r="C162" t="s">
        <v>18</v>
      </c>
      <c r="D162" t="s">
        <v>443</v>
      </c>
      <c r="E162" t="s">
        <v>393</v>
      </c>
      <c r="F162" s="4">
        <v>45910.639517418982</v>
      </c>
      <c r="G162" s="4">
        <v>45910.871252476849</v>
      </c>
      <c r="H162">
        <v>5.6</v>
      </c>
      <c r="I162" t="s">
        <v>12</v>
      </c>
      <c r="J162" t="s">
        <v>323</v>
      </c>
    </row>
    <row r="163" spans="1:10">
      <c r="A163" t="s">
        <v>699</v>
      </c>
      <c r="B163" t="s">
        <v>700</v>
      </c>
      <c r="C163" t="s">
        <v>192</v>
      </c>
      <c r="D163" t="s">
        <v>417</v>
      </c>
      <c r="E163" t="s">
        <v>400</v>
      </c>
      <c r="F163" s="4">
        <v>45994.525811747677</v>
      </c>
      <c r="G163" s="4">
        <v>45994.604986365739</v>
      </c>
      <c r="H163">
        <v>1.9</v>
      </c>
      <c r="I163" t="s">
        <v>12</v>
      </c>
      <c r="J163" t="s">
        <v>335</v>
      </c>
    </row>
    <row r="164" spans="1:10">
      <c r="A164" t="s">
        <v>701</v>
      </c>
      <c r="B164" t="s">
        <v>702</v>
      </c>
      <c r="C164" t="s">
        <v>225</v>
      </c>
      <c r="D164" t="s">
        <v>365</v>
      </c>
      <c r="E164" t="s">
        <v>366</v>
      </c>
      <c r="F164" s="4">
        <v>46091.327448599543</v>
      </c>
      <c r="G164" s="4">
        <v>46091.421106759262</v>
      </c>
      <c r="H164">
        <v>2.2000000000000002</v>
      </c>
      <c r="I164" t="s">
        <v>9</v>
      </c>
      <c r="J164" t="s">
        <v>328</v>
      </c>
    </row>
    <row r="165" spans="1:10">
      <c r="A165" t="s">
        <v>703</v>
      </c>
      <c r="B165" t="s">
        <v>704</v>
      </c>
      <c r="C165" t="s">
        <v>253</v>
      </c>
      <c r="D165" t="s">
        <v>365</v>
      </c>
      <c r="E165" t="s">
        <v>456</v>
      </c>
      <c r="F165" s="4">
        <v>46022.288528078701</v>
      </c>
      <c r="G165" s="4">
        <v>46022.424565243047</v>
      </c>
      <c r="H165">
        <v>3.3</v>
      </c>
      <c r="I165" t="s">
        <v>12</v>
      </c>
      <c r="J165" t="s">
        <v>323</v>
      </c>
    </row>
    <row r="166" spans="1:10">
      <c r="A166" t="s">
        <v>705</v>
      </c>
      <c r="B166" t="s">
        <v>706</v>
      </c>
      <c r="C166" t="s">
        <v>147</v>
      </c>
      <c r="D166" t="s">
        <v>392</v>
      </c>
      <c r="E166" t="s">
        <v>374</v>
      </c>
      <c r="F166" s="4">
        <v>45986.389289479157</v>
      </c>
      <c r="G166" s="4">
        <v>45986.538516956018</v>
      </c>
      <c r="H166">
        <v>3.6</v>
      </c>
      <c r="I166" t="s">
        <v>12</v>
      </c>
      <c r="J166" t="s">
        <v>323</v>
      </c>
    </row>
    <row r="167" spans="1:10">
      <c r="A167" t="s">
        <v>707</v>
      </c>
      <c r="B167" t="s">
        <v>708</v>
      </c>
      <c r="C167" t="s">
        <v>204</v>
      </c>
      <c r="D167" t="s">
        <v>392</v>
      </c>
      <c r="E167" t="s">
        <v>403</v>
      </c>
      <c r="F167" s="4">
        <v>46057.945926875</v>
      </c>
      <c r="G167" s="4">
        <v>46058.097514328707</v>
      </c>
      <c r="H167">
        <v>3.6</v>
      </c>
      <c r="I167" t="s">
        <v>9</v>
      </c>
      <c r="J167" t="s">
        <v>335</v>
      </c>
    </row>
    <row r="168" spans="1:10">
      <c r="A168" t="s">
        <v>709</v>
      </c>
      <c r="B168" t="s">
        <v>710</v>
      </c>
      <c r="C168" t="s">
        <v>61</v>
      </c>
      <c r="D168" t="s">
        <v>467</v>
      </c>
      <c r="E168" t="s">
        <v>393</v>
      </c>
      <c r="F168" s="4">
        <v>45877.654640821762</v>
      </c>
      <c r="G168" s="4">
        <v>45877.946005243059</v>
      </c>
      <c r="H168">
        <v>7</v>
      </c>
      <c r="I168" t="s">
        <v>12</v>
      </c>
      <c r="J168" t="s">
        <v>323</v>
      </c>
    </row>
    <row r="169" spans="1:10">
      <c r="A169" t="s">
        <v>711</v>
      </c>
      <c r="B169" t="s">
        <v>712</v>
      </c>
      <c r="C169" t="s">
        <v>171</v>
      </c>
      <c r="D169" t="s">
        <v>377</v>
      </c>
      <c r="E169" t="s">
        <v>387</v>
      </c>
      <c r="F169" s="4">
        <v>46002.572104479157</v>
      </c>
      <c r="G169" s="4">
        <v>46002.848530347219</v>
      </c>
      <c r="H169">
        <v>6.6</v>
      </c>
      <c r="I169" t="s">
        <v>9</v>
      </c>
      <c r="J169" t="s">
        <v>328</v>
      </c>
    </row>
    <row r="170" spans="1:10">
      <c r="A170" t="s">
        <v>713</v>
      </c>
      <c r="B170" t="s">
        <v>714</v>
      </c>
      <c r="C170" t="s">
        <v>101</v>
      </c>
      <c r="D170" t="s">
        <v>377</v>
      </c>
      <c r="E170" t="s">
        <v>440</v>
      </c>
      <c r="F170" s="4">
        <v>45991.620781898149</v>
      </c>
      <c r="G170" s="4">
        <v>45991.935100937502</v>
      </c>
      <c r="H170">
        <v>7.5</v>
      </c>
      <c r="I170" t="s">
        <v>9</v>
      </c>
      <c r="J170" t="s">
        <v>328</v>
      </c>
    </row>
    <row r="171" spans="1:10">
      <c r="A171" t="s">
        <v>715</v>
      </c>
      <c r="B171" t="s">
        <v>716</v>
      </c>
      <c r="C171" t="s">
        <v>67</v>
      </c>
      <c r="D171" t="s">
        <v>392</v>
      </c>
      <c r="E171" t="s">
        <v>440</v>
      </c>
      <c r="F171" s="4">
        <v>46082.357720046297</v>
      </c>
      <c r="G171" s="4">
        <v>46082.521977268523</v>
      </c>
      <c r="H171">
        <v>3.9</v>
      </c>
      <c r="I171" t="s">
        <v>12</v>
      </c>
      <c r="J171" t="s">
        <v>335</v>
      </c>
    </row>
    <row r="172" spans="1:10">
      <c r="A172" t="s">
        <v>717</v>
      </c>
      <c r="B172" t="s">
        <v>718</v>
      </c>
      <c r="C172" t="s">
        <v>283</v>
      </c>
      <c r="D172" t="s">
        <v>369</v>
      </c>
      <c r="E172" t="s">
        <v>400</v>
      </c>
      <c r="F172" s="4">
        <v>46123.394925810193</v>
      </c>
      <c r="G172" s="4">
        <v>46123.67344121528</v>
      </c>
      <c r="H172">
        <v>6.7</v>
      </c>
      <c r="I172" t="s">
        <v>9</v>
      </c>
      <c r="J172" t="s">
        <v>323</v>
      </c>
    </row>
    <row r="173" spans="1:10">
      <c r="A173" t="s">
        <v>719</v>
      </c>
      <c r="B173" t="s">
        <v>458</v>
      </c>
      <c r="C173" t="s">
        <v>73</v>
      </c>
      <c r="D173" t="s">
        <v>392</v>
      </c>
      <c r="E173" t="s">
        <v>400</v>
      </c>
      <c r="F173" s="4">
        <v>46146.030538981482</v>
      </c>
      <c r="G173" s="4">
        <v>46146.335841863423</v>
      </c>
      <c r="H173">
        <v>7.3</v>
      </c>
      <c r="I173" t="s">
        <v>9</v>
      </c>
      <c r="J173" t="s">
        <v>323</v>
      </c>
    </row>
    <row r="174" spans="1:10">
      <c r="A174" t="s">
        <v>720</v>
      </c>
      <c r="B174" t="s">
        <v>721</v>
      </c>
      <c r="C174" t="s">
        <v>273</v>
      </c>
      <c r="D174" t="s">
        <v>417</v>
      </c>
      <c r="E174" t="s">
        <v>393</v>
      </c>
      <c r="F174" s="4">
        <v>45947.699826863427</v>
      </c>
      <c r="G174" s="4">
        <v>45947.732874201392</v>
      </c>
      <c r="H174">
        <v>0.8</v>
      </c>
      <c r="I174" t="s">
        <v>12</v>
      </c>
      <c r="J174" t="s">
        <v>323</v>
      </c>
    </row>
    <row r="175" spans="1:10">
      <c r="A175" t="s">
        <v>722</v>
      </c>
      <c r="B175" t="s">
        <v>723</v>
      </c>
      <c r="C175" t="s">
        <v>185</v>
      </c>
      <c r="D175" t="s">
        <v>377</v>
      </c>
      <c r="E175" t="s">
        <v>400</v>
      </c>
      <c r="F175" s="4">
        <v>45920.133702349543</v>
      </c>
      <c r="G175" s="4">
        <v>45920.297131493047</v>
      </c>
      <c r="H175">
        <v>3.9</v>
      </c>
      <c r="I175" t="s">
        <v>9</v>
      </c>
      <c r="J175" t="s">
        <v>328</v>
      </c>
    </row>
    <row r="176" spans="1:10">
      <c r="A176" t="s">
        <v>724</v>
      </c>
      <c r="B176" t="s">
        <v>725</v>
      </c>
      <c r="C176" t="s">
        <v>49</v>
      </c>
      <c r="D176" t="s">
        <v>377</v>
      </c>
      <c r="E176" t="s">
        <v>440</v>
      </c>
      <c r="F176" s="4">
        <v>45895.594351562497</v>
      </c>
      <c r="G176" s="4">
        <v>45895.872506655091</v>
      </c>
      <c r="H176">
        <v>6.7</v>
      </c>
      <c r="I176" t="s">
        <v>9</v>
      </c>
      <c r="J176" t="s">
        <v>335</v>
      </c>
    </row>
    <row r="177" spans="1:10">
      <c r="A177" t="s">
        <v>726</v>
      </c>
      <c r="B177" t="s">
        <v>727</v>
      </c>
      <c r="C177" t="s">
        <v>66</v>
      </c>
      <c r="D177" t="s">
        <v>369</v>
      </c>
      <c r="E177" t="s">
        <v>370</v>
      </c>
      <c r="F177" s="4">
        <v>45951.593627118047</v>
      </c>
      <c r="G177" s="4">
        <v>45951.895699386572</v>
      </c>
      <c r="H177">
        <v>7.2</v>
      </c>
      <c r="I177" t="s">
        <v>9</v>
      </c>
      <c r="J177" t="s">
        <v>323</v>
      </c>
    </row>
    <row r="178" spans="1:10">
      <c r="A178" t="s">
        <v>728</v>
      </c>
      <c r="B178" t="s">
        <v>729</v>
      </c>
      <c r="C178" t="s">
        <v>170</v>
      </c>
      <c r="D178" t="s">
        <v>381</v>
      </c>
      <c r="E178" t="s">
        <v>374</v>
      </c>
      <c r="F178" s="4">
        <v>45986.879851307873</v>
      </c>
      <c r="G178" s="4">
        <v>45987.106647152781</v>
      </c>
      <c r="H178">
        <v>5.4</v>
      </c>
      <c r="I178" t="s">
        <v>9</v>
      </c>
      <c r="J178" t="s">
        <v>335</v>
      </c>
    </row>
    <row r="179" spans="1:10">
      <c r="A179" t="s">
        <v>730</v>
      </c>
      <c r="B179" t="s">
        <v>731</v>
      </c>
      <c r="C179" t="s">
        <v>247</v>
      </c>
      <c r="D179" t="s">
        <v>443</v>
      </c>
      <c r="E179" t="s">
        <v>374</v>
      </c>
      <c r="F179" s="4">
        <v>45854.25272592593</v>
      </c>
      <c r="G179" s="4">
        <v>45854.5690865625</v>
      </c>
      <c r="H179">
        <v>7.6</v>
      </c>
      <c r="I179" t="s">
        <v>9</v>
      </c>
      <c r="J179" t="s">
        <v>323</v>
      </c>
    </row>
    <row r="180" spans="1:10">
      <c r="A180" t="s">
        <v>732</v>
      </c>
      <c r="B180" t="s">
        <v>733</v>
      </c>
      <c r="C180" t="s">
        <v>351</v>
      </c>
      <c r="D180" t="s">
        <v>399</v>
      </c>
      <c r="E180" t="s">
        <v>370</v>
      </c>
      <c r="F180" s="4">
        <v>45942.42645554398</v>
      </c>
      <c r="G180" s="4">
        <v>45942.64356488426</v>
      </c>
      <c r="H180">
        <v>5.2</v>
      </c>
      <c r="I180" t="s">
        <v>9</v>
      </c>
      <c r="J180" t="s">
        <v>335</v>
      </c>
    </row>
    <row r="181" spans="1:10">
      <c r="A181" t="s">
        <v>734</v>
      </c>
      <c r="B181" t="s">
        <v>735</v>
      </c>
      <c r="C181" t="s">
        <v>183</v>
      </c>
      <c r="D181" t="s">
        <v>417</v>
      </c>
      <c r="E181" t="s">
        <v>440</v>
      </c>
      <c r="F181" s="4">
        <v>46045.520206759262</v>
      </c>
      <c r="G181" s="4">
        <v>46045.76679303241</v>
      </c>
      <c r="H181">
        <v>5.9</v>
      </c>
      <c r="I181" t="s">
        <v>12</v>
      </c>
      <c r="J181" t="s">
        <v>323</v>
      </c>
    </row>
    <row r="182" spans="1:10">
      <c r="A182" t="s">
        <v>736</v>
      </c>
      <c r="B182" t="s">
        <v>737</v>
      </c>
      <c r="C182" t="s">
        <v>105</v>
      </c>
      <c r="D182" t="s">
        <v>476</v>
      </c>
      <c r="E182" t="s">
        <v>378</v>
      </c>
      <c r="F182" s="4">
        <v>45885.174201041656</v>
      </c>
      <c r="G182" s="4">
        <v>45885.433115879627</v>
      </c>
      <c r="H182">
        <v>6.2</v>
      </c>
      <c r="I182" t="s">
        <v>12</v>
      </c>
      <c r="J182" t="s">
        <v>323</v>
      </c>
    </row>
    <row r="183" spans="1:10">
      <c r="A183" t="s">
        <v>738</v>
      </c>
      <c r="B183" t="s">
        <v>579</v>
      </c>
      <c r="C183" t="s">
        <v>76</v>
      </c>
      <c r="D183" t="s">
        <v>373</v>
      </c>
      <c r="E183" t="s">
        <v>396</v>
      </c>
      <c r="F183" s="4">
        <v>46040.934313564823</v>
      </c>
      <c r="G183" s="4">
        <v>46040.988029571759</v>
      </c>
      <c r="H183">
        <v>1.3</v>
      </c>
      <c r="I183" t="s">
        <v>9</v>
      </c>
      <c r="J183" t="s">
        <v>323</v>
      </c>
    </row>
    <row r="184" spans="1:10">
      <c r="A184" t="s">
        <v>739</v>
      </c>
      <c r="B184" t="s">
        <v>740</v>
      </c>
      <c r="C184" t="s">
        <v>34</v>
      </c>
      <c r="D184" t="s">
        <v>476</v>
      </c>
      <c r="E184" t="s">
        <v>396</v>
      </c>
      <c r="F184" s="4">
        <v>45874.686650347219</v>
      </c>
      <c r="G184" s="4">
        <v>45874.758995902783</v>
      </c>
      <c r="H184">
        <v>1.7</v>
      </c>
      <c r="I184" t="s">
        <v>12</v>
      </c>
      <c r="J184" t="s">
        <v>328</v>
      </c>
    </row>
    <row r="185" spans="1:10">
      <c r="A185" t="s">
        <v>741</v>
      </c>
      <c r="B185" t="s">
        <v>742</v>
      </c>
      <c r="C185" t="s">
        <v>105</v>
      </c>
      <c r="D185" t="s">
        <v>476</v>
      </c>
      <c r="E185" t="s">
        <v>396</v>
      </c>
      <c r="F185" s="4">
        <v>45860.081202789363</v>
      </c>
      <c r="G185" s="4">
        <v>45860.124909710648</v>
      </c>
      <c r="H185">
        <v>1</v>
      </c>
      <c r="I185" t="s">
        <v>9</v>
      </c>
      <c r="J185" t="s">
        <v>335</v>
      </c>
    </row>
    <row r="186" spans="1:10">
      <c r="A186" t="s">
        <v>743</v>
      </c>
      <c r="B186" t="s">
        <v>744</v>
      </c>
      <c r="C186" t="s">
        <v>180</v>
      </c>
      <c r="D186" t="s">
        <v>417</v>
      </c>
      <c r="E186" t="s">
        <v>387</v>
      </c>
      <c r="F186" s="4">
        <v>45898.765951134257</v>
      </c>
      <c r="G186" s="4">
        <v>45899.019896168982</v>
      </c>
      <c r="H186">
        <v>6.1</v>
      </c>
      <c r="I186" t="s">
        <v>9</v>
      </c>
      <c r="J186" t="s">
        <v>328</v>
      </c>
    </row>
    <row r="187" spans="1:10">
      <c r="A187" t="s">
        <v>745</v>
      </c>
      <c r="B187" t="s">
        <v>746</v>
      </c>
      <c r="C187" t="s">
        <v>273</v>
      </c>
      <c r="D187" t="s">
        <v>443</v>
      </c>
      <c r="E187" t="s">
        <v>440</v>
      </c>
      <c r="F187" s="4">
        <v>46083.010473738417</v>
      </c>
      <c r="G187" s="4">
        <v>46083.109621354168</v>
      </c>
      <c r="H187">
        <v>2.4</v>
      </c>
      <c r="I187" t="s">
        <v>9</v>
      </c>
      <c r="J187" t="s">
        <v>328</v>
      </c>
    </row>
    <row r="188" spans="1:10">
      <c r="A188" t="s">
        <v>747</v>
      </c>
      <c r="B188" t="s">
        <v>748</v>
      </c>
      <c r="C188" t="s">
        <v>87</v>
      </c>
      <c r="D188" t="s">
        <v>476</v>
      </c>
      <c r="E188" t="s">
        <v>403</v>
      </c>
      <c r="F188" s="4">
        <v>46012.013450289349</v>
      </c>
      <c r="G188" s="4">
        <v>46012.268244884261</v>
      </c>
      <c r="H188">
        <v>6.1</v>
      </c>
      <c r="I188" t="s">
        <v>9</v>
      </c>
      <c r="J188" t="s">
        <v>323</v>
      </c>
    </row>
    <row r="189" spans="1:10">
      <c r="A189" t="s">
        <v>749</v>
      </c>
      <c r="B189" t="s">
        <v>750</v>
      </c>
      <c r="C189" t="s">
        <v>87</v>
      </c>
      <c r="D189" t="s">
        <v>417</v>
      </c>
      <c r="E189" t="s">
        <v>403</v>
      </c>
      <c r="F189" s="4">
        <v>46104.359129780103</v>
      </c>
      <c r="G189" s="4">
        <v>46104.585282673608</v>
      </c>
      <c r="H189">
        <v>5.4</v>
      </c>
      <c r="I189" t="s">
        <v>9</v>
      </c>
      <c r="J189" t="s">
        <v>323</v>
      </c>
    </row>
    <row r="190" spans="1:10">
      <c r="A190" t="s">
        <v>751</v>
      </c>
      <c r="B190" t="s">
        <v>752</v>
      </c>
      <c r="C190" t="s">
        <v>245</v>
      </c>
      <c r="D190" t="s">
        <v>377</v>
      </c>
      <c r="E190" t="s">
        <v>414</v>
      </c>
      <c r="F190" s="4">
        <v>45958.186484664351</v>
      </c>
      <c r="G190" s="4">
        <v>45958.46370133102</v>
      </c>
      <c r="H190">
        <v>6.7</v>
      </c>
      <c r="I190" t="s">
        <v>9</v>
      </c>
      <c r="J190" t="s">
        <v>323</v>
      </c>
    </row>
    <row r="191" spans="1:10">
      <c r="A191" t="s">
        <v>753</v>
      </c>
      <c r="B191" t="s">
        <v>754</v>
      </c>
      <c r="C191" t="s">
        <v>29</v>
      </c>
      <c r="D191" t="s">
        <v>417</v>
      </c>
      <c r="E191" t="s">
        <v>378</v>
      </c>
      <c r="F191" s="4">
        <v>46042.027913726852</v>
      </c>
      <c r="G191" s="4">
        <v>46042.238430983787</v>
      </c>
      <c r="H191">
        <v>5.0999999999999996</v>
      </c>
      <c r="I191" t="s">
        <v>12</v>
      </c>
      <c r="J191" t="s">
        <v>323</v>
      </c>
    </row>
    <row r="192" spans="1:10">
      <c r="A192" t="s">
        <v>755</v>
      </c>
      <c r="B192" t="s">
        <v>756</v>
      </c>
      <c r="C192" t="s">
        <v>114</v>
      </c>
      <c r="D192" t="s">
        <v>399</v>
      </c>
      <c r="E192" t="s">
        <v>414</v>
      </c>
      <c r="F192" s="4">
        <v>46067.900825150457</v>
      </c>
      <c r="G192" s="4">
        <v>46068.04379895833</v>
      </c>
      <c r="H192">
        <v>3.4</v>
      </c>
      <c r="I192" t="s">
        <v>12</v>
      </c>
      <c r="J192" t="s">
        <v>328</v>
      </c>
    </row>
    <row r="193" spans="1:10">
      <c r="A193" t="s">
        <v>757</v>
      </c>
      <c r="B193" t="s">
        <v>758</v>
      </c>
      <c r="C193" t="s">
        <v>215</v>
      </c>
      <c r="D193" t="s">
        <v>443</v>
      </c>
      <c r="E193" t="s">
        <v>403</v>
      </c>
      <c r="F193" s="4">
        <v>45873.035688402779</v>
      </c>
      <c r="G193" s="4">
        <v>45873.104489386576</v>
      </c>
      <c r="H193">
        <v>1.7</v>
      </c>
      <c r="I193" t="s">
        <v>9</v>
      </c>
      <c r="J193" t="s">
        <v>328</v>
      </c>
    </row>
    <row r="194" spans="1:10">
      <c r="A194" t="s">
        <v>759</v>
      </c>
      <c r="B194" t="s">
        <v>760</v>
      </c>
      <c r="C194" t="s">
        <v>186</v>
      </c>
      <c r="D194" t="s">
        <v>417</v>
      </c>
      <c r="E194" t="s">
        <v>400</v>
      </c>
      <c r="F194" s="4">
        <v>45868.839988101849</v>
      </c>
      <c r="G194" s="4">
        <v>45869.139786342603</v>
      </c>
      <c r="H194">
        <v>7.2</v>
      </c>
      <c r="I194" t="s">
        <v>9</v>
      </c>
      <c r="J194" t="s">
        <v>335</v>
      </c>
    </row>
    <row r="195" spans="1:10">
      <c r="A195" t="s">
        <v>761</v>
      </c>
      <c r="B195" t="s">
        <v>762</v>
      </c>
      <c r="C195" t="s">
        <v>199</v>
      </c>
      <c r="D195" t="s">
        <v>369</v>
      </c>
      <c r="E195" t="s">
        <v>414</v>
      </c>
      <c r="F195" s="4">
        <v>46133.751254560193</v>
      </c>
      <c r="G195" s="4">
        <v>46134.033494502313</v>
      </c>
      <c r="H195">
        <v>6.8</v>
      </c>
      <c r="I195" t="s">
        <v>9</v>
      </c>
      <c r="J195" t="s">
        <v>328</v>
      </c>
    </row>
    <row r="196" spans="1:10">
      <c r="A196" t="s">
        <v>763</v>
      </c>
      <c r="B196" t="s">
        <v>764</v>
      </c>
      <c r="C196" t="s">
        <v>14</v>
      </c>
      <c r="D196" t="s">
        <v>443</v>
      </c>
      <c r="E196" t="s">
        <v>374</v>
      </c>
      <c r="F196" s="4">
        <v>45864.112152222217</v>
      </c>
      <c r="G196" s="4">
        <v>45864.339248182871</v>
      </c>
      <c r="H196">
        <v>5.5</v>
      </c>
      <c r="I196" t="s">
        <v>12</v>
      </c>
      <c r="J196" t="s">
        <v>335</v>
      </c>
    </row>
    <row r="197" spans="1:10">
      <c r="A197" t="s">
        <v>765</v>
      </c>
      <c r="B197" t="s">
        <v>766</v>
      </c>
      <c r="C197" t="s">
        <v>97</v>
      </c>
      <c r="D197" t="s">
        <v>381</v>
      </c>
      <c r="E197" t="s">
        <v>370</v>
      </c>
      <c r="F197" s="4">
        <v>46066.673575219909</v>
      </c>
      <c r="G197" s="4">
        <v>46066.881347719907</v>
      </c>
      <c r="H197">
        <v>5</v>
      </c>
      <c r="I197" t="s">
        <v>12</v>
      </c>
      <c r="J197" t="s">
        <v>328</v>
      </c>
    </row>
    <row r="198" spans="1:10">
      <c r="A198" t="s">
        <v>767</v>
      </c>
      <c r="B198" t="s">
        <v>398</v>
      </c>
      <c r="C198" t="s">
        <v>112</v>
      </c>
      <c r="D198" t="s">
        <v>399</v>
      </c>
      <c r="E198" t="s">
        <v>400</v>
      </c>
      <c r="F198" s="4">
        <v>45988.367318750003</v>
      </c>
      <c r="G198" s="4">
        <v>45988.678408506938</v>
      </c>
      <c r="H198">
        <v>7.5</v>
      </c>
      <c r="I198" t="s">
        <v>9</v>
      </c>
      <c r="J198" t="s">
        <v>323</v>
      </c>
    </row>
    <row r="199" spans="1:10">
      <c r="A199" t="s">
        <v>768</v>
      </c>
      <c r="B199" t="s">
        <v>769</v>
      </c>
      <c r="C199" t="s">
        <v>202</v>
      </c>
      <c r="D199" t="s">
        <v>369</v>
      </c>
      <c r="E199" t="s">
        <v>414</v>
      </c>
      <c r="F199" s="4">
        <v>46115.406661412038</v>
      </c>
      <c r="G199" s="4">
        <v>46115.432506759258</v>
      </c>
      <c r="H199">
        <v>0.6</v>
      </c>
      <c r="I199" t="s">
        <v>12</v>
      </c>
      <c r="J199" t="s">
        <v>335</v>
      </c>
    </row>
    <row r="200" spans="1:10">
      <c r="A200" t="s">
        <v>770</v>
      </c>
      <c r="B200" t="s">
        <v>771</v>
      </c>
      <c r="C200" t="s">
        <v>27</v>
      </c>
      <c r="D200" t="s">
        <v>417</v>
      </c>
      <c r="E200" t="s">
        <v>378</v>
      </c>
      <c r="F200" s="4">
        <v>46067.597993645832</v>
      </c>
      <c r="G200" s="4">
        <v>46067.678874432873</v>
      </c>
      <c r="H200">
        <v>1.9</v>
      </c>
      <c r="I200" t="s">
        <v>9</v>
      </c>
      <c r="J200" t="s">
        <v>335</v>
      </c>
    </row>
    <row r="201" spans="1:10">
      <c r="A201" t="s">
        <v>772</v>
      </c>
      <c r="B201" t="s">
        <v>773</v>
      </c>
      <c r="C201" t="s">
        <v>73</v>
      </c>
      <c r="D201" t="s">
        <v>381</v>
      </c>
      <c r="E201" t="s">
        <v>393</v>
      </c>
      <c r="F201" s="4">
        <v>45855.742374050933</v>
      </c>
      <c r="G201" s="4">
        <v>45855.793395891204</v>
      </c>
      <c r="H201">
        <v>1.2</v>
      </c>
      <c r="I201" t="s">
        <v>9</v>
      </c>
      <c r="J201" t="s">
        <v>335</v>
      </c>
    </row>
    <row r="202" spans="1:10">
      <c r="A202" t="s">
        <v>774</v>
      </c>
      <c r="B202" t="s">
        <v>775</v>
      </c>
      <c r="C202" t="s">
        <v>121</v>
      </c>
      <c r="D202" t="s">
        <v>476</v>
      </c>
      <c r="E202" t="s">
        <v>403</v>
      </c>
      <c r="F202" s="4">
        <v>45972.144858680564</v>
      </c>
      <c r="G202" s="4">
        <v>45972.21789428241</v>
      </c>
      <c r="H202">
        <v>1.8</v>
      </c>
      <c r="I202" t="s">
        <v>9</v>
      </c>
      <c r="J202" t="s">
        <v>323</v>
      </c>
    </row>
    <row r="203" spans="1:10">
      <c r="A203" t="s">
        <v>776</v>
      </c>
      <c r="B203" t="s">
        <v>777</v>
      </c>
      <c r="C203" t="s">
        <v>133</v>
      </c>
      <c r="D203" t="s">
        <v>381</v>
      </c>
      <c r="E203" t="s">
        <v>396</v>
      </c>
      <c r="F203" s="4">
        <v>45988.635532546286</v>
      </c>
      <c r="G203" s="4">
        <v>45988.757203252317</v>
      </c>
      <c r="H203">
        <v>2.9</v>
      </c>
      <c r="I203" t="s">
        <v>9</v>
      </c>
      <c r="J203" t="s">
        <v>335</v>
      </c>
    </row>
    <row r="204" spans="1:10">
      <c r="A204" t="s">
        <v>778</v>
      </c>
      <c r="B204" t="s">
        <v>407</v>
      </c>
      <c r="C204" t="s">
        <v>232</v>
      </c>
      <c r="D204" t="s">
        <v>384</v>
      </c>
      <c r="E204" t="s">
        <v>374</v>
      </c>
      <c r="F204" s="4">
        <v>46059.904069988428</v>
      </c>
      <c r="G204" s="4">
        <v>46060.094185393522</v>
      </c>
      <c r="H204">
        <v>4.5999999999999996</v>
      </c>
      <c r="I204" t="s">
        <v>9</v>
      </c>
      <c r="J204" t="s">
        <v>328</v>
      </c>
    </row>
    <row r="205" spans="1:10">
      <c r="A205" t="s">
        <v>779</v>
      </c>
      <c r="B205" t="s">
        <v>423</v>
      </c>
      <c r="C205" t="s">
        <v>34</v>
      </c>
      <c r="D205" t="s">
        <v>369</v>
      </c>
      <c r="E205" t="s">
        <v>414</v>
      </c>
      <c r="F205" s="4">
        <v>46035.480041388888</v>
      </c>
      <c r="G205" s="4">
        <v>46035.533963888891</v>
      </c>
      <c r="H205">
        <v>1.3</v>
      </c>
      <c r="I205" t="s">
        <v>9</v>
      </c>
      <c r="J205" t="s">
        <v>328</v>
      </c>
    </row>
    <row r="206" spans="1:10">
      <c r="A206" t="s">
        <v>780</v>
      </c>
      <c r="B206" t="s">
        <v>781</v>
      </c>
      <c r="C206" t="s">
        <v>43</v>
      </c>
      <c r="D206" t="s">
        <v>369</v>
      </c>
      <c r="E206" t="s">
        <v>387</v>
      </c>
      <c r="F206" s="4">
        <v>45903.044440138889</v>
      </c>
      <c r="G206" s="4">
        <v>45903.164098541667</v>
      </c>
      <c r="H206">
        <v>2.9</v>
      </c>
      <c r="I206" t="s">
        <v>9</v>
      </c>
      <c r="J206" t="s">
        <v>328</v>
      </c>
    </row>
    <row r="207" spans="1:10">
      <c r="A207" t="s">
        <v>782</v>
      </c>
      <c r="B207" t="s">
        <v>783</v>
      </c>
      <c r="C207" t="s">
        <v>129</v>
      </c>
      <c r="D207" t="s">
        <v>384</v>
      </c>
      <c r="E207" t="s">
        <v>370</v>
      </c>
      <c r="F207" s="4">
        <v>46093.805143854173</v>
      </c>
      <c r="G207" s="4">
        <v>46094.031590219907</v>
      </c>
      <c r="H207">
        <v>5.4</v>
      </c>
      <c r="I207" t="s">
        <v>9</v>
      </c>
      <c r="J207" t="s">
        <v>335</v>
      </c>
    </row>
    <row r="208" spans="1:10">
      <c r="A208" t="s">
        <v>784</v>
      </c>
      <c r="B208" t="s">
        <v>616</v>
      </c>
      <c r="C208" t="s">
        <v>235</v>
      </c>
      <c r="D208" t="s">
        <v>373</v>
      </c>
      <c r="E208" t="s">
        <v>366</v>
      </c>
      <c r="F208" s="4">
        <v>46125.906450046299</v>
      </c>
      <c r="G208" s="4">
        <v>46125.948324398138</v>
      </c>
      <c r="H208">
        <v>1</v>
      </c>
      <c r="I208" t="s">
        <v>12</v>
      </c>
      <c r="J208" t="s">
        <v>335</v>
      </c>
    </row>
    <row r="209" spans="1:10">
      <c r="A209" t="s">
        <v>785</v>
      </c>
      <c r="B209" t="s">
        <v>786</v>
      </c>
      <c r="C209" t="s">
        <v>103</v>
      </c>
      <c r="D209" t="s">
        <v>384</v>
      </c>
      <c r="E209" t="s">
        <v>370</v>
      </c>
      <c r="F209" s="4">
        <v>46150.958064236111</v>
      </c>
      <c r="G209" s="4">
        <v>46151.135015081018</v>
      </c>
      <c r="H209">
        <v>4.2</v>
      </c>
      <c r="I209" t="s">
        <v>9</v>
      </c>
      <c r="J209" t="s">
        <v>323</v>
      </c>
    </row>
    <row r="210" spans="1:10">
      <c r="A210" t="s">
        <v>787</v>
      </c>
      <c r="B210" t="s">
        <v>788</v>
      </c>
      <c r="C210" t="s">
        <v>66</v>
      </c>
      <c r="D210" t="s">
        <v>476</v>
      </c>
      <c r="E210" t="s">
        <v>440</v>
      </c>
      <c r="F210" s="4">
        <v>45886.0638071875</v>
      </c>
      <c r="G210" s="4">
        <v>45886.372835497677</v>
      </c>
      <c r="H210">
        <v>7.4</v>
      </c>
      <c r="I210" t="s">
        <v>9</v>
      </c>
      <c r="J210" t="s">
        <v>335</v>
      </c>
    </row>
    <row r="211" spans="1:10">
      <c r="A211" t="s">
        <v>789</v>
      </c>
      <c r="B211" t="s">
        <v>790</v>
      </c>
      <c r="C211" t="s">
        <v>215</v>
      </c>
      <c r="D211" t="s">
        <v>467</v>
      </c>
      <c r="E211" t="s">
        <v>378</v>
      </c>
      <c r="F211" s="4">
        <v>45852.014052314807</v>
      </c>
      <c r="G211" s="4">
        <v>45852.222344131937</v>
      </c>
      <c r="H211">
        <v>5</v>
      </c>
      <c r="I211" t="s">
        <v>9</v>
      </c>
      <c r="J211" t="s">
        <v>328</v>
      </c>
    </row>
    <row r="212" spans="1:10">
      <c r="A212" t="s">
        <v>791</v>
      </c>
      <c r="B212" t="s">
        <v>792</v>
      </c>
      <c r="C212" t="s">
        <v>23</v>
      </c>
      <c r="D212" t="s">
        <v>399</v>
      </c>
      <c r="E212" t="s">
        <v>370</v>
      </c>
      <c r="F212" s="4">
        <v>45964.290706597218</v>
      </c>
      <c r="G212" s="4">
        <v>45964.615404571763</v>
      </c>
      <c r="H212">
        <v>7.8</v>
      </c>
      <c r="I212" t="s">
        <v>9</v>
      </c>
      <c r="J212" t="s">
        <v>323</v>
      </c>
    </row>
    <row r="213" spans="1:10">
      <c r="A213" t="s">
        <v>793</v>
      </c>
      <c r="B213" t="s">
        <v>794</v>
      </c>
      <c r="C213" t="s">
        <v>21</v>
      </c>
      <c r="D213" t="s">
        <v>377</v>
      </c>
      <c r="E213" t="s">
        <v>396</v>
      </c>
      <c r="F213" s="4">
        <v>46141.245437916667</v>
      </c>
      <c r="G213" s="4">
        <v>46141.504307592593</v>
      </c>
      <c r="H213">
        <v>6.2</v>
      </c>
      <c r="I213" t="s">
        <v>9</v>
      </c>
      <c r="J213" t="s">
        <v>323</v>
      </c>
    </row>
    <row r="214" spans="1:10">
      <c r="A214" t="s">
        <v>795</v>
      </c>
      <c r="B214" t="s">
        <v>796</v>
      </c>
      <c r="C214" t="s">
        <v>127</v>
      </c>
      <c r="D214" t="s">
        <v>443</v>
      </c>
      <c r="E214" t="s">
        <v>366</v>
      </c>
      <c r="F214" s="4">
        <v>45891.993593796287</v>
      </c>
      <c r="G214" s="4">
        <v>45892.119147511577</v>
      </c>
      <c r="H214">
        <v>3</v>
      </c>
      <c r="I214" t="s">
        <v>9</v>
      </c>
      <c r="J214" t="s">
        <v>335</v>
      </c>
    </row>
    <row r="215" spans="1:10">
      <c r="A215" t="s">
        <v>797</v>
      </c>
      <c r="B215" t="s">
        <v>798</v>
      </c>
      <c r="C215" t="s">
        <v>97</v>
      </c>
      <c r="D215" t="s">
        <v>392</v>
      </c>
      <c r="E215" t="s">
        <v>400</v>
      </c>
      <c r="F215" s="4">
        <v>45894.217086736113</v>
      </c>
      <c r="G215" s="4">
        <v>45894.397615729169</v>
      </c>
      <c r="H215">
        <v>4.3</v>
      </c>
      <c r="I215" t="s">
        <v>9</v>
      </c>
      <c r="J215" t="s">
        <v>335</v>
      </c>
    </row>
    <row r="216" spans="1:10">
      <c r="A216" t="s">
        <v>799</v>
      </c>
      <c r="B216" t="s">
        <v>800</v>
      </c>
      <c r="C216" t="s">
        <v>185</v>
      </c>
      <c r="D216" t="s">
        <v>417</v>
      </c>
      <c r="E216" t="s">
        <v>378</v>
      </c>
      <c r="F216" s="4">
        <v>45861.924122418983</v>
      </c>
      <c r="G216" s="4">
        <v>45862.253824768522</v>
      </c>
      <c r="H216">
        <v>7.9</v>
      </c>
      <c r="I216" t="s">
        <v>9</v>
      </c>
      <c r="J216" t="s">
        <v>335</v>
      </c>
    </row>
    <row r="217" spans="1:10">
      <c r="A217" t="s">
        <v>801</v>
      </c>
      <c r="B217" t="s">
        <v>802</v>
      </c>
      <c r="C217" t="s">
        <v>59</v>
      </c>
      <c r="D217" t="s">
        <v>377</v>
      </c>
      <c r="E217" t="s">
        <v>366</v>
      </c>
      <c r="F217" s="4">
        <v>46039.232551527777</v>
      </c>
      <c r="G217" s="4">
        <v>46039.292152407397</v>
      </c>
      <c r="H217">
        <v>1.4</v>
      </c>
      <c r="I217" t="s">
        <v>9</v>
      </c>
      <c r="J217" t="s">
        <v>335</v>
      </c>
    </row>
    <row r="218" spans="1:10">
      <c r="A218" t="s">
        <v>803</v>
      </c>
      <c r="B218" t="s">
        <v>562</v>
      </c>
      <c r="C218" t="s">
        <v>173</v>
      </c>
      <c r="D218" t="s">
        <v>373</v>
      </c>
      <c r="E218" t="s">
        <v>378</v>
      </c>
      <c r="F218" s="4">
        <v>45978.042225092591</v>
      </c>
      <c r="G218" s="4">
        <v>45978.256735370371</v>
      </c>
      <c r="H218">
        <v>5.0999999999999996</v>
      </c>
      <c r="I218" t="s">
        <v>12</v>
      </c>
      <c r="J218" t="s">
        <v>335</v>
      </c>
    </row>
    <row r="219" spans="1:10">
      <c r="A219" t="s">
        <v>804</v>
      </c>
      <c r="B219" t="s">
        <v>681</v>
      </c>
      <c r="C219" t="s">
        <v>21</v>
      </c>
      <c r="D219" t="s">
        <v>399</v>
      </c>
      <c r="E219" t="s">
        <v>396</v>
      </c>
      <c r="F219" s="4">
        <v>45870.268233229173</v>
      </c>
      <c r="G219" s="4">
        <v>45870.352195243053</v>
      </c>
      <c r="H219">
        <v>2</v>
      </c>
      <c r="I219" t="s">
        <v>9</v>
      </c>
      <c r="J219" t="s">
        <v>335</v>
      </c>
    </row>
    <row r="220" spans="1:10">
      <c r="A220" t="s">
        <v>805</v>
      </c>
      <c r="B220" t="s">
        <v>806</v>
      </c>
      <c r="C220" t="s">
        <v>283</v>
      </c>
      <c r="D220" t="s">
        <v>369</v>
      </c>
      <c r="E220" t="s">
        <v>400</v>
      </c>
      <c r="F220" s="4">
        <v>45961.547699282397</v>
      </c>
      <c r="G220" s="4">
        <v>45961.857097962973</v>
      </c>
      <c r="H220">
        <v>7.4</v>
      </c>
      <c r="I220" t="s">
        <v>9</v>
      </c>
      <c r="J220" t="s">
        <v>335</v>
      </c>
    </row>
    <row r="221" spans="1:10">
      <c r="A221" t="s">
        <v>807</v>
      </c>
      <c r="B221" t="s">
        <v>808</v>
      </c>
      <c r="C221" t="s">
        <v>96</v>
      </c>
      <c r="D221" t="s">
        <v>392</v>
      </c>
      <c r="E221" t="s">
        <v>440</v>
      </c>
      <c r="F221" s="4">
        <v>45937.129656793979</v>
      </c>
      <c r="G221" s="4">
        <v>45937.253205706023</v>
      </c>
      <c r="H221">
        <v>3</v>
      </c>
      <c r="I221" t="s">
        <v>9</v>
      </c>
      <c r="J221" t="s">
        <v>328</v>
      </c>
    </row>
    <row r="222" spans="1:10">
      <c r="A222" t="s">
        <v>809</v>
      </c>
      <c r="B222" t="s">
        <v>810</v>
      </c>
      <c r="C222" t="s">
        <v>151</v>
      </c>
      <c r="D222" t="s">
        <v>392</v>
      </c>
      <c r="E222" t="s">
        <v>374</v>
      </c>
      <c r="F222" s="4">
        <v>46031.57856775463</v>
      </c>
      <c r="G222" s="4">
        <v>46031.611778425933</v>
      </c>
      <c r="H222">
        <v>0.8</v>
      </c>
      <c r="I222" t="s">
        <v>9</v>
      </c>
      <c r="J222" t="s">
        <v>323</v>
      </c>
    </row>
    <row r="223" spans="1:10">
      <c r="A223" t="s">
        <v>811</v>
      </c>
      <c r="B223" t="s">
        <v>812</v>
      </c>
      <c r="C223" t="s">
        <v>118</v>
      </c>
      <c r="D223" t="s">
        <v>373</v>
      </c>
      <c r="E223" t="s">
        <v>393</v>
      </c>
      <c r="F223" s="4">
        <v>45920.310620254633</v>
      </c>
      <c r="G223" s="4">
        <v>45920.421595798609</v>
      </c>
      <c r="H223">
        <v>2.7</v>
      </c>
      <c r="I223" t="s">
        <v>12</v>
      </c>
      <c r="J223" t="s">
        <v>328</v>
      </c>
    </row>
    <row r="224" spans="1:10">
      <c r="A224" t="s">
        <v>813</v>
      </c>
      <c r="B224" t="s">
        <v>596</v>
      </c>
      <c r="C224" t="s">
        <v>110</v>
      </c>
      <c r="D224" t="s">
        <v>443</v>
      </c>
      <c r="E224" t="s">
        <v>403</v>
      </c>
      <c r="F224" s="4">
        <v>45859.62475638889</v>
      </c>
      <c r="G224" s="4">
        <v>45859.709907662043</v>
      </c>
      <c r="H224">
        <v>2</v>
      </c>
      <c r="I224" t="s">
        <v>12</v>
      </c>
      <c r="J224" t="s">
        <v>335</v>
      </c>
    </row>
    <row r="225" spans="1:10">
      <c r="A225" t="s">
        <v>814</v>
      </c>
      <c r="B225" t="s">
        <v>775</v>
      </c>
      <c r="C225" t="s">
        <v>121</v>
      </c>
      <c r="D225" t="s">
        <v>476</v>
      </c>
      <c r="E225" t="s">
        <v>403</v>
      </c>
      <c r="F225" s="4">
        <v>45975.703748761567</v>
      </c>
      <c r="G225" s="4">
        <v>45975.975035787043</v>
      </c>
      <c r="H225">
        <v>6.5</v>
      </c>
      <c r="I225" t="s">
        <v>9</v>
      </c>
      <c r="J225" t="s">
        <v>323</v>
      </c>
    </row>
    <row r="226" spans="1:10">
      <c r="A226" t="s">
        <v>815</v>
      </c>
      <c r="B226" t="s">
        <v>816</v>
      </c>
      <c r="C226" t="s">
        <v>159</v>
      </c>
      <c r="D226" t="s">
        <v>384</v>
      </c>
      <c r="E226" t="s">
        <v>396</v>
      </c>
      <c r="F226" s="4">
        <v>46111.661350219911</v>
      </c>
      <c r="G226" s="4">
        <v>46111.80139789352</v>
      </c>
      <c r="H226">
        <v>3.4</v>
      </c>
      <c r="I226" t="s">
        <v>9</v>
      </c>
      <c r="J226" t="s">
        <v>335</v>
      </c>
    </row>
    <row r="227" spans="1:10">
      <c r="A227" t="s">
        <v>817</v>
      </c>
      <c r="B227" t="s">
        <v>762</v>
      </c>
      <c r="C227" t="s">
        <v>199</v>
      </c>
      <c r="D227" t="s">
        <v>369</v>
      </c>
      <c r="E227" t="s">
        <v>414</v>
      </c>
      <c r="F227" s="4">
        <v>46133.562929976863</v>
      </c>
      <c r="G227" s="4">
        <v>46133.603956087973</v>
      </c>
      <c r="H227">
        <v>1</v>
      </c>
      <c r="I227" t="s">
        <v>9</v>
      </c>
      <c r="J227" t="s">
        <v>328</v>
      </c>
    </row>
    <row r="228" spans="1:10">
      <c r="A228" t="s">
        <v>818</v>
      </c>
      <c r="B228" t="s">
        <v>566</v>
      </c>
      <c r="C228" t="s">
        <v>253</v>
      </c>
      <c r="D228" t="s">
        <v>369</v>
      </c>
      <c r="E228" t="s">
        <v>370</v>
      </c>
      <c r="F228" s="4">
        <v>45910.368741388891</v>
      </c>
      <c r="G228" s="4">
        <v>45910.699578657397</v>
      </c>
      <c r="H228">
        <v>7.9</v>
      </c>
      <c r="I228" t="s">
        <v>9</v>
      </c>
      <c r="J228" t="s">
        <v>323</v>
      </c>
    </row>
    <row r="229" spans="1:10">
      <c r="A229" t="s">
        <v>819</v>
      </c>
      <c r="B229" t="s">
        <v>820</v>
      </c>
      <c r="C229" t="s">
        <v>124</v>
      </c>
      <c r="D229" t="s">
        <v>373</v>
      </c>
      <c r="E229" t="s">
        <v>396</v>
      </c>
      <c r="F229" s="4">
        <v>45987.603266261583</v>
      </c>
      <c r="G229" s="4">
        <v>45987.809296678242</v>
      </c>
      <c r="H229">
        <v>4.9000000000000004</v>
      </c>
      <c r="I229" t="s">
        <v>9</v>
      </c>
      <c r="J229" t="s">
        <v>328</v>
      </c>
    </row>
    <row r="230" spans="1:10">
      <c r="A230" t="s">
        <v>821</v>
      </c>
      <c r="B230" t="s">
        <v>822</v>
      </c>
      <c r="C230" t="s">
        <v>273</v>
      </c>
      <c r="D230" t="s">
        <v>365</v>
      </c>
      <c r="E230" t="s">
        <v>400</v>
      </c>
      <c r="F230" s="4">
        <v>45916.420407361111</v>
      </c>
      <c r="G230" s="4">
        <v>45916.46566710648</v>
      </c>
      <c r="H230">
        <v>1.1000000000000001</v>
      </c>
      <c r="I230" t="s">
        <v>9</v>
      </c>
      <c r="J230" t="s">
        <v>328</v>
      </c>
    </row>
    <row r="231" spans="1:10">
      <c r="A231" t="s">
        <v>823</v>
      </c>
      <c r="B231" t="s">
        <v>824</v>
      </c>
      <c r="C231" t="s">
        <v>197</v>
      </c>
      <c r="D231" t="s">
        <v>392</v>
      </c>
      <c r="E231" t="s">
        <v>414</v>
      </c>
      <c r="F231" s="4">
        <v>45993.673563645832</v>
      </c>
      <c r="G231" s="4">
        <v>45993.756127060187</v>
      </c>
      <c r="H231">
        <v>2</v>
      </c>
      <c r="I231" t="s">
        <v>9</v>
      </c>
      <c r="J231" t="s">
        <v>328</v>
      </c>
    </row>
    <row r="232" spans="1:10">
      <c r="A232" t="s">
        <v>825</v>
      </c>
      <c r="B232" t="s">
        <v>826</v>
      </c>
      <c r="C232" t="s">
        <v>140</v>
      </c>
      <c r="D232" t="s">
        <v>373</v>
      </c>
      <c r="E232" t="s">
        <v>400</v>
      </c>
      <c r="F232" s="4">
        <v>46026.631079675928</v>
      </c>
      <c r="G232" s="4">
        <v>46026.741085787027</v>
      </c>
      <c r="H232">
        <v>2.6</v>
      </c>
      <c r="I232" t="s">
        <v>9</v>
      </c>
      <c r="J232" t="s">
        <v>335</v>
      </c>
    </row>
    <row r="233" spans="1:10">
      <c r="A233" t="s">
        <v>827</v>
      </c>
      <c r="B233" t="s">
        <v>828</v>
      </c>
      <c r="C233" t="s">
        <v>101</v>
      </c>
      <c r="D233" t="s">
        <v>365</v>
      </c>
      <c r="E233" t="s">
        <v>440</v>
      </c>
      <c r="F233" s="4">
        <v>46092.848109849539</v>
      </c>
      <c r="G233" s="4">
        <v>46093.138451157407</v>
      </c>
      <c r="H233">
        <v>7</v>
      </c>
      <c r="I233" t="s">
        <v>9</v>
      </c>
      <c r="J233" t="s">
        <v>328</v>
      </c>
    </row>
    <row r="234" spans="1:10">
      <c r="A234" t="s">
        <v>829</v>
      </c>
      <c r="B234" t="s">
        <v>602</v>
      </c>
      <c r="C234" t="s">
        <v>7</v>
      </c>
      <c r="D234" t="s">
        <v>467</v>
      </c>
      <c r="E234" t="s">
        <v>414</v>
      </c>
      <c r="F234" s="4">
        <v>46098.813631064811</v>
      </c>
      <c r="G234" s="4">
        <v>46098.886891284717</v>
      </c>
      <c r="H234">
        <v>1.8</v>
      </c>
      <c r="I234" t="s">
        <v>9</v>
      </c>
      <c r="J234" t="s">
        <v>335</v>
      </c>
    </row>
    <row r="235" spans="1:10">
      <c r="A235" t="s">
        <v>830</v>
      </c>
      <c r="B235" t="s">
        <v>831</v>
      </c>
      <c r="C235" t="s">
        <v>168</v>
      </c>
      <c r="D235" t="s">
        <v>377</v>
      </c>
      <c r="E235" t="s">
        <v>400</v>
      </c>
      <c r="F235" s="4">
        <v>45931.515693217603</v>
      </c>
      <c r="G235" s="4">
        <v>45931.67197358796</v>
      </c>
      <c r="H235">
        <v>3.8</v>
      </c>
      <c r="I235" t="s">
        <v>12</v>
      </c>
      <c r="J235" t="s">
        <v>328</v>
      </c>
    </row>
    <row r="236" spans="1:10">
      <c r="A236" t="s">
        <v>832</v>
      </c>
      <c r="B236" t="s">
        <v>471</v>
      </c>
      <c r="C236" t="s">
        <v>118</v>
      </c>
      <c r="D236" t="s">
        <v>365</v>
      </c>
      <c r="E236" t="s">
        <v>400</v>
      </c>
      <c r="F236" s="4">
        <v>46046.174051550923</v>
      </c>
      <c r="G236" s="4">
        <v>46046.314078414347</v>
      </c>
      <c r="H236">
        <v>3.4</v>
      </c>
      <c r="I236" t="s">
        <v>9</v>
      </c>
      <c r="J236" t="s">
        <v>335</v>
      </c>
    </row>
    <row r="237" spans="1:10">
      <c r="A237" t="s">
        <v>833</v>
      </c>
      <c r="B237" t="s">
        <v>478</v>
      </c>
      <c r="C237" t="s">
        <v>51</v>
      </c>
      <c r="D237" t="s">
        <v>417</v>
      </c>
      <c r="E237" t="s">
        <v>396</v>
      </c>
      <c r="F237" s="4">
        <v>46038.098475185187</v>
      </c>
      <c r="G237" s="4">
        <v>46038.167058113417</v>
      </c>
      <c r="H237">
        <v>1.6</v>
      </c>
      <c r="I237" t="s">
        <v>9</v>
      </c>
      <c r="J237" t="s">
        <v>335</v>
      </c>
    </row>
    <row r="238" spans="1:10">
      <c r="A238" t="s">
        <v>834</v>
      </c>
      <c r="B238" t="s">
        <v>835</v>
      </c>
      <c r="C238" t="s">
        <v>190</v>
      </c>
      <c r="D238" t="s">
        <v>381</v>
      </c>
      <c r="E238" t="s">
        <v>366</v>
      </c>
      <c r="F238" s="4">
        <v>45854.738048472223</v>
      </c>
      <c r="G238" s="4">
        <v>45854.854459085647</v>
      </c>
      <c r="H238">
        <v>2.8</v>
      </c>
      <c r="I238" t="s">
        <v>9</v>
      </c>
      <c r="J238" t="s">
        <v>323</v>
      </c>
    </row>
    <row r="239" spans="1:10">
      <c r="A239" t="s">
        <v>836</v>
      </c>
      <c r="B239" t="s">
        <v>837</v>
      </c>
      <c r="C239" t="s">
        <v>97</v>
      </c>
      <c r="D239" t="s">
        <v>467</v>
      </c>
      <c r="E239" t="s">
        <v>400</v>
      </c>
      <c r="F239" s="4">
        <v>45999.073087500001</v>
      </c>
      <c r="G239" s="4">
        <v>45999.116401979169</v>
      </c>
      <c r="H239">
        <v>1</v>
      </c>
      <c r="I239" t="s">
        <v>12</v>
      </c>
      <c r="J239" t="s">
        <v>335</v>
      </c>
    </row>
    <row r="240" spans="1:10">
      <c r="A240" t="s">
        <v>838</v>
      </c>
      <c r="B240" t="s">
        <v>839</v>
      </c>
      <c r="C240" t="s">
        <v>53</v>
      </c>
      <c r="D240" t="s">
        <v>377</v>
      </c>
      <c r="E240" t="s">
        <v>374</v>
      </c>
      <c r="F240" s="4">
        <v>46074.703870567129</v>
      </c>
      <c r="G240" s="4">
        <v>46075.010995127312</v>
      </c>
      <c r="H240">
        <v>7.4</v>
      </c>
      <c r="I240" t="s">
        <v>12</v>
      </c>
      <c r="J240" t="s">
        <v>328</v>
      </c>
    </row>
    <row r="241" spans="1:10">
      <c r="A241" t="s">
        <v>840</v>
      </c>
      <c r="B241" t="s">
        <v>841</v>
      </c>
      <c r="C241" t="s">
        <v>269</v>
      </c>
      <c r="D241" t="s">
        <v>369</v>
      </c>
      <c r="E241" t="s">
        <v>378</v>
      </c>
      <c r="F241" s="4">
        <v>46067.983276782397</v>
      </c>
      <c r="G241" s="4">
        <v>46068.12106568287</v>
      </c>
      <c r="H241">
        <v>3.3</v>
      </c>
      <c r="I241" t="s">
        <v>9</v>
      </c>
      <c r="J241" t="s">
        <v>335</v>
      </c>
    </row>
    <row r="242" spans="1:10">
      <c r="A242" t="s">
        <v>842</v>
      </c>
      <c r="B242" t="s">
        <v>727</v>
      </c>
      <c r="C242" t="s">
        <v>66</v>
      </c>
      <c r="D242" t="s">
        <v>369</v>
      </c>
      <c r="E242" t="s">
        <v>370</v>
      </c>
      <c r="F242" s="4">
        <v>45953.356060034719</v>
      </c>
      <c r="G242" s="4">
        <v>45953.680172326392</v>
      </c>
      <c r="H242">
        <v>7.8</v>
      </c>
      <c r="I242" t="s">
        <v>9</v>
      </c>
      <c r="J242" t="s">
        <v>323</v>
      </c>
    </row>
    <row r="243" spans="1:10">
      <c r="A243" t="s">
        <v>843</v>
      </c>
      <c r="B243" t="s">
        <v>844</v>
      </c>
      <c r="C243" t="s">
        <v>16</v>
      </c>
      <c r="D243" t="s">
        <v>392</v>
      </c>
      <c r="E243" t="s">
        <v>400</v>
      </c>
      <c r="F243" s="4">
        <v>46073.538701041667</v>
      </c>
      <c r="G243" s="4">
        <v>46073.868135011573</v>
      </c>
      <c r="H243">
        <v>7.9</v>
      </c>
      <c r="I243" t="s">
        <v>12</v>
      </c>
      <c r="J243" t="s">
        <v>323</v>
      </c>
    </row>
    <row r="244" spans="1:10">
      <c r="A244" t="s">
        <v>845</v>
      </c>
      <c r="B244" t="s">
        <v>846</v>
      </c>
      <c r="C244" t="s">
        <v>29</v>
      </c>
      <c r="D244" t="s">
        <v>399</v>
      </c>
      <c r="E244" t="s">
        <v>366</v>
      </c>
      <c r="F244" s="4">
        <v>45943.03197729167</v>
      </c>
      <c r="G244" s="4">
        <v>45943.091709849527</v>
      </c>
      <c r="H244">
        <v>1.4</v>
      </c>
      <c r="I244" t="s">
        <v>9</v>
      </c>
      <c r="J244" t="s">
        <v>328</v>
      </c>
    </row>
    <row r="245" spans="1:10">
      <c r="A245" t="s">
        <v>847</v>
      </c>
      <c r="B245" t="s">
        <v>848</v>
      </c>
      <c r="C245" t="s">
        <v>34</v>
      </c>
      <c r="D245" t="s">
        <v>369</v>
      </c>
      <c r="E245" t="s">
        <v>414</v>
      </c>
      <c r="F245" s="4">
        <v>46008.712425625003</v>
      </c>
      <c r="G245" s="4">
        <v>46008.869602060193</v>
      </c>
      <c r="H245">
        <v>3.8</v>
      </c>
      <c r="I245" t="s">
        <v>9</v>
      </c>
      <c r="J245" t="s">
        <v>323</v>
      </c>
    </row>
    <row r="246" spans="1:10">
      <c r="A246" t="s">
        <v>849</v>
      </c>
      <c r="B246" t="s">
        <v>850</v>
      </c>
      <c r="C246" t="s">
        <v>66</v>
      </c>
      <c r="D246" t="s">
        <v>399</v>
      </c>
      <c r="E246" t="s">
        <v>414</v>
      </c>
      <c r="F246" s="4">
        <v>45969.918024803243</v>
      </c>
      <c r="G246" s="4">
        <v>45970.091552465281</v>
      </c>
      <c r="H246">
        <v>4.2</v>
      </c>
      <c r="I246" t="s">
        <v>9</v>
      </c>
      <c r="J246" t="s">
        <v>335</v>
      </c>
    </row>
    <row r="247" spans="1:10">
      <c r="A247" t="s">
        <v>851</v>
      </c>
      <c r="B247" t="s">
        <v>442</v>
      </c>
      <c r="C247" t="s">
        <v>103</v>
      </c>
      <c r="D247" t="s">
        <v>443</v>
      </c>
      <c r="E247" t="s">
        <v>374</v>
      </c>
      <c r="F247" s="4">
        <v>45879.610224687502</v>
      </c>
      <c r="G247" s="4">
        <v>45879.920595127318</v>
      </c>
      <c r="H247">
        <v>7.4</v>
      </c>
      <c r="I247" t="s">
        <v>9</v>
      </c>
      <c r="J247" t="s">
        <v>323</v>
      </c>
    </row>
    <row r="248" spans="1:10">
      <c r="A248" t="s">
        <v>852</v>
      </c>
      <c r="B248" t="s">
        <v>853</v>
      </c>
      <c r="C248" t="s">
        <v>235</v>
      </c>
      <c r="D248" t="s">
        <v>467</v>
      </c>
      <c r="E248" t="s">
        <v>374</v>
      </c>
      <c r="F248" s="4">
        <v>45917.464060532409</v>
      </c>
      <c r="G248" s="4">
        <v>45917.772852789349</v>
      </c>
      <c r="H248">
        <v>7.4</v>
      </c>
      <c r="I248" t="s">
        <v>9</v>
      </c>
      <c r="J248" t="s">
        <v>328</v>
      </c>
    </row>
    <row r="249" spans="1:10">
      <c r="A249" t="s">
        <v>854</v>
      </c>
      <c r="B249" t="s">
        <v>855</v>
      </c>
      <c r="C249" t="s">
        <v>76</v>
      </c>
      <c r="D249" t="s">
        <v>467</v>
      </c>
      <c r="E249" t="s">
        <v>387</v>
      </c>
      <c r="F249" s="4">
        <v>46100.828892592603</v>
      </c>
      <c r="G249" s="4">
        <v>46101.057749571759</v>
      </c>
      <c r="H249">
        <v>5.5</v>
      </c>
      <c r="I249" t="s">
        <v>12</v>
      </c>
      <c r="J249" t="s">
        <v>323</v>
      </c>
    </row>
    <row r="250" spans="1:10">
      <c r="A250" t="s">
        <v>856</v>
      </c>
      <c r="B250" t="s">
        <v>857</v>
      </c>
      <c r="C250" t="s">
        <v>249</v>
      </c>
      <c r="D250" t="s">
        <v>381</v>
      </c>
      <c r="E250" t="s">
        <v>374</v>
      </c>
      <c r="F250" s="4">
        <v>45978.080184560182</v>
      </c>
      <c r="G250" s="4">
        <v>45978.313851168983</v>
      </c>
      <c r="H250">
        <v>5.6</v>
      </c>
      <c r="I250" t="s">
        <v>9</v>
      </c>
      <c r="J250" t="s">
        <v>323</v>
      </c>
    </row>
    <row r="251" spans="1:10">
      <c r="A251" t="s">
        <v>858</v>
      </c>
      <c r="B251" t="s">
        <v>859</v>
      </c>
      <c r="C251" t="s">
        <v>260</v>
      </c>
      <c r="D251" t="s">
        <v>399</v>
      </c>
      <c r="E251" t="s">
        <v>440</v>
      </c>
      <c r="F251" s="4">
        <v>46135.286453749999</v>
      </c>
      <c r="G251" s="4">
        <v>46135.514351041667</v>
      </c>
      <c r="H251">
        <v>5.5</v>
      </c>
      <c r="I251" t="s">
        <v>12</v>
      </c>
      <c r="J251" t="s">
        <v>335</v>
      </c>
    </row>
    <row r="252" spans="1:10">
      <c r="A252" t="s">
        <v>860</v>
      </c>
      <c r="B252" t="s">
        <v>861</v>
      </c>
      <c r="C252" t="s">
        <v>32</v>
      </c>
      <c r="D252" t="s">
        <v>443</v>
      </c>
      <c r="E252" t="s">
        <v>440</v>
      </c>
      <c r="F252" s="4">
        <v>45926.381697187499</v>
      </c>
      <c r="G252" s="4">
        <v>45926.603904710653</v>
      </c>
      <c r="H252">
        <v>5.3</v>
      </c>
      <c r="I252" t="s">
        <v>9</v>
      </c>
      <c r="J252" t="s">
        <v>328</v>
      </c>
    </row>
    <row r="253" spans="1:10">
      <c r="A253" t="s">
        <v>862</v>
      </c>
      <c r="B253" t="s">
        <v>863</v>
      </c>
      <c r="C253" t="s">
        <v>226</v>
      </c>
      <c r="D253" t="s">
        <v>443</v>
      </c>
      <c r="E253" t="s">
        <v>403</v>
      </c>
      <c r="F253" s="4">
        <v>45871.839468136583</v>
      </c>
      <c r="G253" s="4">
        <v>45872.164721967587</v>
      </c>
      <c r="H253">
        <v>7.8</v>
      </c>
      <c r="I253" t="s">
        <v>12</v>
      </c>
      <c r="J253" t="s">
        <v>335</v>
      </c>
    </row>
    <row r="254" spans="1:10">
      <c r="A254" t="s">
        <v>864</v>
      </c>
      <c r="B254" t="s">
        <v>624</v>
      </c>
      <c r="C254" t="s">
        <v>188</v>
      </c>
      <c r="D254" t="s">
        <v>384</v>
      </c>
      <c r="E254" t="s">
        <v>400</v>
      </c>
      <c r="F254" s="4">
        <v>46106.842363842603</v>
      </c>
      <c r="G254" s="4">
        <v>46106.915017060193</v>
      </c>
      <c r="H254">
        <v>1.7</v>
      </c>
      <c r="I254" t="s">
        <v>9</v>
      </c>
      <c r="J254" t="s">
        <v>323</v>
      </c>
    </row>
    <row r="255" spans="1:10">
      <c r="A255" t="s">
        <v>865</v>
      </c>
      <c r="B255" t="s">
        <v>866</v>
      </c>
      <c r="C255" t="s">
        <v>56</v>
      </c>
      <c r="D255" t="s">
        <v>476</v>
      </c>
      <c r="E255" t="s">
        <v>403</v>
      </c>
      <c r="F255" s="4">
        <v>45942.359767118047</v>
      </c>
      <c r="G255" s="4">
        <v>45942.547225856477</v>
      </c>
      <c r="H255">
        <v>4.5</v>
      </c>
      <c r="I255" t="s">
        <v>9</v>
      </c>
      <c r="J255" t="s">
        <v>323</v>
      </c>
    </row>
    <row r="256" spans="1:10">
      <c r="A256" t="s">
        <v>867</v>
      </c>
      <c r="B256" t="s">
        <v>868</v>
      </c>
      <c r="C256" t="s">
        <v>27</v>
      </c>
      <c r="D256" t="s">
        <v>443</v>
      </c>
      <c r="E256" t="s">
        <v>400</v>
      </c>
      <c r="F256" s="4">
        <v>45925.431092800929</v>
      </c>
      <c r="G256" s="4">
        <v>45925.580553946762</v>
      </c>
      <c r="H256">
        <v>3.6</v>
      </c>
      <c r="I256" t="s">
        <v>9</v>
      </c>
      <c r="J256" t="s">
        <v>328</v>
      </c>
    </row>
    <row r="257" spans="1:10">
      <c r="A257" t="s">
        <v>869</v>
      </c>
      <c r="B257" t="s">
        <v>437</v>
      </c>
      <c r="C257" t="s">
        <v>225</v>
      </c>
      <c r="D257" t="s">
        <v>365</v>
      </c>
      <c r="E257" t="s">
        <v>393</v>
      </c>
      <c r="F257" s="4">
        <v>46079.419164930558</v>
      </c>
      <c r="G257" s="4">
        <v>46079.6189394213</v>
      </c>
      <c r="H257">
        <v>4.8</v>
      </c>
      <c r="I257" t="s">
        <v>9</v>
      </c>
      <c r="J257" t="s">
        <v>323</v>
      </c>
    </row>
    <row r="258" spans="1:10">
      <c r="A258" t="s">
        <v>870</v>
      </c>
      <c r="B258" t="s">
        <v>718</v>
      </c>
      <c r="C258" t="s">
        <v>283</v>
      </c>
      <c r="D258" t="s">
        <v>369</v>
      </c>
      <c r="E258" t="s">
        <v>400</v>
      </c>
      <c r="F258" s="4">
        <v>46122.693238888889</v>
      </c>
      <c r="G258" s="4">
        <v>46122.779548958337</v>
      </c>
      <c r="H258">
        <v>2.1</v>
      </c>
      <c r="I258" t="s">
        <v>9</v>
      </c>
      <c r="J258" t="s">
        <v>323</v>
      </c>
    </row>
    <row r="259" spans="1:10">
      <c r="A259" t="s">
        <v>871</v>
      </c>
      <c r="B259" t="s">
        <v>766</v>
      </c>
      <c r="C259" t="s">
        <v>97</v>
      </c>
      <c r="D259" t="s">
        <v>381</v>
      </c>
      <c r="E259" t="s">
        <v>370</v>
      </c>
      <c r="F259" s="4">
        <v>46065.311649861113</v>
      </c>
      <c r="G259" s="4">
        <v>46065.385107789349</v>
      </c>
      <c r="H259">
        <v>1.8</v>
      </c>
      <c r="I259" t="s">
        <v>9</v>
      </c>
      <c r="J259" t="s">
        <v>328</v>
      </c>
    </row>
    <row r="260" spans="1:10">
      <c r="A260" t="s">
        <v>872</v>
      </c>
      <c r="B260" t="s">
        <v>873</v>
      </c>
      <c r="C260" t="s">
        <v>186</v>
      </c>
      <c r="D260" t="s">
        <v>373</v>
      </c>
      <c r="E260" t="s">
        <v>366</v>
      </c>
      <c r="F260" s="4">
        <v>45895.346323055557</v>
      </c>
      <c r="G260" s="4">
        <v>45895.584755358803</v>
      </c>
      <c r="H260">
        <v>5.7</v>
      </c>
      <c r="I260" t="s">
        <v>9</v>
      </c>
      <c r="J260" t="s">
        <v>335</v>
      </c>
    </row>
    <row r="261" spans="1:10">
      <c r="A261" t="s">
        <v>874</v>
      </c>
      <c r="B261" t="s">
        <v>875</v>
      </c>
      <c r="C261" t="s">
        <v>196</v>
      </c>
      <c r="D261" t="s">
        <v>365</v>
      </c>
      <c r="E261" t="s">
        <v>440</v>
      </c>
      <c r="F261" s="4">
        <v>46055.275124664353</v>
      </c>
      <c r="G261" s="4">
        <v>46055.430629745373</v>
      </c>
      <c r="H261">
        <v>3.7</v>
      </c>
      <c r="I261" t="s">
        <v>12</v>
      </c>
      <c r="J261" t="s">
        <v>335</v>
      </c>
    </row>
    <row r="262" spans="1:10">
      <c r="A262" t="s">
        <v>876</v>
      </c>
      <c r="B262" t="s">
        <v>877</v>
      </c>
      <c r="C262" t="s">
        <v>118</v>
      </c>
      <c r="D262" t="s">
        <v>392</v>
      </c>
      <c r="E262" t="s">
        <v>400</v>
      </c>
      <c r="F262" s="4">
        <v>46074.396026539347</v>
      </c>
      <c r="G262" s="4">
        <v>46074.478741296298</v>
      </c>
      <c r="H262">
        <v>2</v>
      </c>
      <c r="I262" t="s">
        <v>12</v>
      </c>
      <c r="J262" t="s">
        <v>328</v>
      </c>
    </row>
    <row r="263" spans="1:10">
      <c r="A263" t="s">
        <v>878</v>
      </c>
      <c r="B263" t="s">
        <v>879</v>
      </c>
      <c r="C263" t="s">
        <v>49</v>
      </c>
      <c r="D263" t="s">
        <v>392</v>
      </c>
      <c r="E263" t="s">
        <v>403</v>
      </c>
      <c r="F263" s="4">
        <v>45935.455258773152</v>
      </c>
      <c r="G263" s="4">
        <v>45935.730582881937</v>
      </c>
      <c r="H263">
        <v>6.6</v>
      </c>
      <c r="I263" t="s">
        <v>12</v>
      </c>
      <c r="J263" t="s">
        <v>323</v>
      </c>
    </row>
    <row r="264" spans="1:10">
      <c r="A264" t="s">
        <v>880</v>
      </c>
      <c r="B264" t="s">
        <v>439</v>
      </c>
      <c r="C264" t="s">
        <v>208</v>
      </c>
      <c r="D264" t="s">
        <v>399</v>
      </c>
      <c r="E264" t="s">
        <v>440</v>
      </c>
      <c r="F264" s="4">
        <v>45961.412383425923</v>
      </c>
      <c r="G264" s="4">
        <v>45961.686085081019</v>
      </c>
      <c r="H264">
        <v>6.6</v>
      </c>
      <c r="I264" t="s">
        <v>12</v>
      </c>
      <c r="J264" t="s">
        <v>328</v>
      </c>
    </row>
    <row r="265" spans="1:10">
      <c r="A265" t="s">
        <v>881</v>
      </c>
      <c r="B265" t="s">
        <v>376</v>
      </c>
      <c r="C265" t="s">
        <v>202</v>
      </c>
      <c r="D265" t="s">
        <v>377</v>
      </c>
      <c r="E265" t="s">
        <v>378</v>
      </c>
      <c r="F265" s="4">
        <v>45968.151155543979</v>
      </c>
      <c r="G265" s="4">
        <v>45968.45729244213</v>
      </c>
      <c r="H265">
        <v>7.3</v>
      </c>
      <c r="I265" t="s">
        <v>12</v>
      </c>
      <c r="J265" t="s">
        <v>323</v>
      </c>
    </row>
    <row r="266" spans="1:10">
      <c r="A266" t="s">
        <v>882</v>
      </c>
      <c r="B266" t="s">
        <v>622</v>
      </c>
      <c r="C266" t="s">
        <v>69</v>
      </c>
      <c r="D266" t="s">
        <v>381</v>
      </c>
      <c r="E266" t="s">
        <v>370</v>
      </c>
      <c r="F266" s="4">
        <v>45902.617537534723</v>
      </c>
      <c r="G266" s="4">
        <v>45902.729972615743</v>
      </c>
      <c r="H266">
        <v>2.7</v>
      </c>
      <c r="I266" t="s">
        <v>9</v>
      </c>
      <c r="J266" t="s">
        <v>323</v>
      </c>
    </row>
    <row r="267" spans="1:10">
      <c r="A267" t="s">
        <v>883</v>
      </c>
      <c r="B267" t="s">
        <v>884</v>
      </c>
      <c r="C267" t="s">
        <v>99</v>
      </c>
      <c r="D267" t="s">
        <v>392</v>
      </c>
      <c r="E267" t="s">
        <v>440</v>
      </c>
      <c r="F267" s="4">
        <v>45863.997530231478</v>
      </c>
      <c r="G267" s="4">
        <v>45864.027634386577</v>
      </c>
      <c r="H267">
        <v>0.7</v>
      </c>
      <c r="I267" t="s">
        <v>9</v>
      </c>
      <c r="J267" t="s">
        <v>323</v>
      </c>
    </row>
    <row r="268" spans="1:10">
      <c r="A268" t="s">
        <v>885</v>
      </c>
      <c r="B268" t="s">
        <v>886</v>
      </c>
      <c r="C268" t="s">
        <v>71</v>
      </c>
      <c r="D268" t="s">
        <v>392</v>
      </c>
      <c r="E268" t="s">
        <v>414</v>
      </c>
      <c r="F268" s="4">
        <v>46064.145331874999</v>
      </c>
      <c r="G268" s="4">
        <v>46064.197668067129</v>
      </c>
      <c r="H268">
        <v>1.3</v>
      </c>
      <c r="I268" t="s">
        <v>12</v>
      </c>
      <c r="J268" t="s">
        <v>335</v>
      </c>
    </row>
    <row r="269" spans="1:10">
      <c r="A269" t="s">
        <v>887</v>
      </c>
      <c r="B269" t="s">
        <v>511</v>
      </c>
      <c r="C269" t="s">
        <v>260</v>
      </c>
      <c r="D269" t="s">
        <v>369</v>
      </c>
      <c r="E269" t="s">
        <v>393</v>
      </c>
      <c r="F269" s="4">
        <v>45910.118110000003</v>
      </c>
      <c r="G269" s="4">
        <v>45910.385570578706</v>
      </c>
      <c r="H269">
        <v>6.4</v>
      </c>
      <c r="I269" t="s">
        <v>12</v>
      </c>
      <c r="J269" t="s">
        <v>335</v>
      </c>
    </row>
    <row r="270" spans="1:10">
      <c r="A270" t="s">
        <v>888</v>
      </c>
      <c r="B270" t="s">
        <v>889</v>
      </c>
      <c r="C270" t="s">
        <v>232</v>
      </c>
      <c r="D270" t="s">
        <v>417</v>
      </c>
      <c r="E270" t="s">
        <v>374</v>
      </c>
      <c r="F270" s="4">
        <v>45884.636933530091</v>
      </c>
      <c r="G270" s="4">
        <v>45884.660036226851</v>
      </c>
      <c r="H270">
        <v>0.6</v>
      </c>
      <c r="I270" t="s">
        <v>9</v>
      </c>
      <c r="J270" t="s">
        <v>323</v>
      </c>
    </row>
    <row r="271" spans="1:10">
      <c r="A271" t="s">
        <v>890</v>
      </c>
      <c r="B271" t="s">
        <v>891</v>
      </c>
      <c r="C271" t="s">
        <v>61</v>
      </c>
      <c r="D271" t="s">
        <v>476</v>
      </c>
      <c r="E271" t="s">
        <v>393</v>
      </c>
      <c r="F271" s="4">
        <v>45933.585747881953</v>
      </c>
      <c r="G271" s="4">
        <v>45933.754466145831</v>
      </c>
      <c r="H271">
        <v>4</v>
      </c>
      <c r="I271" t="s">
        <v>9</v>
      </c>
      <c r="J271" t="s">
        <v>335</v>
      </c>
    </row>
    <row r="272" spans="1:10">
      <c r="A272" t="s">
        <v>892</v>
      </c>
      <c r="B272" t="s">
        <v>893</v>
      </c>
      <c r="C272" t="s">
        <v>80</v>
      </c>
      <c r="D272" t="s">
        <v>369</v>
      </c>
      <c r="E272" t="s">
        <v>414</v>
      </c>
      <c r="F272" s="4">
        <v>45890.43753560185</v>
      </c>
      <c r="G272" s="4">
        <v>45890.671450185182</v>
      </c>
      <c r="H272">
        <v>5.6</v>
      </c>
      <c r="I272" t="s">
        <v>9</v>
      </c>
      <c r="J272" t="s">
        <v>335</v>
      </c>
    </row>
    <row r="273" spans="1:10">
      <c r="A273" t="s">
        <v>894</v>
      </c>
      <c r="B273" t="s">
        <v>895</v>
      </c>
      <c r="C273" t="s">
        <v>215</v>
      </c>
      <c r="D273" t="s">
        <v>399</v>
      </c>
      <c r="E273" t="s">
        <v>414</v>
      </c>
      <c r="F273" s="4">
        <v>46118.368032546299</v>
      </c>
      <c r="G273" s="4">
        <v>46118.682925578702</v>
      </c>
      <c r="H273">
        <v>7.6</v>
      </c>
      <c r="I273" t="s">
        <v>9</v>
      </c>
      <c r="J273" t="s">
        <v>323</v>
      </c>
    </row>
    <row r="274" spans="1:10">
      <c r="A274" t="s">
        <v>896</v>
      </c>
      <c r="B274" t="s">
        <v>897</v>
      </c>
      <c r="C274" t="s">
        <v>245</v>
      </c>
      <c r="D274" t="s">
        <v>443</v>
      </c>
      <c r="E274" t="s">
        <v>370</v>
      </c>
      <c r="F274" s="4">
        <v>45876.205694976852</v>
      </c>
      <c r="G274" s="4">
        <v>45876.531311134262</v>
      </c>
      <c r="H274">
        <v>7.8</v>
      </c>
      <c r="I274" t="s">
        <v>9</v>
      </c>
      <c r="J274" t="s">
        <v>335</v>
      </c>
    </row>
    <row r="275" spans="1:10">
      <c r="A275" t="s">
        <v>898</v>
      </c>
      <c r="B275" t="s">
        <v>899</v>
      </c>
      <c r="C275" t="s">
        <v>183</v>
      </c>
      <c r="D275" t="s">
        <v>381</v>
      </c>
      <c r="E275" t="s">
        <v>393</v>
      </c>
      <c r="F275" s="4">
        <v>46086.255411006947</v>
      </c>
      <c r="G275" s="4">
        <v>46086.548288564823</v>
      </c>
      <c r="H275">
        <v>7</v>
      </c>
      <c r="I275" t="s">
        <v>9</v>
      </c>
      <c r="J275" t="s">
        <v>335</v>
      </c>
    </row>
    <row r="276" spans="1:10">
      <c r="A276" t="s">
        <v>900</v>
      </c>
      <c r="B276" t="s">
        <v>901</v>
      </c>
      <c r="C276" t="s">
        <v>301</v>
      </c>
      <c r="D276" t="s">
        <v>476</v>
      </c>
      <c r="E276" t="s">
        <v>414</v>
      </c>
      <c r="F276" s="4">
        <v>45869.887540254633</v>
      </c>
      <c r="G276" s="4">
        <v>45869.946778136567</v>
      </c>
      <c r="H276">
        <v>1.4</v>
      </c>
      <c r="I276" t="s">
        <v>9</v>
      </c>
      <c r="J276" t="s">
        <v>323</v>
      </c>
    </row>
    <row r="277" spans="1:10">
      <c r="A277" t="s">
        <v>902</v>
      </c>
      <c r="B277" t="s">
        <v>903</v>
      </c>
      <c r="C277" t="s">
        <v>127</v>
      </c>
      <c r="D277" t="s">
        <v>369</v>
      </c>
      <c r="E277" t="s">
        <v>456</v>
      </c>
      <c r="F277" s="4">
        <v>45916.741704467589</v>
      </c>
      <c r="G277" s="4">
        <v>45916.955772696761</v>
      </c>
      <c r="H277">
        <v>5.0999999999999996</v>
      </c>
      <c r="I277" t="s">
        <v>9</v>
      </c>
      <c r="J277" t="s">
        <v>323</v>
      </c>
    </row>
    <row r="278" spans="1:10">
      <c r="A278" t="s">
        <v>904</v>
      </c>
      <c r="B278" t="s">
        <v>905</v>
      </c>
      <c r="C278" t="s">
        <v>151</v>
      </c>
      <c r="D278" t="s">
        <v>467</v>
      </c>
      <c r="E278" t="s">
        <v>374</v>
      </c>
      <c r="F278" s="4">
        <v>45943.581346620369</v>
      </c>
      <c r="G278" s="4">
        <v>45943.808501331019</v>
      </c>
      <c r="H278">
        <v>5.5</v>
      </c>
      <c r="I278" t="s">
        <v>12</v>
      </c>
      <c r="J278" t="s">
        <v>328</v>
      </c>
    </row>
    <row r="279" spans="1:10">
      <c r="A279" t="s">
        <v>906</v>
      </c>
      <c r="B279" t="s">
        <v>907</v>
      </c>
      <c r="C279" t="s">
        <v>215</v>
      </c>
      <c r="D279" t="s">
        <v>399</v>
      </c>
      <c r="E279" t="s">
        <v>378</v>
      </c>
      <c r="F279" s="4">
        <v>46095.122366342592</v>
      </c>
      <c r="G279" s="4">
        <v>46095.397143125003</v>
      </c>
      <c r="H279">
        <v>6.6</v>
      </c>
      <c r="I279" t="s">
        <v>12</v>
      </c>
      <c r="J279" t="s">
        <v>328</v>
      </c>
    </row>
    <row r="280" spans="1:10">
      <c r="A280" t="s">
        <v>908</v>
      </c>
      <c r="B280" t="s">
        <v>602</v>
      </c>
      <c r="C280" t="s">
        <v>7</v>
      </c>
      <c r="D280" t="s">
        <v>467</v>
      </c>
      <c r="E280" t="s">
        <v>414</v>
      </c>
      <c r="F280" s="4">
        <v>46099.63531380787</v>
      </c>
      <c r="G280" s="4">
        <v>46099.959146377318</v>
      </c>
      <c r="H280">
        <v>7.8</v>
      </c>
      <c r="I280" t="s">
        <v>9</v>
      </c>
      <c r="J280" t="s">
        <v>335</v>
      </c>
    </row>
    <row r="281" spans="1:10">
      <c r="A281" t="s">
        <v>909</v>
      </c>
      <c r="B281" t="s">
        <v>523</v>
      </c>
      <c r="C281" t="s">
        <v>140</v>
      </c>
      <c r="D281" t="s">
        <v>476</v>
      </c>
      <c r="E281" t="s">
        <v>396</v>
      </c>
      <c r="F281" s="4">
        <v>45865.279179618054</v>
      </c>
      <c r="G281" s="4">
        <v>45865.489626400456</v>
      </c>
      <c r="H281">
        <v>5.0999999999999996</v>
      </c>
      <c r="I281" t="s">
        <v>9</v>
      </c>
      <c r="J281" t="s">
        <v>328</v>
      </c>
    </row>
    <row r="282" spans="1:10">
      <c r="A282" t="s">
        <v>910</v>
      </c>
      <c r="B282" t="s">
        <v>911</v>
      </c>
      <c r="C282" t="s">
        <v>56</v>
      </c>
      <c r="D282" t="s">
        <v>369</v>
      </c>
      <c r="E282" t="s">
        <v>374</v>
      </c>
      <c r="F282" s="4">
        <v>45895.213083287039</v>
      </c>
      <c r="G282" s="4">
        <v>45895.342770972216</v>
      </c>
      <c r="H282">
        <v>3.1</v>
      </c>
      <c r="I282" t="s">
        <v>9</v>
      </c>
      <c r="J282" t="s">
        <v>328</v>
      </c>
    </row>
    <row r="283" spans="1:10">
      <c r="A283" t="s">
        <v>912</v>
      </c>
      <c r="B283" t="s">
        <v>913</v>
      </c>
      <c r="C283" t="s">
        <v>283</v>
      </c>
      <c r="D283" t="s">
        <v>381</v>
      </c>
      <c r="E283" t="s">
        <v>374</v>
      </c>
      <c r="F283" s="4">
        <v>46077.617754641207</v>
      </c>
      <c r="G283" s="4">
        <v>46077.906431724543</v>
      </c>
      <c r="H283">
        <v>6.9</v>
      </c>
      <c r="I283" t="s">
        <v>9</v>
      </c>
      <c r="J283" t="s">
        <v>335</v>
      </c>
    </row>
    <row r="284" spans="1:10">
      <c r="A284" t="s">
        <v>914</v>
      </c>
      <c r="B284" t="s">
        <v>915</v>
      </c>
      <c r="C284" t="s">
        <v>80</v>
      </c>
      <c r="D284" t="s">
        <v>399</v>
      </c>
      <c r="E284" t="s">
        <v>403</v>
      </c>
      <c r="F284" s="4">
        <v>46026.593092685187</v>
      </c>
      <c r="G284" s="4">
        <v>46026.674887557871</v>
      </c>
      <c r="H284">
        <v>2</v>
      </c>
      <c r="I284" t="s">
        <v>12</v>
      </c>
      <c r="J284" t="s">
        <v>335</v>
      </c>
    </row>
    <row r="285" spans="1:10">
      <c r="A285" t="s">
        <v>916</v>
      </c>
      <c r="B285" t="s">
        <v>917</v>
      </c>
      <c r="C285" t="s">
        <v>185</v>
      </c>
      <c r="D285" t="s">
        <v>476</v>
      </c>
      <c r="E285" t="s">
        <v>440</v>
      </c>
      <c r="F285" s="4">
        <v>46136.072975312498</v>
      </c>
      <c r="G285" s="4">
        <v>46136.33907800926</v>
      </c>
      <c r="H285">
        <v>6.4</v>
      </c>
      <c r="I285" t="s">
        <v>9</v>
      </c>
      <c r="J285" t="s">
        <v>323</v>
      </c>
    </row>
    <row r="286" spans="1:10">
      <c r="A286" t="s">
        <v>918</v>
      </c>
      <c r="B286" t="s">
        <v>688</v>
      </c>
      <c r="C286" t="s">
        <v>105</v>
      </c>
      <c r="D286" t="s">
        <v>467</v>
      </c>
      <c r="E286" t="s">
        <v>456</v>
      </c>
      <c r="F286" s="4">
        <v>46056.831176423613</v>
      </c>
      <c r="G286" s="4">
        <v>46057.101016250002</v>
      </c>
      <c r="H286">
        <v>6.5</v>
      </c>
      <c r="I286" t="s">
        <v>9</v>
      </c>
      <c r="J286" t="s">
        <v>335</v>
      </c>
    </row>
    <row r="287" spans="1:10">
      <c r="A287" t="s">
        <v>919</v>
      </c>
      <c r="B287" t="s">
        <v>920</v>
      </c>
      <c r="C287" t="s">
        <v>227</v>
      </c>
      <c r="D287" t="s">
        <v>467</v>
      </c>
      <c r="E287" t="s">
        <v>403</v>
      </c>
      <c r="F287" s="4">
        <v>46002.335163263888</v>
      </c>
      <c r="G287" s="4">
        <v>46002.664502719897</v>
      </c>
      <c r="H287">
        <v>7.9</v>
      </c>
      <c r="I287" t="s">
        <v>9</v>
      </c>
      <c r="J287" t="s">
        <v>323</v>
      </c>
    </row>
    <row r="288" spans="1:10">
      <c r="A288" t="s">
        <v>921</v>
      </c>
      <c r="B288" t="s">
        <v>922</v>
      </c>
      <c r="C288" t="s">
        <v>25</v>
      </c>
      <c r="D288" t="s">
        <v>399</v>
      </c>
      <c r="E288" t="s">
        <v>403</v>
      </c>
      <c r="F288" s="4">
        <v>46141.192872071762</v>
      </c>
      <c r="G288" s="4">
        <v>46141.364383078697</v>
      </c>
      <c r="H288">
        <v>4.0999999999999996</v>
      </c>
      <c r="I288" t="s">
        <v>9</v>
      </c>
      <c r="J288" t="s">
        <v>335</v>
      </c>
    </row>
    <row r="289" spans="1:10">
      <c r="A289" t="s">
        <v>923</v>
      </c>
      <c r="B289" t="s">
        <v>924</v>
      </c>
      <c r="C289" t="s">
        <v>180</v>
      </c>
      <c r="D289" t="s">
        <v>373</v>
      </c>
      <c r="E289" t="s">
        <v>366</v>
      </c>
      <c r="F289" s="4">
        <v>46107.176589120369</v>
      </c>
      <c r="G289" s="4">
        <v>46107.432813865737</v>
      </c>
      <c r="H289">
        <v>6.1</v>
      </c>
      <c r="I289" t="s">
        <v>9</v>
      </c>
      <c r="J289" t="s">
        <v>335</v>
      </c>
    </row>
    <row r="290" spans="1:10">
      <c r="A290" t="s">
        <v>925</v>
      </c>
      <c r="B290" t="s">
        <v>437</v>
      </c>
      <c r="C290" t="s">
        <v>225</v>
      </c>
      <c r="D290" t="s">
        <v>365</v>
      </c>
      <c r="E290" t="s">
        <v>393</v>
      </c>
      <c r="F290" s="4">
        <v>46079.417627326387</v>
      </c>
      <c r="G290" s="4">
        <v>46079.748886111112</v>
      </c>
      <c r="H290">
        <v>8</v>
      </c>
      <c r="I290" t="s">
        <v>12</v>
      </c>
      <c r="J290" t="s">
        <v>323</v>
      </c>
    </row>
    <row r="291" spans="1:10">
      <c r="A291" t="s">
        <v>926</v>
      </c>
      <c r="B291" t="s">
        <v>706</v>
      </c>
      <c r="C291" t="s">
        <v>147</v>
      </c>
      <c r="D291" t="s">
        <v>392</v>
      </c>
      <c r="E291" t="s">
        <v>374</v>
      </c>
      <c r="F291" s="4">
        <v>45986.469088495367</v>
      </c>
      <c r="G291" s="4">
        <v>45986.729393333328</v>
      </c>
      <c r="H291">
        <v>6.2</v>
      </c>
      <c r="I291" t="s">
        <v>9</v>
      </c>
      <c r="J291" t="s">
        <v>323</v>
      </c>
    </row>
    <row r="292" spans="1:10">
      <c r="A292" t="s">
        <v>927</v>
      </c>
      <c r="B292" t="s">
        <v>835</v>
      </c>
      <c r="C292" t="s">
        <v>190</v>
      </c>
      <c r="D292" t="s">
        <v>381</v>
      </c>
      <c r="E292" t="s">
        <v>366</v>
      </c>
      <c r="F292" s="4">
        <v>45855.667055925929</v>
      </c>
      <c r="G292" s="4">
        <v>45855.985234224543</v>
      </c>
      <c r="H292">
        <v>7.6</v>
      </c>
      <c r="I292" t="s">
        <v>9</v>
      </c>
      <c r="J292" t="s">
        <v>323</v>
      </c>
    </row>
    <row r="293" spans="1:10">
      <c r="A293" t="s">
        <v>928</v>
      </c>
      <c r="B293" t="s">
        <v>929</v>
      </c>
      <c r="C293" t="s">
        <v>227</v>
      </c>
      <c r="D293" t="s">
        <v>476</v>
      </c>
      <c r="E293" t="s">
        <v>456</v>
      </c>
      <c r="F293" s="4">
        <v>45893.11181652778</v>
      </c>
      <c r="G293" s="4">
        <v>45893.299694652778</v>
      </c>
      <c r="H293">
        <v>4.5</v>
      </c>
      <c r="I293" t="s">
        <v>9</v>
      </c>
      <c r="J293" t="s">
        <v>328</v>
      </c>
    </row>
    <row r="294" spans="1:10">
      <c r="A294" t="s">
        <v>930</v>
      </c>
      <c r="B294" t="s">
        <v>931</v>
      </c>
      <c r="C294" t="s">
        <v>351</v>
      </c>
      <c r="D294" t="s">
        <v>369</v>
      </c>
      <c r="E294" t="s">
        <v>400</v>
      </c>
      <c r="F294" s="4">
        <v>46045.715616388887</v>
      </c>
      <c r="G294" s="4">
        <v>46045.840450069452</v>
      </c>
      <c r="H294">
        <v>3</v>
      </c>
      <c r="I294" t="s">
        <v>9</v>
      </c>
      <c r="J294" t="s">
        <v>323</v>
      </c>
    </row>
    <row r="295" spans="1:10">
      <c r="A295" t="s">
        <v>932</v>
      </c>
      <c r="B295" t="s">
        <v>933</v>
      </c>
      <c r="C295" t="s">
        <v>101</v>
      </c>
      <c r="D295" t="s">
        <v>467</v>
      </c>
      <c r="E295" t="s">
        <v>403</v>
      </c>
      <c r="F295" s="4">
        <v>45899.978177233803</v>
      </c>
      <c r="G295" s="4">
        <v>45900.186722893523</v>
      </c>
      <c r="H295">
        <v>5</v>
      </c>
      <c r="I295" t="s">
        <v>9</v>
      </c>
      <c r="J295" t="s">
        <v>328</v>
      </c>
    </row>
    <row r="296" spans="1:10">
      <c r="A296" t="s">
        <v>934</v>
      </c>
      <c r="B296" t="s">
        <v>398</v>
      </c>
      <c r="C296" t="s">
        <v>112</v>
      </c>
      <c r="D296" t="s">
        <v>399</v>
      </c>
      <c r="E296" t="s">
        <v>400</v>
      </c>
      <c r="F296" s="4">
        <v>45988.886481516201</v>
      </c>
      <c r="G296" s="4">
        <v>45989.139492303242</v>
      </c>
      <c r="H296">
        <v>6.1</v>
      </c>
      <c r="I296" t="s">
        <v>9</v>
      </c>
      <c r="J296" t="s">
        <v>323</v>
      </c>
    </row>
    <row r="297" spans="1:10">
      <c r="A297" t="s">
        <v>935</v>
      </c>
      <c r="B297" t="s">
        <v>936</v>
      </c>
      <c r="C297" t="s">
        <v>202</v>
      </c>
      <c r="D297" t="s">
        <v>373</v>
      </c>
      <c r="E297" t="s">
        <v>366</v>
      </c>
      <c r="F297" s="4">
        <v>45916.112796145833</v>
      </c>
      <c r="G297" s="4">
        <v>45916.309223217591</v>
      </c>
      <c r="H297">
        <v>4.7</v>
      </c>
      <c r="I297" t="s">
        <v>9</v>
      </c>
      <c r="J297" t="s">
        <v>328</v>
      </c>
    </row>
    <row r="298" spans="1:10">
      <c r="A298" t="s">
        <v>937</v>
      </c>
      <c r="B298" t="s">
        <v>938</v>
      </c>
      <c r="C298" t="s">
        <v>133</v>
      </c>
      <c r="D298" t="s">
        <v>443</v>
      </c>
      <c r="E298" t="s">
        <v>456</v>
      </c>
      <c r="F298" s="4">
        <v>45953.467658819442</v>
      </c>
      <c r="G298" s="4">
        <v>45953.524645266203</v>
      </c>
      <c r="H298">
        <v>1.4</v>
      </c>
      <c r="I298" t="s">
        <v>12</v>
      </c>
      <c r="J298" t="s">
        <v>328</v>
      </c>
    </row>
    <row r="299" spans="1:10">
      <c r="A299" t="s">
        <v>939</v>
      </c>
      <c r="B299" t="s">
        <v>437</v>
      </c>
      <c r="C299" t="s">
        <v>225</v>
      </c>
      <c r="D299" t="s">
        <v>365</v>
      </c>
      <c r="E299" t="s">
        <v>393</v>
      </c>
      <c r="F299" s="4">
        <v>46079.512512789363</v>
      </c>
      <c r="G299" s="4">
        <v>46079.71840878472</v>
      </c>
      <c r="H299">
        <v>4.9000000000000004</v>
      </c>
      <c r="I299" t="s">
        <v>12</v>
      </c>
      <c r="J299" t="s">
        <v>323</v>
      </c>
    </row>
    <row r="300" spans="1:10">
      <c r="A300" t="s">
        <v>940</v>
      </c>
      <c r="B300" t="s">
        <v>941</v>
      </c>
      <c r="C300" t="s">
        <v>227</v>
      </c>
      <c r="D300" t="s">
        <v>399</v>
      </c>
      <c r="E300" t="s">
        <v>414</v>
      </c>
      <c r="F300" s="4">
        <v>46111.754525150463</v>
      </c>
      <c r="G300" s="4">
        <v>46111.815176446762</v>
      </c>
      <c r="H300">
        <v>1.5</v>
      </c>
      <c r="I300" t="s">
        <v>9</v>
      </c>
      <c r="J300" t="s">
        <v>323</v>
      </c>
    </row>
    <row r="301" spans="1:10">
      <c r="A301" t="s">
        <v>942</v>
      </c>
      <c r="B301" t="s">
        <v>943</v>
      </c>
      <c r="C301" t="s">
        <v>298</v>
      </c>
      <c r="D301" t="s">
        <v>377</v>
      </c>
      <c r="E301" t="s">
        <v>440</v>
      </c>
      <c r="F301" s="4">
        <v>45879.461536168979</v>
      </c>
      <c r="G301" s="4">
        <v>45879.48289402778</v>
      </c>
      <c r="H301">
        <v>0.5</v>
      </c>
      <c r="I301" t="s">
        <v>12</v>
      </c>
      <c r="J301" t="s">
        <v>323</v>
      </c>
    </row>
    <row r="302" spans="1:10">
      <c r="A302" t="s">
        <v>944</v>
      </c>
      <c r="B302" t="s">
        <v>945</v>
      </c>
      <c r="C302" t="s">
        <v>49</v>
      </c>
      <c r="D302" t="s">
        <v>369</v>
      </c>
      <c r="E302" t="s">
        <v>374</v>
      </c>
      <c r="F302" s="4">
        <v>46015.135742245373</v>
      </c>
      <c r="G302" s="4">
        <v>46015.277871053237</v>
      </c>
      <c r="H302">
        <v>3.4</v>
      </c>
      <c r="I302" t="s">
        <v>9</v>
      </c>
      <c r="J302" t="s">
        <v>328</v>
      </c>
    </row>
    <row r="303" spans="1:10">
      <c r="A303" t="s">
        <v>946</v>
      </c>
      <c r="B303" t="s">
        <v>947</v>
      </c>
      <c r="C303" t="s">
        <v>133</v>
      </c>
      <c r="D303" t="s">
        <v>381</v>
      </c>
      <c r="E303" t="s">
        <v>366</v>
      </c>
      <c r="F303" s="4">
        <v>45937.282952453701</v>
      </c>
      <c r="G303" s="4">
        <v>45937.595637407409</v>
      </c>
      <c r="H303">
        <v>7.5</v>
      </c>
      <c r="I303" t="s">
        <v>12</v>
      </c>
      <c r="J303" t="s">
        <v>328</v>
      </c>
    </row>
    <row r="304" spans="1:10">
      <c r="A304" t="s">
        <v>948</v>
      </c>
      <c r="B304" t="s">
        <v>949</v>
      </c>
      <c r="C304" t="s">
        <v>164</v>
      </c>
      <c r="D304" t="s">
        <v>467</v>
      </c>
      <c r="E304" t="s">
        <v>374</v>
      </c>
      <c r="F304" s="4">
        <v>45920.489088229173</v>
      </c>
      <c r="G304" s="4">
        <v>45920.579340798613</v>
      </c>
      <c r="H304">
        <v>2.2000000000000002</v>
      </c>
      <c r="I304" t="s">
        <v>9</v>
      </c>
      <c r="J304" t="s">
        <v>328</v>
      </c>
    </row>
    <row r="305" spans="1:10">
      <c r="A305" t="s">
        <v>950</v>
      </c>
      <c r="B305" t="s">
        <v>951</v>
      </c>
      <c r="C305" t="s">
        <v>155</v>
      </c>
      <c r="D305" t="s">
        <v>373</v>
      </c>
      <c r="E305" t="s">
        <v>400</v>
      </c>
      <c r="F305" s="4">
        <v>45863.499310497682</v>
      </c>
      <c r="G305" s="4">
        <v>45863.618870775463</v>
      </c>
      <c r="H305">
        <v>2.9</v>
      </c>
      <c r="I305" t="s">
        <v>9</v>
      </c>
      <c r="J305" t="s">
        <v>335</v>
      </c>
    </row>
    <row r="306" spans="1:10">
      <c r="A306" t="s">
        <v>952</v>
      </c>
      <c r="B306" t="s">
        <v>953</v>
      </c>
      <c r="C306" t="s">
        <v>73</v>
      </c>
      <c r="D306" t="s">
        <v>381</v>
      </c>
      <c r="E306" t="s">
        <v>400</v>
      </c>
      <c r="F306" s="4">
        <v>46048.672679224539</v>
      </c>
      <c r="G306" s="4">
        <v>46048.8497102662</v>
      </c>
      <c r="H306">
        <v>4.2</v>
      </c>
      <c r="I306" t="s">
        <v>9</v>
      </c>
      <c r="J306" t="s">
        <v>328</v>
      </c>
    </row>
    <row r="307" spans="1:10">
      <c r="A307" t="s">
        <v>954</v>
      </c>
      <c r="B307" t="s">
        <v>955</v>
      </c>
      <c r="C307" t="s">
        <v>29</v>
      </c>
      <c r="D307" t="s">
        <v>399</v>
      </c>
      <c r="E307" t="s">
        <v>366</v>
      </c>
      <c r="F307" s="4">
        <v>46113.533392824073</v>
      </c>
      <c r="G307" s="4">
        <v>46113.78768238426</v>
      </c>
      <c r="H307">
        <v>6.1</v>
      </c>
      <c r="I307" t="s">
        <v>9</v>
      </c>
      <c r="J307" t="s">
        <v>323</v>
      </c>
    </row>
    <row r="308" spans="1:10">
      <c r="A308" t="s">
        <v>956</v>
      </c>
      <c r="B308" t="s">
        <v>957</v>
      </c>
      <c r="C308" t="s">
        <v>53</v>
      </c>
      <c r="D308" t="s">
        <v>369</v>
      </c>
      <c r="E308" t="s">
        <v>370</v>
      </c>
      <c r="F308" s="4">
        <v>45959.384086064812</v>
      </c>
      <c r="G308" s="4">
        <v>45959.501447962961</v>
      </c>
      <c r="H308">
        <v>2.8</v>
      </c>
      <c r="I308" t="s">
        <v>9</v>
      </c>
      <c r="J308" t="s">
        <v>328</v>
      </c>
    </row>
    <row r="309" spans="1:10">
      <c r="A309" t="s">
        <v>958</v>
      </c>
      <c r="B309" t="s">
        <v>959</v>
      </c>
      <c r="C309" t="s">
        <v>56</v>
      </c>
      <c r="D309" t="s">
        <v>381</v>
      </c>
      <c r="E309" t="s">
        <v>366</v>
      </c>
      <c r="F309" s="4">
        <v>45856.695357627323</v>
      </c>
      <c r="G309" s="4">
        <v>45856.981087604167</v>
      </c>
      <c r="H309">
        <v>6.9</v>
      </c>
      <c r="I309" t="s">
        <v>9</v>
      </c>
      <c r="J309" t="s">
        <v>328</v>
      </c>
    </row>
    <row r="310" spans="1:10">
      <c r="A310" t="s">
        <v>960</v>
      </c>
      <c r="B310" t="s">
        <v>961</v>
      </c>
      <c r="C310" t="s">
        <v>53</v>
      </c>
      <c r="D310" t="s">
        <v>476</v>
      </c>
      <c r="E310" t="s">
        <v>403</v>
      </c>
      <c r="F310" s="4">
        <v>45934.656318761583</v>
      </c>
      <c r="G310" s="4">
        <v>45934.831847581023</v>
      </c>
      <c r="H310">
        <v>4.2</v>
      </c>
      <c r="I310" t="s">
        <v>9</v>
      </c>
      <c r="J310" t="s">
        <v>328</v>
      </c>
    </row>
    <row r="311" spans="1:10">
      <c r="A311" t="s">
        <v>962</v>
      </c>
      <c r="B311" t="s">
        <v>500</v>
      </c>
      <c r="C311" t="s">
        <v>66</v>
      </c>
      <c r="D311" t="s">
        <v>443</v>
      </c>
      <c r="E311" t="s">
        <v>370</v>
      </c>
      <c r="F311" s="4">
        <v>46114.336250706023</v>
      </c>
      <c r="G311" s="4">
        <v>46114.610274722218</v>
      </c>
      <c r="H311">
        <v>6.6</v>
      </c>
      <c r="I311" t="s">
        <v>12</v>
      </c>
      <c r="J311" t="s">
        <v>335</v>
      </c>
    </row>
    <row r="312" spans="1:10">
      <c r="A312" t="s">
        <v>963</v>
      </c>
      <c r="B312" t="s">
        <v>612</v>
      </c>
      <c r="C312" t="s">
        <v>247</v>
      </c>
      <c r="D312" t="s">
        <v>365</v>
      </c>
      <c r="E312" t="s">
        <v>414</v>
      </c>
      <c r="F312" s="4">
        <v>45914.422006631947</v>
      </c>
      <c r="G312" s="4">
        <v>45914.73485025463</v>
      </c>
      <c r="H312">
        <v>7.5</v>
      </c>
      <c r="I312" t="s">
        <v>9</v>
      </c>
      <c r="J312" t="s">
        <v>335</v>
      </c>
    </row>
    <row r="313" spans="1:10">
      <c r="A313" t="s">
        <v>964</v>
      </c>
      <c r="B313" t="s">
        <v>447</v>
      </c>
      <c r="C313" t="s">
        <v>127</v>
      </c>
      <c r="D313" t="s">
        <v>365</v>
      </c>
      <c r="E313" t="s">
        <v>374</v>
      </c>
      <c r="F313" s="4">
        <v>45962.463556967603</v>
      </c>
      <c r="G313" s="4">
        <v>45962.726902407398</v>
      </c>
      <c r="H313">
        <v>6.3</v>
      </c>
      <c r="I313" t="s">
        <v>9</v>
      </c>
      <c r="J313" t="s">
        <v>335</v>
      </c>
    </row>
    <row r="314" spans="1:10">
      <c r="A314" t="s">
        <v>965</v>
      </c>
      <c r="B314" t="s">
        <v>966</v>
      </c>
      <c r="C314" t="s">
        <v>91</v>
      </c>
      <c r="D314" t="s">
        <v>365</v>
      </c>
      <c r="E314" t="s">
        <v>400</v>
      </c>
      <c r="F314" s="4">
        <v>45856.328927083327</v>
      </c>
      <c r="G314" s="4">
        <v>45856.604451712963</v>
      </c>
      <c r="H314">
        <v>6.6</v>
      </c>
      <c r="I314" t="s">
        <v>9</v>
      </c>
      <c r="J314" t="s">
        <v>328</v>
      </c>
    </row>
    <row r="315" spans="1:10">
      <c r="A315" t="s">
        <v>967</v>
      </c>
      <c r="B315" t="s">
        <v>968</v>
      </c>
      <c r="C315" t="s">
        <v>29</v>
      </c>
      <c r="D315" t="s">
        <v>467</v>
      </c>
      <c r="E315" t="s">
        <v>440</v>
      </c>
      <c r="F315" s="4">
        <v>45918.432845416668</v>
      </c>
      <c r="G315" s="4">
        <v>45918.624910914346</v>
      </c>
      <c r="H315">
        <v>4.5999999999999996</v>
      </c>
      <c r="I315" t="s">
        <v>9</v>
      </c>
      <c r="J315" t="s">
        <v>323</v>
      </c>
    </row>
    <row r="316" spans="1:10">
      <c r="A316" t="s">
        <v>969</v>
      </c>
      <c r="B316" t="s">
        <v>523</v>
      </c>
      <c r="C316" t="s">
        <v>140</v>
      </c>
      <c r="D316" t="s">
        <v>476</v>
      </c>
      <c r="E316" t="s">
        <v>396</v>
      </c>
      <c r="F316" s="4">
        <v>45865.373926180553</v>
      </c>
      <c r="G316" s="4">
        <v>45865.503605497688</v>
      </c>
      <c r="H316">
        <v>3.1</v>
      </c>
      <c r="I316" t="s">
        <v>9</v>
      </c>
      <c r="J316" t="s">
        <v>328</v>
      </c>
    </row>
    <row r="317" spans="1:10">
      <c r="A317" t="s">
        <v>970</v>
      </c>
      <c r="B317" t="s">
        <v>659</v>
      </c>
      <c r="C317" t="s">
        <v>123</v>
      </c>
      <c r="D317" t="s">
        <v>392</v>
      </c>
      <c r="E317" t="s">
        <v>396</v>
      </c>
      <c r="F317" s="4">
        <v>46037.77780236111</v>
      </c>
      <c r="G317" s="4">
        <v>46037.88708565972</v>
      </c>
      <c r="H317">
        <v>2.6</v>
      </c>
      <c r="I317" t="s">
        <v>9</v>
      </c>
      <c r="J317" t="s">
        <v>335</v>
      </c>
    </row>
    <row r="318" spans="1:10">
      <c r="A318" t="s">
        <v>971</v>
      </c>
      <c r="B318" t="s">
        <v>972</v>
      </c>
      <c r="C318" t="s">
        <v>127</v>
      </c>
      <c r="D318" t="s">
        <v>377</v>
      </c>
      <c r="E318" t="s">
        <v>387</v>
      </c>
      <c r="F318" s="4">
        <v>45896.645142280089</v>
      </c>
      <c r="G318" s="4">
        <v>45896.837228750002</v>
      </c>
      <c r="H318">
        <v>4.5999999999999996</v>
      </c>
      <c r="I318" t="s">
        <v>12</v>
      </c>
      <c r="J318" t="s">
        <v>335</v>
      </c>
    </row>
    <row r="319" spans="1:10">
      <c r="A319" t="s">
        <v>973</v>
      </c>
      <c r="B319" t="s">
        <v>445</v>
      </c>
      <c r="C319" t="s">
        <v>295</v>
      </c>
      <c r="D319" t="s">
        <v>377</v>
      </c>
      <c r="E319" t="s">
        <v>403</v>
      </c>
      <c r="F319" s="4">
        <v>46017.306195034733</v>
      </c>
      <c r="G319" s="4">
        <v>46017.508398275473</v>
      </c>
      <c r="H319">
        <v>4.9000000000000004</v>
      </c>
      <c r="I319" t="s">
        <v>9</v>
      </c>
      <c r="J319" t="s">
        <v>328</v>
      </c>
    </row>
    <row r="320" spans="1:10">
      <c r="A320" t="s">
        <v>974</v>
      </c>
      <c r="B320" t="s">
        <v>975</v>
      </c>
      <c r="C320" t="s">
        <v>247</v>
      </c>
      <c r="D320" t="s">
        <v>392</v>
      </c>
      <c r="E320" t="s">
        <v>403</v>
      </c>
      <c r="F320" s="4">
        <v>46113.154711631942</v>
      </c>
      <c r="G320" s="4">
        <v>46113.226699479157</v>
      </c>
      <c r="H320">
        <v>1.7</v>
      </c>
      <c r="I320" t="s">
        <v>12</v>
      </c>
      <c r="J320" t="s">
        <v>328</v>
      </c>
    </row>
    <row r="321" spans="1:10">
      <c r="A321" t="s">
        <v>976</v>
      </c>
      <c r="B321" t="s">
        <v>977</v>
      </c>
      <c r="C321" t="s">
        <v>87</v>
      </c>
      <c r="D321" t="s">
        <v>392</v>
      </c>
      <c r="E321" t="s">
        <v>387</v>
      </c>
      <c r="F321" s="4">
        <v>45886.092923703713</v>
      </c>
      <c r="G321" s="4">
        <v>45886.159014189812</v>
      </c>
      <c r="H321">
        <v>1.6</v>
      </c>
      <c r="I321" t="s">
        <v>12</v>
      </c>
      <c r="J321" t="s">
        <v>328</v>
      </c>
    </row>
    <row r="322" spans="1:10">
      <c r="A322" t="s">
        <v>978</v>
      </c>
      <c r="B322" t="s">
        <v>979</v>
      </c>
      <c r="C322" t="s">
        <v>56</v>
      </c>
      <c r="D322" t="s">
        <v>417</v>
      </c>
      <c r="E322" t="s">
        <v>456</v>
      </c>
      <c r="F322" s="4">
        <v>46131.322942986109</v>
      </c>
      <c r="G322" s="4">
        <v>46131.346630231477</v>
      </c>
      <c r="H322">
        <v>0.6</v>
      </c>
      <c r="I322" t="s">
        <v>9</v>
      </c>
      <c r="J322" t="s">
        <v>328</v>
      </c>
    </row>
    <row r="323" spans="1:10">
      <c r="A323" t="s">
        <v>980</v>
      </c>
      <c r="B323" t="s">
        <v>933</v>
      </c>
      <c r="C323" t="s">
        <v>101</v>
      </c>
      <c r="D323" t="s">
        <v>467</v>
      </c>
      <c r="E323" t="s">
        <v>403</v>
      </c>
      <c r="F323" s="4">
        <v>45899.382994930558</v>
      </c>
      <c r="G323" s="4">
        <v>45899.649296782409</v>
      </c>
      <c r="H323">
        <v>6.4</v>
      </c>
      <c r="I323" t="s">
        <v>9</v>
      </c>
      <c r="J323" t="s">
        <v>328</v>
      </c>
    </row>
    <row r="324" spans="1:10">
      <c r="A324" t="s">
        <v>981</v>
      </c>
      <c r="B324" t="s">
        <v>500</v>
      </c>
      <c r="C324" t="s">
        <v>66</v>
      </c>
      <c r="D324" t="s">
        <v>443</v>
      </c>
      <c r="E324" t="s">
        <v>370</v>
      </c>
      <c r="F324" s="4">
        <v>46116.275449317131</v>
      </c>
      <c r="G324" s="4">
        <v>46116.429754849538</v>
      </c>
      <c r="H324">
        <v>3.7</v>
      </c>
      <c r="I324" t="s">
        <v>9</v>
      </c>
      <c r="J324" t="s">
        <v>335</v>
      </c>
    </row>
    <row r="325" spans="1:10">
      <c r="A325" t="s">
        <v>982</v>
      </c>
      <c r="B325" t="s">
        <v>983</v>
      </c>
      <c r="C325" t="s">
        <v>247</v>
      </c>
      <c r="D325" t="s">
        <v>373</v>
      </c>
      <c r="E325" t="s">
        <v>456</v>
      </c>
      <c r="F325" s="4">
        <v>46030.500170277781</v>
      </c>
      <c r="G325" s="4">
        <v>46030.825428229167</v>
      </c>
      <c r="H325">
        <v>7.8</v>
      </c>
      <c r="I325" t="s">
        <v>12</v>
      </c>
      <c r="J325" t="s">
        <v>323</v>
      </c>
    </row>
    <row r="326" spans="1:10">
      <c r="A326" t="s">
        <v>984</v>
      </c>
      <c r="B326" t="s">
        <v>447</v>
      </c>
      <c r="C326" t="s">
        <v>127</v>
      </c>
      <c r="D326" t="s">
        <v>365</v>
      </c>
      <c r="E326" t="s">
        <v>374</v>
      </c>
      <c r="F326" s="4">
        <v>45961.51337148148</v>
      </c>
      <c r="G326" s="4">
        <v>45961.695278310188</v>
      </c>
      <c r="H326">
        <v>4.4000000000000004</v>
      </c>
      <c r="I326" t="s">
        <v>9</v>
      </c>
      <c r="J326" t="s">
        <v>335</v>
      </c>
    </row>
    <row r="327" spans="1:10">
      <c r="A327" t="s">
        <v>985</v>
      </c>
      <c r="B327" t="s">
        <v>986</v>
      </c>
      <c r="C327" t="s">
        <v>192</v>
      </c>
      <c r="D327" t="s">
        <v>392</v>
      </c>
      <c r="E327" t="s">
        <v>414</v>
      </c>
      <c r="F327" s="4">
        <v>46118.632630138891</v>
      </c>
      <c r="G327" s="4">
        <v>46118.849392384262</v>
      </c>
      <c r="H327">
        <v>5.2</v>
      </c>
      <c r="I327" t="s">
        <v>9</v>
      </c>
      <c r="J327" t="s">
        <v>328</v>
      </c>
    </row>
    <row r="328" spans="1:10">
      <c r="A328" t="s">
        <v>987</v>
      </c>
      <c r="B328" t="s">
        <v>552</v>
      </c>
      <c r="C328" t="s">
        <v>7</v>
      </c>
      <c r="D328" t="s">
        <v>377</v>
      </c>
      <c r="E328" t="s">
        <v>400</v>
      </c>
      <c r="F328" s="4">
        <v>45947.258738634257</v>
      </c>
      <c r="G328" s="4">
        <v>45947.403523460649</v>
      </c>
      <c r="H328">
        <v>3.5</v>
      </c>
      <c r="I328" t="s">
        <v>9</v>
      </c>
      <c r="J328" t="s">
        <v>328</v>
      </c>
    </row>
    <row r="329" spans="1:10">
      <c r="A329" t="s">
        <v>988</v>
      </c>
      <c r="B329" t="s">
        <v>989</v>
      </c>
      <c r="C329" t="s">
        <v>53</v>
      </c>
      <c r="D329" t="s">
        <v>417</v>
      </c>
      <c r="E329" t="s">
        <v>400</v>
      </c>
      <c r="F329" s="4">
        <v>46139.350592581017</v>
      </c>
      <c r="G329" s="4">
        <v>46139.575424965267</v>
      </c>
      <c r="H329">
        <v>5.4</v>
      </c>
      <c r="I329" t="s">
        <v>9</v>
      </c>
      <c r="J329" t="s">
        <v>335</v>
      </c>
    </row>
    <row r="330" spans="1:10">
      <c r="A330" t="s">
        <v>990</v>
      </c>
      <c r="B330" t="s">
        <v>991</v>
      </c>
      <c r="C330" t="s">
        <v>183</v>
      </c>
      <c r="D330" t="s">
        <v>369</v>
      </c>
      <c r="E330" t="s">
        <v>403</v>
      </c>
      <c r="F330" s="4">
        <v>46049.966222916657</v>
      </c>
      <c r="G330" s="4">
        <v>46050.230097129628</v>
      </c>
      <c r="H330">
        <v>6.3</v>
      </c>
      <c r="I330" t="s">
        <v>9</v>
      </c>
      <c r="J330" t="s">
        <v>328</v>
      </c>
    </row>
    <row r="331" spans="1:10">
      <c r="A331" t="s">
        <v>992</v>
      </c>
      <c r="B331" t="s">
        <v>527</v>
      </c>
      <c r="C331" t="s">
        <v>105</v>
      </c>
      <c r="D331" t="s">
        <v>369</v>
      </c>
      <c r="E331" t="s">
        <v>393</v>
      </c>
      <c r="F331" s="4">
        <v>45992.349629733799</v>
      </c>
      <c r="G331" s="4">
        <v>45992.568067291657</v>
      </c>
      <c r="H331">
        <v>5.2</v>
      </c>
      <c r="I331" t="s">
        <v>9</v>
      </c>
      <c r="J331" t="s">
        <v>335</v>
      </c>
    </row>
    <row r="332" spans="1:10">
      <c r="A332" t="s">
        <v>993</v>
      </c>
      <c r="B332" t="s">
        <v>758</v>
      </c>
      <c r="C332" t="s">
        <v>215</v>
      </c>
      <c r="D332" t="s">
        <v>443</v>
      </c>
      <c r="E332" t="s">
        <v>403</v>
      </c>
      <c r="F332" s="4">
        <v>45872.046334016202</v>
      </c>
      <c r="G332" s="4">
        <v>45872.092991400466</v>
      </c>
      <c r="H332">
        <v>1.1000000000000001</v>
      </c>
      <c r="I332" t="s">
        <v>9</v>
      </c>
      <c r="J332" t="s">
        <v>328</v>
      </c>
    </row>
    <row r="333" spans="1:10">
      <c r="A333" t="s">
        <v>994</v>
      </c>
      <c r="B333" t="s">
        <v>995</v>
      </c>
      <c r="C333" t="s">
        <v>121</v>
      </c>
      <c r="D333" t="s">
        <v>377</v>
      </c>
      <c r="E333" t="s">
        <v>403</v>
      </c>
      <c r="F333" s="4">
        <v>46053.46424778935</v>
      </c>
      <c r="G333" s="4">
        <v>46053.55537332176</v>
      </c>
      <c r="H333">
        <v>2.2000000000000002</v>
      </c>
      <c r="I333" t="s">
        <v>9</v>
      </c>
      <c r="J333" t="s">
        <v>328</v>
      </c>
    </row>
    <row r="334" spans="1:10">
      <c r="A334" t="s">
        <v>996</v>
      </c>
      <c r="B334" t="s">
        <v>997</v>
      </c>
      <c r="C334" t="s">
        <v>91</v>
      </c>
      <c r="D334" t="s">
        <v>365</v>
      </c>
      <c r="E334" t="s">
        <v>414</v>
      </c>
      <c r="F334" s="4">
        <v>45922.762333240738</v>
      </c>
      <c r="G334" s="4">
        <v>45922.999955902778</v>
      </c>
      <c r="H334">
        <v>5.7</v>
      </c>
      <c r="I334" t="s">
        <v>12</v>
      </c>
      <c r="J334" t="s">
        <v>323</v>
      </c>
    </row>
    <row r="335" spans="1:10">
      <c r="A335" t="s">
        <v>998</v>
      </c>
      <c r="B335" t="s">
        <v>568</v>
      </c>
      <c r="C335" t="s">
        <v>162</v>
      </c>
      <c r="D335" t="s">
        <v>392</v>
      </c>
      <c r="E335" t="s">
        <v>440</v>
      </c>
      <c r="F335" s="4">
        <v>45995.004951249997</v>
      </c>
      <c r="G335" s="4">
        <v>45995.177094421299</v>
      </c>
      <c r="H335">
        <v>4.0999999999999996</v>
      </c>
      <c r="I335" t="s">
        <v>9</v>
      </c>
      <c r="J335" t="s">
        <v>328</v>
      </c>
    </row>
    <row r="336" spans="1:10">
      <c r="A336" t="s">
        <v>999</v>
      </c>
      <c r="B336" t="s">
        <v>986</v>
      </c>
      <c r="C336" t="s">
        <v>192</v>
      </c>
      <c r="D336" t="s">
        <v>392</v>
      </c>
      <c r="E336" t="s">
        <v>414</v>
      </c>
      <c r="F336" s="4">
        <v>46117.415783564807</v>
      </c>
      <c r="G336" s="4">
        <v>46117.475753275467</v>
      </c>
      <c r="H336">
        <v>1.4</v>
      </c>
      <c r="I336" t="s">
        <v>9</v>
      </c>
      <c r="J336" t="s">
        <v>328</v>
      </c>
    </row>
    <row r="337" spans="1:10">
      <c r="A337" t="s">
        <v>1000</v>
      </c>
      <c r="B337" t="s">
        <v>686</v>
      </c>
      <c r="C337" t="s">
        <v>97</v>
      </c>
      <c r="D337" t="s">
        <v>381</v>
      </c>
      <c r="E337" t="s">
        <v>403</v>
      </c>
      <c r="F337" s="4">
        <v>45965.538956828706</v>
      </c>
      <c r="G337" s="4">
        <v>45965.813811400461</v>
      </c>
      <c r="H337">
        <v>6.6</v>
      </c>
      <c r="I337" t="s">
        <v>12</v>
      </c>
      <c r="J337" t="s">
        <v>323</v>
      </c>
    </row>
    <row r="338" spans="1:10">
      <c r="A338" t="s">
        <v>1001</v>
      </c>
      <c r="B338" t="s">
        <v>480</v>
      </c>
      <c r="C338" t="s">
        <v>285</v>
      </c>
      <c r="D338" t="s">
        <v>476</v>
      </c>
      <c r="E338" t="s">
        <v>403</v>
      </c>
      <c r="F338" s="4">
        <v>45855.842771354168</v>
      </c>
      <c r="G338" s="4">
        <v>45856.10844048611</v>
      </c>
      <c r="H338">
        <v>6.4</v>
      </c>
      <c r="I338" t="s">
        <v>9</v>
      </c>
      <c r="J338" t="s">
        <v>328</v>
      </c>
    </row>
    <row r="339" spans="1:10">
      <c r="A339" t="s">
        <v>1002</v>
      </c>
      <c r="B339" t="s">
        <v>1003</v>
      </c>
      <c r="C339" t="s">
        <v>190</v>
      </c>
      <c r="D339" t="s">
        <v>392</v>
      </c>
      <c r="E339" t="s">
        <v>440</v>
      </c>
      <c r="F339" s="4">
        <v>46085.073325092591</v>
      </c>
      <c r="G339" s="4">
        <v>46085.27688391204</v>
      </c>
      <c r="H339">
        <v>4.9000000000000004</v>
      </c>
      <c r="I339" t="s">
        <v>9</v>
      </c>
      <c r="J339" t="s">
        <v>328</v>
      </c>
    </row>
    <row r="340" spans="1:10">
      <c r="A340" t="s">
        <v>1004</v>
      </c>
      <c r="B340" t="s">
        <v>575</v>
      </c>
      <c r="C340" t="s">
        <v>21</v>
      </c>
      <c r="D340" t="s">
        <v>399</v>
      </c>
      <c r="E340" t="s">
        <v>440</v>
      </c>
      <c r="F340" s="4">
        <v>46084.254966817127</v>
      </c>
      <c r="G340" s="4">
        <v>46084.51110895833</v>
      </c>
      <c r="H340">
        <v>6.1</v>
      </c>
      <c r="I340" t="s">
        <v>9</v>
      </c>
      <c r="J340" t="s">
        <v>335</v>
      </c>
    </row>
    <row r="341" spans="1:10">
      <c r="A341" t="s">
        <v>1005</v>
      </c>
      <c r="B341" t="s">
        <v>1006</v>
      </c>
      <c r="C341" t="s">
        <v>38</v>
      </c>
      <c r="D341" t="s">
        <v>476</v>
      </c>
      <c r="E341" t="s">
        <v>440</v>
      </c>
      <c r="F341" s="4">
        <v>45868.056824016203</v>
      </c>
      <c r="G341" s="4">
        <v>45868.264876909721</v>
      </c>
      <c r="H341">
        <v>5</v>
      </c>
      <c r="I341" t="s">
        <v>12</v>
      </c>
      <c r="J341" t="s">
        <v>323</v>
      </c>
    </row>
    <row r="342" spans="1:10">
      <c r="A342" t="s">
        <v>1007</v>
      </c>
      <c r="B342" t="s">
        <v>466</v>
      </c>
      <c r="C342" t="s">
        <v>142</v>
      </c>
      <c r="D342" t="s">
        <v>467</v>
      </c>
      <c r="E342" t="s">
        <v>440</v>
      </c>
      <c r="F342" s="4">
        <v>45947.158796805546</v>
      </c>
      <c r="G342" s="4">
        <v>45947.277847662037</v>
      </c>
      <c r="H342">
        <v>2.9</v>
      </c>
      <c r="I342" t="s">
        <v>12</v>
      </c>
      <c r="J342" t="s">
        <v>323</v>
      </c>
    </row>
    <row r="343" spans="1:10">
      <c r="A343" t="s">
        <v>1008</v>
      </c>
      <c r="B343" t="s">
        <v>1009</v>
      </c>
      <c r="C343" t="s">
        <v>212</v>
      </c>
      <c r="D343" t="s">
        <v>417</v>
      </c>
      <c r="E343" t="s">
        <v>396</v>
      </c>
      <c r="F343" s="4">
        <v>46024.866989027767</v>
      </c>
      <c r="G343" s="4">
        <v>46024.938200567129</v>
      </c>
      <c r="H343">
        <v>1.7</v>
      </c>
      <c r="I343" t="s">
        <v>9</v>
      </c>
      <c r="J343" t="s">
        <v>328</v>
      </c>
    </row>
    <row r="344" spans="1:10">
      <c r="A344" t="s">
        <v>1010</v>
      </c>
      <c r="B344" t="s">
        <v>957</v>
      </c>
      <c r="C344" t="s">
        <v>53</v>
      </c>
      <c r="D344" t="s">
        <v>369</v>
      </c>
      <c r="E344" t="s">
        <v>370</v>
      </c>
      <c r="F344" s="4">
        <v>45957.050586018522</v>
      </c>
      <c r="G344" s="4">
        <v>45957.110393460651</v>
      </c>
      <c r="H344">
        <v>1.4</v>
      </c>
      <c r="I344" t="s">
        <v>9</v>
      </c>
      <c r="J344" t="s">
        <v>328</v>
      </c>
    </row>
    <row r="345" spans="1:10">
      <c r="A345" t="s">
        <v>1011</v>
      </c>
      <c r="B345" t="s">
        <v>1012</v>
      </c>
      <c r="C345" t="s">
        <v>112</v>
      </c>
      <c r="D345" t="s">
        <v>373</v>
      </c>
      <c r="E345" t="s">
        <v>370</v>
      </c>
      <c r="F345" s="4">
        <v>46026.947990127323</v>
      </c>
      <c r="G345" s="4">
        <v>46027.274168171287</v>
      </c>
      <c r="H345">
        <v>7.8</v>
      </c>
      <c r="I345" t="s">
        <v>9</v>
      </c>
      <c r="J345" t="s">
        <v>328</v>
      </c>
    </row>
    <row r="346" spans="1:10">
      <c r="A346" t="s">
        <v>1013</v>
      </c>
      <c r="B346" t="s">
        <v>903</v>
      </c>
      <c r="C346" t="s">
        <v>127</v>
      </c>
      <c r="D346" t="s">
        <v>369</v>
      </c>
      <c r="E346" t="s">
        <v>456</v>
      </c>
      <c r="F346" s="4">
        <v>45916.451731562498</v>
      </c>
      <c r="G346" s="4">
        <v>45916.768256967589</v>
      </c>
      <c r="H346">
        <v>7.6</v>
      </c>
      <c r="I346" t="s">
        <v>9</v>
      </c>
      <c r="J346" t="s">
        <v>323</v>
      </c>
    </row>
    <row r="347" spans="1:10">
      <c r="A347" t="s">
        <v>1014</v>
      </c>
      <c r="B347" t="s">
        <v>1015</v>
      </c>
      <c r="C347" t="s">
        <v>89</v>
      </c>
      <c r="D347" t="s">
        <v>392</v>
      </c>
      <c r="E347" t="s">
        <v>387</v>
      </c>
      <c r="F347" s="4">
        <v>46101.433128993063</v>
      </c>
      <c r="G347" s="4">
        <v>46101.592999918983</v>
      </c>
      <c r="H347">
        <v>3.8</v>
      </c>
      <c r="I347" t="s">
        <v>9</v>
      </c>
      <c r="J347" t="s">
        <v>328</v>
      </c>
    </row>
    <row r="348" spans="1:10">
      <c r="A348" t="s">
        <v>1016</v>
      </c>
      <c r="B348" t="s">
        <v>677</v>
      </c>
      <c r="C348" t="s">
        <v>11</v>
      </c>
      <c r="D348" t="s">
        <v>417</v>
      </c>
      <c r="E348" t="s">
        <v>378</v>
      </c>
      <c r="F348" s="4">
        <v>45952.462020914347</v>
      </c>
      <c r="G348" s="4">
        <v>45952.790985347223</v>
      </c>
      <c r="H348">
        <v>7.9</v>
      </c>
      <c r="I348" t="s">
        <v>9</v>
      </c>
      <c r="J348" t="s">
        <v>328</v>
      </c>
    </row>
    <row r="349" spans="1:10">
      <c r="A349" t="s">
        <v>1017</v>
      </c>
      <c r="B349" t="s">
        <v>951</v>
      </c>
      <c r="C349" t="s">
        <v>155</v>
      </c>
      <c r="D349" t="s">
        <v>373</v>
      </c>
      <c r="E349" t="s">
        <v>400</v>
      </c>
      <c r="F349" s="4">
        <v>45862.513868831018</v>
      </c>
      <c r="G349" s="4">
        <v>45862.749680381938</v>
      </c>
      <c r="H349">
        <v>5.7</v>
      </c>
      <c r="I349" t="s">
        <v>9</v>
      </c>
      <c r="J349" t="s">
        <v>335</v>
      </c>
    </row>
    <row r="350" spans="1:10">
      <c r="A350" t="s">
        <v>1018</v>
      </c>
      <c r="B350" t="s">
        <v>742</v>
      </c>
      <c r="C350" t="s">
        <v>105</v>
      </c>
      <c r="D350" t="s">
        <v>476</v>
      </c>
      <c r="E350" t="s">
        <v>396</v>
      </c>
      <c r="F350" s="4">
        <v>45859.696713101846</v>
      </c>
      <c r="G350" s="4">
        <v>45859.776319456018</v>
      </c>
      <c r="H350">
        <v>1.9</v>
      </c>
      <c r="I350" t="s">
        <v>9</v>
      </c>
      <c r="J350" t="s">
        <v>335</v>
      </c>
    </row>
    <row r="351" spans="1:10">
      <c r="A351" t="s">
        <v>1019</v>
      </c>
      <c r="B351" t="s">
        <v>1020</v>
      </c>
      <c r="C351" t="s">
        <v>283</v>
      </c>
      <c r="D351" t="s">
        <v>384</v>
      </c>
      <c r="E351" t="s">
        <v>456</v>
      </c>
      <c r="F351" s="4">
        <v>45997.489740775462</v>
      </c>
      <c r="G351" s="4">
        <v>45997.698744236113</v>
      </c>
      <c r="H351">
        <v>5</v>
      </c>
      <c r="I351" t="s">
        <v>12</v>
      </c>
      <c r="J351" t="s">
        <v>323</v>
      </c>
    </row>
    <row r="352" spans="1:10">
      <c r="A352" t="s">
        <v>1021</v>
      </c>
      <c r="B352" t="s">
        <v>1022</v>
      </c>
      <c r="C352" t="s">
        <v>190</v>
      </c>
      <c r="D352" t="s">
        <v>476</v>
      </c>
      <c r="E352" t="s">
        <v>400</v>
      </c>
      <c r="F352" s="4">
        <v>46018.313636793981</v>
      </c>
      <c r="G352" s="4">
        <v>46018.562315254632</v>
      </c>
      <c r="H352">
        <v>6</v>
      </c>
      <c r="I352" t="s">
        <v>9</v>
      </c>
      <c r="J352" t="s">
        <v>323</v>
      </c>
    </row>
    <row r="353" spans="1:10">
      <c r="A353" t="s">
        <v>1023</v>
      </c>
      <c r="B353" t="s">
        <v>645</v>
      </c>
      <c r="C353" t="s">
        <v>226</v>
      </c>
      <c r="D353" t="s">
        <v>476</v>
      </c>
      <c r="E353" t="s">
        <v>456</v>
      </c>
      <c r="F353" s="4">
        <v>46081.990577719909</v>
      </c>
      <c r="G353" s="4">
        <v>46082.130718020831</v>
      </c>
      <c r="H353">
        <v>3.4</v>
      </c>
      <c r="I353" t="s">
        <v>9</v>
      </c>
      <c r="J353" t="s">
        <v>328</v>
      </c>
    </row>
    <row r="354" spans="1:10">
      <c r="A354" t="s">
        <v>1024</v>
      </c>
      <c r="B354" t="s">
        <v>1025</v>
      </c>
      <c r="C354" t="s">
        <v>194</v>
      </c>
      <c r="D354" t="s">
        <v>381</v>
      </c>
      <c r="E354" t="s">
        <v>370</v>
      </c>
      <c r="F354" s="4">
        <v>45990.229010671297</v>
      </c>
      <c r="G354" s="4">
        <v>45990.545075405091</v>
      </c>
      <c r="H354">
        <v>7.6</v>
      </c>
      <c r="I354" t="s">
        <v>9</v>
      </c>
      <c r="J354" t="s">
        <v>335</v>
      </c>
    </row>
    <row r="355" spans="1:10">
      <c r="A355" t="s">
        <v>1026</v>
      </c>
      <c r="B355" t="s">
        <v>718</v>
      </c>
      <c r="C355" t="s">
        <v>283</v>
      </c>
      <c r="D355" t="s">
        <v>369</v>
      </c>
      <c r="E355" t="s">
        <v>400</v>
      </c>
      <c r="F355" s="4">
        <v>46123.752986724539</v>
      </c>
      <c r="G355" s="4">
        <v>46123.795869456022</v>
      </c>
      <c r="H355">
        <v>1</v>
      </c>
      <c r="I355" t="s">
        <v>9</v>
      </c>
      <c r="J355" t="s">
        <v>323</v>
      </c>
    </row>
    <row r="356" spans="1:10">
      <c r="A356" t="s">
        <v>1027</v>
      </c>
      <c r="B356" t="s">
        <v>1028</v>
      </c>
      <c r="C356" t="s">
        <v>351</v>
      </c>
      <c r="D356" t="s">
        <v>369</v>
      </c>
      <c r="E356" t="s">
        <v>370</v>
      </c>
      <c r="F356" s="4">
        <v>45975.53657733796</v>
      </c>
      <c r="G356" s="4">
        <v>45975.617606747677</v>
      </c>
      <c r="H356">
        <v>1.9</v>
      </c>
      <c r="I356" t="s">
        <v>9</v>
      </c>
      <c r="J356" t="s">
        <v>335</v>
      </c>
    </row>
    <row r="357" spans="1:10">
      <c r="A357" t="s">
        <v>1029</v>
      </c>
      <c r="B357" t="s">
        <v>1030</v>
      </c>
      <c r="C357" t="s">
        <v>194</v>
      </c>
      <c r="D357" t="s">
        <v>476</v>
      </c>
      <c r="E357" t="s">
        <v>456</v>
      </c>
      <c r="F357" s="4">
        <v>46089.190449074071</v>
      </c>
      <c r="G357" s="4">
        <v>46089.371103483798</v>
      </c>
      <c r="H357">
        <v>4.3</v>
      </c>
      <c r="I357" t="s">
        <v>12</v>
      </c>
      <c r="J357" t="s">
        <v>335</v>
      </c>
    </row>
    <row r="358" spans="1:10">
      <c r="A358" t="s">
        <v>1031</v>
      </c>
      <c r="B358" t="s">
        <v>1032</v>
      </c>
      <c r="C358" t="s">
        <v>131</v>
      </c>
      <c r="D358" t="s">
        <v>365</v>
      </c>
      <c r="E358" t="s">
        <v>393</v>
      </c>
      <c r="F358" s="4">
        <v>45925.418248437498</v>
      </c>
      <c r="G358" s="4">
        <v>45925.685264293978</v>
      </c>
      <c r="H358">
        <v>6.4</v>
      </c>
      <c r="I358" t="s">
        <v>9</v>
      </c>
      <c r="J358" t="s">
        <v>328</v>
      </c>
    </row>
    <row r="359" spans="1:10">
      <c r="A359" t="s">
        <v>1033</v>
      </c>
      <c r="B359" t="s">
        <v>1034</v>
      </c>
      <c r="C359" t="s">
        <v>89</v>
      </c>
      <c r="D359" t="s">
        <v>476</v>
      </c>
      <c r="E359" t="s">
        <v>440</v>
      </c>
      <c r="F359" s="4">
        <v>46119.937420254631</v>
      </c>
      <c r="G359" s="4">
        <v>46120.042667731483</v>
      </c>
      <c r="H359">
        <v>2.5</v>
      </c>
      <c r="I359" t="s">
        <v>9</v>
      </c>
      <c r="J359" t="s">
        <v>328</v>
      </c>
    </row>
    <row r="360" spans="1:10">
      <c r="A360" t="s">
        <v>1035</v>
      </c>
      <c r="B360" t="s">
        <v>1036</v>
      </c>
      <c r="C360" t="s">
        <v>183</v>
      </c>
      <c r="D360" t="s">
        <v>392</v>
      </c>
      <c r="E360" t="s">
        <v>456</v>
      </c>
      <c r="F360" s="4">
        <v>45872.775425798609</v>
      </c>
      <c r="G360" s="4">
        <v>45872.899183344911</v>
      </c>
      <c r="H360">
        <v>3</v>
      </c>
      <c r="I360" t="s">
        <v>12</v>
      </c>
      <c r="J360" t="s">
        <v>328</v>
      </c>
    </row>
    <row r="361" spans="1:10">
      <c r="A361" t="s">
        <v>1037</v>
      </c>
      <c r="B361" t="s">
        <v>1038</v>
      </c>
      <c r="C361" t="s">
        <v>97</v>
      </c>
      <c r="D361" t="s">
        <v>392</v>
      </c>
      <c r="E361" t="s">
        <v>378</v>
      </c>
      <c r="F361" s="4">
        <v>45924.52254471065</v>
      </c>
      <c r="G361" s="4">
        <v>45924.589106053238</v>
      </c>
      <c r="H361">
        <v>1.6</v>
      </c>
      <c r="I361" t="s">
        <v>9</v>
      </c>
      <c r="J361" t="s">
        <v>328</v>
      </c>
    </row>
    <row r="362" spans="1:10">
      <c r="A362" t="s">
        <v>1039</v>
      </c>
      <c r="B362" t="s">
        <v>521</v>
      </c>
      <c r="C362" t="s">
        <v>49</v>
      </c>
      <c r="D362" t="s">
        <v>381</v>
      </c>
      <c r="E362" t="s">
        <v>440</v>
      </c>
      <c r="F362" s="4">
        <v>46107.471654745372</v>
      </c>
      <c r="G362" s="4">
        <v>46107.610349317132</v>
      </c>
      <c r="H362">
        <v>3.3</v>
      </c>
      <c r="I362" t="s">
        <v>9</v>
      </c>
      <c r="J362" t="s">
        <v>335</v>
      </c>
    </row>
    <row r="363" spans="1:10">
      <c r="A363" t="s">
        <v>1040</v>
      </c>
      <c r="B363" t="s">
        <v>897</v>
      </c>
      <c r="C363" t="s">
        <v>245</v>
      </c>
      <c r="D363" t="s">
        <v>443</v>
      </c>
      <c r="E363" t="s">
        <v>370</v>
      </c>
      <c r="F363" s="4">
        <v>45876.832234328707</v>
      </c>
      <c r="G363" s="4">
        <v>45877.097671921299</v>
      </c>
      <c r="H363">
        <v>6.4</v>
      </c>
      <c r="I363" t="s">
        <v>12</v>
      </c>
      <c r="J363" t="s">
        <v>335</v>
      </c>
    </row>
    <row r="364" spans="1:10">
      <c r="A364" t="s">
        <v>1041</v>
      </c>
      <c r="B364" t="s">
        <v>1042</v>
      </c>
      <c r="C364" t="s">
        <v>74</v>
      </c>
      <c r="D364" t="s">
        <v>392</v>
      </c>
      <c r="E364" t="s">
        <v>403</v>
      </c>
      <c r="F364" s="4">
        <v>46072.063500335651</v>
      </c>
      <c r="G364" s="4">
        <v>46072.18013040509</v>
      </c>
      <c r="H364">
        <v>2.8</v>
      </c>
      <c r="I364" t="s">
        <v>9</v>
      </c>
      <c r="J364" t="s">
        <v>323</v>
      </c>
    </row>
    <row r="365" spans="1:10">
      <c r="A365" t="s">
        <v>1043</v>
      </c>
      <c r="B365" t="s">
        <v>844</v>
      </c>
      <c r="C365" t="s">
        <v>16</v>
      </c>
      <c r="D365" t="s">
        <v>392</v>
      </c>
      <c r="E365" t="s">
        <v>400</v>
      </c>
      <c r="F365" s="4">
        <v>46073.109738206018</v>
      </c>
      <c r="G365" s="4">
        <v>46073.239602858797</v>
      </c>
      <c r="H365">
        <v>3.1</v>
      </c>
      <c r="I365" t="s">
        <v>9</v>
      </c>
      <c r="J365" t="s">
        <v>323</v>
      </c>
    </row>
    <row r="366" spans="1:10">
      <c r="A366" t="s">
        <v>1044</v>
      </c>
      <c r="B366" t="s">
        <v>475</v>
      </c>
      <c r="C366" t="s">
        <v>40</v>
      </c>
      <c r="D366" t="s">
        <v>476</v>
      </c>
      <c r="E366" t="s">
        <v>387</v>
      </c>
      <c r="F366" s="4">
        <v>45893.353027048608</v>
      </c>
      <c r="G366" s="4">
        <v>45893.563693796299</v>
      </c>
      <c r="H366">
        <v>5.0999999999999996</v>
      </c>
      <c r="I366" t="s">
        <v>9</v>
      </c>
      <c r="J366" t="s">
        <v>328</v>
      </c>
    </row>
    <row r="367" spans="1:10">
      <c r="A367" t="s">
        <v>1045</v>
      </c>
      <c r="B367" t="s">
        <v>754</v>
      </c>
      <c r="C367" t="s">
        <v>29</v>
      </c>
      <c r="D367" t="s">
        <v>417</v>
      </c>
      <c r="E367" t="s">
        <v>378</v>
      </c>
      <c r="F367" s="4">
        <v>46040.613890185188</v>
      </c>
      <c r="G367" s="4">
        <v>46040.869683807869</v>
      </c>
      <c r="H367">
        <v>6.1</v>
      </c>
      <c r="I367" t="s">
        <v>12</v>
      </c>
      <c r="J367" t="s">
        <v>323</v>
      </c>
    </row>
    <row r="368" spans="1:10">
      <c r="A368" t="s">
        <v>1046</v>
      </c>
      <c r="B368" t="s">
        <v>523</v>
      </c>
      <c r="C368" t="s">
        <v>140</v>
      </c>
      <c r="D368" t="s">
        <v>476</v>
      </c>
      <c r="E368" t="s">
        <v>396</v>
      </c>
      <c r="F368" s="4">
        <v>45866.983367581022</v>
      </c>
      <c r="G368" s="4">
        <v>45867.17035158565</v>
      </c>
      <c r="H368">
        <v>4.5</v>
      </c>
      <c r="I368" t="s">
        <v>9</v>
      </c>
      <c r="J368" t="s">
        <v>328</v>
      </c>
    </row>
    <row r="369" spans="1:10">
      <c r="A369" t="s">
        <v>1047</v>
      </c>
      <c r="B369" t="s">
        <v>1048</v>
      </c>
      <c r="C369" t="s">
        <v>171</v>
      </c>
      <c r="D369" t="s">
        <v>381</v>
      </c>
      <c r="E369" t="s">
        <v>374</v>
      </c>
      <c r="F369" s="4">
        <v>46115.857069398153</v>
      </c>
      <c r="G369" s="4">
        <v>46115.917769039363</v>
      </c>
      <c r="H369">
        <v>1.5</v>
      </c>
      <c r="I369" t="s">
        <v>12</v>
      </c>
      <c r="J369" t="s">
        <v>335</v>
      </c>
    </row>
    <row r="370" spans="1:10">
      <c r="A370" t="s">
        <v>1049</v>
      </c>
      <c r="B370" t="s">
        <v>1050</v>
      </c>
      <c r="C370" t="s">
        <v>159</v>
      </c>
      <c r="D370" t="s">
        <v>467</v>
      </c>
      <c r="E370" t="s">
        <v>440</v>
      </c>
      <c r="F370" s="4">
        <v>46010.349918877313</v>
      </c>
      <c r="G370" s="4">
        <v>46010.576240625</v>
      </c>
      <c r="H370">
        <v>5.4</v>
      </c>
      <c r="I370" t="s">
        <v>12</v>
      </c>
      <c r="J370" t="s">
        <v>335</v>
      </c>
    </row>
    <row r="371" spans="1:10">
      <c r="A371" t="s">
        <v>1051</v>
      </c>
      <c r="B371" t="s">
        <v>460</v>
      </c>
      <c r="C371" t="s">
        <v>87</v>
      </c>
      <c r="D371" t="s">
        <v>399</v>
      </c>
      <c r="E371" t="s">
        <v>440</v>
      </c>
      <c r="F371" s="4">
        <v>46026.799989861109</v>
      </c>
      <c r="G371" s="4">
        <v>46026.837343391213</v>
      </c>
      <c r="H371">
        <v>0.9</v>
      </c>
      <c r="I371" t="s">
        <v>9</v>
      </c>
      <c r="J371" t="s">
        <v>323</v>
      </c>
    </row>
    <row r="372" spans="1:10">
      <c r="A372" t="s">
        <v>1052</v>
      </c>
      <c r="B372" t="s">
        <v>1053</v>
      </c>
      <c r="C372" t="s">
        <v>123</v>
      </c>
      <c r="D372" t="s">
        <v>467</v>
      </c>
      <c r="E372" t="s">
        <v>396</v>
      </c>
      <c r="F372" s="4">
        <v>46015.357450983793</v>
      </c>
      <c r="G372" s="4">
        <v>46015.456131701387</v>
      </c>
      <c r="H372">
        <v>2.4</v>
      </c>
      <c r="I372" t="s">
        <v>9</v>
      </c>
      <c r="J372" t="s">
        <v>335</v>
      </c>
    </row>
    <row r="373" spans="1:10">
      <c r="A373" t="s">
        <v>1054</v>
      </c>
      <c r="B373" t="s">
        <v>729</v>
      </c>
      <c r="C373" t="s">
        <v>170</v>
      </c>
      <c r="D373" t="s">
        <v>381</v>
      </c>
      <c r="E373" t="s">
        <v>374</v>
      </c>
      <c r="F373" s="4">
        <v>45986.702646053243</v>
      </c>
      <c r="G373" s="4">
        <v>45987.031681354158</v>
      </c>
      <c r="H373">
        <v>7.9</v>
      </c>
      <c r="I373" t="s">
        <v>9</v>
      </c>
      <c r="J373" t="s">
        <v>335</v>
      </c>
    </row>
    <row r="374" spans="1:10">
      <c r="A374" t="s">
        <v>1055</v>
      </c>
      <c r="B374" t="s">
        <v>716</v>
      </c>
      <c r="C374" t="s">
        <v>67</v>
      </c>
      <c r="D374" t="s">
        <v>392</v>
      </c>
      <c r="E374" t="s">
        <v>440</v>
      </c>
      <c r="F374" s="4">
        <v>46081.743246423612</v>
      </c>
      <c r="G374" s="4">
        <v>46082.061772361107</v>
      </c>
      <c r="H374">
        <v>7.6</v>
      </c>
      <c r="I374" t="s">
        <v>9</v>
      </c>
      <c r="J374" t="s">
        <v>335</v>
      </c>
    </row>
    <row r="375" spans="1:10">
      <c r="A375" t="s">
        <v>1056</v>
      </c>
      <c r="B375" t="s">
        <v>1057</v>
      </c>
      <c r="C375" t="s">
        <v>116</v>
      </c>
      <c r="D375" t="s">
        <v>384</v>
      </c>
      <c r="E375" t="s">
        <v>378</v>
      </c>
      <c r="F375" s="4">
        <v>45912.06345134259</v>
      </c>
      <c r="G375" s="4">
        <v>45912.352385138889</v>
      </c>
      <c r="H375">
        <v>6.9</v>
      </c>
      <c r="I375" t="s">
        <v>9</v>
      </c>
      <c r="J375" t="s">
        <v>335</v>
      </c>
    </row>
    <row r="376" spans="1:10">
      <c r="A376" t="s">
        <v>1058</v>
      </c>
      <c r="B376" t="s">
        <v>529</v>
      </c>
      <c r="C376" t="s">
        <v>183</v>
      </c>
      <c r="D376" t="s">
        <v>392</v>
      </c>
      <c r="E376" t="s">
        <v>374</v>
      </c>
      <c r="F376" s="4">
        <v>46128.403460925932</v>
      </c>
      <c r="G376" s="4">
        <v>46128.688433518517</v>
      </c>
      <c r="H376">
        <v>6.8</v>
      </c>
      <c r="I376" t="s">
        <v>9</v>
      </c>
      <c r="J376" t="s">
        <v>335</v>
      </c>
    </row>
    <row r="377" spans="1:10">
      <c r="A377" t="s">
        <v>1059</v>
      </c>
      <c r="B377" t="s">
        <v>1060</v>
      </c>
      <c r="C377" t="s">
        <v>63</v>
      </c>
      <c r="D377" t="s">
        <v>417</v>
      </c>
      <c r="E377" t="s">
        <v>374</v>
      </c>
      <c r="F377" s="4">
        <v>45903.312117303241</v>
      </c>
      <c r="G377" s="4">
        <v>45903.628221562503</v>
      </c>
      <c r="H377">
        <v>7.6</v>
      </c>
      <c r="I377" t="s">
        <v>12</v>
      </c>
      <c r="J377" t="s">
        <v>335</v>
      </c>
    </row>
    <row r="378" spans="1:10">
      <c r="A378" t="s">
        <v>1061</v>
      </c>
      <c r="B378" t="s">
        <v>1062</v>
      </c>
      <c r="C378" t="s">
        <v>173</v>
      </c>
      <c r="D378" t="s">
        <v>417</v>
      </c>
      <c r="E378" t="s">
        <v>370</v>
      </c>
      <c r="F378" s="4">
        <v>45909.172421157411</v>
      </c>
      <c r="G378" s="4">
        <v>45909.282582893517</v>
      </c>
      <c r="H378">
        <v>2.6</v>
      </c>
      <c r="I378" t="s">
        <v>9</v>
      </c>
      <c r="J378" t="s">
        <v>335</v>
      </c>
    </row>
    <row r="379" spans="1:10">
      <c r="A379" t="s">
        <v>1063</v>
      </c>
      <c r="B379" t="s">
        <v>1064</v>
      </c>
      <c r="C379" t="s">
        <v>185</v>
      </c>
      <c r="D379" t="s">
        <v>381</v>
      </c>
      <c r="E379" t="s">
        <v>414</v>
      </c>
      <c r="F379" s="4">
        <v>46139.269733055553</v>
      </c>
      <c r="G379" s="4">
        <v>46139.423061273148</v>
      </c>
      <c r="H379">
        <v>3.7</v>
      </c>
      <c r="I379" t="s">
        <v>9</v>
      </c>
      <c r="J379" t="s">
        <v>335</v>
      </c>
    </row>
    <row r="380" spans="1:10">
      <c r="A380" t="s">
        <v>1065</v>
      </c>
      <c r="B380" t="s">
        <v>748</v>
      </c>
      <c r="C380" t="s">
        <v>87</v>
      </c>
      <c r="D380" t="s">
        <v>476</v>
      </c>
      <c r="E380" t="s">
        <v>403</v>
      </c>
      <c r="F380" s="4">
        <v>46012.33061798611</v>
      </c>
      <c r="G380" s="4">
        <v>46012.512392407407</v>
      </c>
      <c r="H380">
        <v>4.4000000000000004</v>
      </c>
      <c r="I380" t="s">
        <v>9</v>
      </c>
      <c r="J380" t="s">
        <v>323</v>
      </c>
    </row>
    <row r="381" spans="1:10">
      <c r="A381" t="s">
        <v>1066</v>
      </c>
      <c r="B381" t="s">
        <v>620</v>
      </c>
      <c r="C381" t="s">
        <v>80</v>
      </c>
      <c r="D381" t="s">
        <v>399</v>
      </c>
      <c r="E381" t="s">
        <v>440</v>
      </c>
      <c r="F381" s="4">
        <v>45890.809559907408</v>
      </c>
      <c r="G381" s="4">
        <v>45890.957103067129</v>
      </c>
      <c r="H381">
        <v>3.5</v>
      </c>
      <c r="I381" t="s">
        <v>9</v>
      </c>
      <c r="J381" t="s">
        <v>323</v>
      </c>
    </row>
    <row r="382" spans="1:10">
      <c r="A382" t="s">
        <v>1067</v>
      </c>
      <c r="B382" t="s">
        <v>511</v>
      </c>
      <c r="C382" t="s">
        <v>260</v>
      </c>
      <c r="D382" t="s">
        <v>369</v>
      </c>
      <c r="E382" t="s">
        <v>393</v>
      </c>
      <c r="F382" s="4">
        <v>45910.368403703702</v>
      </c>
      <c r="G382" s="4">
        <v>45910.608796944442</v>
      </c>
      <c r="H382">
        <v>5.8</v>
      </c>
      <c r="I382" t="s">
        <v>9</v>
      </c>
      <c r="J382" t="s">
        <v>335</v>
      </c>
    </row>
    <row r="383" spans="1:10">
      <c r="A383" t="s">
        <v>1068</v>
      </c>
      <c r="B383" t="s">
        <v>1069</v>
      </c>
      <c r="C383" t="s">
        <v>196</v>
      </c>
      <c r="D383" t="s">
        <v>399</v>
      </c>
      <c r="E383" t="s">
        <v>374</v>
      </c>
      <c r="F383" s="4">
        <v>45861.14480800926</v>
      </c>
      <c r="G383" s="4">
        <v>45861.372258252311</v>
      </c>
      <c r="H383">
        <v>5.5</v>
      </c>
      <c r="I383" t="s">
        <v>9</v>
      </c>
      <c r="J383" t="s">
        <v>328</v>
      </c>
    </row>
    <row r="384" spans="1:10">
      <c r="A384" t="s">
        <v>1070</v>
      </c>
      <c r="B384" t="s">
        <v>1071</v>
      </c>
      <c r="C384" t="s">
        <v>87</v>
      </c>
      <c r="D384" t="s">
        <v>443</v>
      </c>
      <c r="E384" t="s">
        <v>414</v>
      </c>
      <c r="F384" s="4">
        <v>45994.008446134263</v>
      </c>
      <c r="G384" s="4">
        <v>45994.042515717592</v>
      </c>
      <c r="H384">
        <v>0.8</v>
      </c>
      <c r="I384" t="s">
        <v>9</v>
      </c>
      <c r="J384" t="s">
        <v>328</v>
      </c>
    </row>
    <row r="385" spans="1:10">
      <c r="A385" t="s">
        <v>1072</v>
      </c>
      <c r="B385" t="s">
        <v>464</v>
      </c>
      <c r="C385" t="s">
        <v>286</v>
      </c>
      <c r="D385" t="s">
        <v>369</v>
      </c>
      <c r="E385" t="s">
        <v>393</v>
      </c>
      <c r="F385" s="4">
        <v>45940.678890636576</v>
      </c>
      <c r="G385" s="4">
        <v>45940.975327268519</v>
      </c>
      <c r="H385">
        <v>7.1</v>
      </c>
      <c r="I385" t="s">
        <v>9</v>
      </c>
      <c r="J385" t="s">
        <v>323</v>
      </c>
    </row>
    <row r="386" spans="1:10">
      <c r="A386" t="s">
        <v>1073</v>
      </c>
      <c r="B386" t="s">
        <v>684</v>
      </c>
      <c r="C386" t="s">
        <v>249</v>
      </c>
      <c r="D386" t="s">
        <v>377</v>
      </c>
      <c r="E386" t="s">
        <v>403</v>
      </c>
      <c r="F386" s="4">
        <v>45868.076145358798</v>
      </c>
      <c r="G386" s="4">
        <v>45868.211682106477</v>
      </c>
      <c r="H386">
        <v>3.3</v>
      </c>
      <c r="I386" t="s">
        <v>12</v>
      </c>
      <c r="J386" t="s">
        <v>328</v>
      </c>
    </row>
    <row r="387" spans="1:10">
      <c r="A387" t="s">
        <v>1074</v>
      </c>
      <c r="B387" t="s">
        <v>1075</v>
      </c>
      <c r="C387" t="s">
        <v>285</v>
      </c>
      <c r="D387" t="s">
        <v>399</v>
      </c>
      <c r="E387" t="s">
        <v>400</v>
      </c>
      <c r="F387" s="4">
        <v>46048.103571932872</v>
      </c>
      <c r="G387" s="4">
        <v>46048.256505983787</v>
      </c>
      <c r="H387">
        <v>3.7</v>
      </c>
      <c r="I387" t="s">
        <v>9</v>
      </c>
      <c r="J387" t="s">
        <v>323</v>
      </c>
    </row>
    <row r="388" spans="1:10">
      <c r="A388" t="s">
        <v>1076</v>
      </c>
      <c r="B388" t="s">
        <v>636</v>
      </c>
      <c r="C388" t="s">
        <v>247</v>
      </c>
      <c r="D388" t="s">
        <v>365</v>
      </c>
      <c r="E388" t="s">
        <v>374</v>
      </c>
      <c r="F388" s="4">
        <v>46105.417479641197</v>
      </c>
      <c r="G388" s="4">
        <v>46105.543925034719</v>
      </c>
      <c r="H388">
        <v>3</v>
      </c>
      <c r="I388" t="s">
        <v>9</v>
      </c>
      <c r="J388" t="s">
        <v>328</v>
      </c>
    </row>
    <row r="389" spans="1:10">
      <c r="A389" t="s">
        <v>1077</v>
      </c>
      <c r="B389" t="s">
        <v>1078</v>
      </c>
      <c r="C389" t="s">
        <v>61</v>
      </c>
      <c r="D389" t="s">
        <v>381</v>
      </c>
      <c r="E389" t="s">
        <v>400</v>
      </c>
      <c r="F389" s="4">
        <v>46072.688134340278</v>
      </c>
      <c r="G389" s="4">
        <v>46072.977032106479</v>
      </c>
      <c r="H389">
        <v>6.9</v>
      </c>
      <c r="I389" t="s">
        <v>9</v>
      </c>
      <c r="J389" t="s">
        <v>328</v>
      </c>
    </row>
    <row r="390" spans="1:10">
      <c r="A390" t="s">
        <v>1079</v>
      </c>
      <c r="B390" t="s">
        <v>977</v>
      </c>
      <c r="C390" t="s">
        <v>87</v>
      </c>
      <c r="D390" t="s">
        <v>392</v>
      </c>
      <c r="E390" t="s">
        <v>387</v>
      </c>
      <c r="F390" s="4">
        <v>45886.1000575</v>
      </c>
      <c r="G390" s="4">
        <v>45886.18747394676</v>
      </c>
      <c r="H390">
        <v>2.1</v>
      </c>
      <c r="I390" t="s">
        <v>9</v>
      </c>
      <c r="J390" t="s">
        <v>328</v>
      </c>
    </row>
    <row r="391" spans="1:10">
      <c r="A391" t="s">
        <v>1080</v>
      </c>
      <c r="B391" t="s">
        <v>1081</v>
      </c>
      <c r="C391" t="s">
        <v>211</v>
      </c>
      <c r="D391" t="s">
        <v>399</v>
      </c>
      <c r="E391" t="s">
        <v>370</v>
      </c>
      <c r="F391" s="4">
        <v>46133.172209386583</v>
      </c>
      <c r="G391" s="4">
        <v>46133.481497835652</v>
      </c>
      <c r="H391">
        <v>7.4</v>
      </c>
      <c r="I391" t="s">
        <v>9</v>
      </c>
      <c r="J391" t="s">
        <v>328</v>
      </c>
    </row>
    <row r="392" spans="1:10">
      <c r="A392" t="s">
        <v>1082</v>
      </c>
      <c r="B392" t="s">
        <v>1083</v>
      </c>
      <c r="C392" t="s">
        <v>34</v>
      </c>
      <c r="D392" t="s">
        <v>392</v>
      </c>
      <c r="E392" t="s">
        <v>374</v>
      </c>
      <c r="F392" s="4">
        <v>45994.290714594907</v>
      </c>
      <c r="G392" s="4">
        <v>45994.590741006941</v>
      </c>
      <c r="H392">
        <v>7.2</v>
      </c>
      <c r="I392" t="s">
        <v>9</v>
      </c>
      <c r="J392" t="s">
        <v>328</v>
      </c>
    </row>
    <row r="393" spans="1:10">
      <c r="A393" t="s">
        <v>1084</v>
      </c>
      <c r="B393" t="s">
        <v>559</v>
      </c>
      <c r="C393" t="s">
        <v>192</v>
      </c>
      <c r="D393" t="s">
        <v>384</v>
      </c>
      <c r="E393" t="s">
        <v>440</v>
      </c>
      <c r="F393" s="4">
        <v>46002.618058726854</v>
      </c>
      <c r="G393" s="4">
        <v>46002.656859780087</v>
      </c>
      <c r="H393">
        <v>0.9</v>
      </c>
      <c r="I393" t="s">
        <v>12</v>
      </c>
      <c r="J393" t="s">
        <v>335</v>
      </c>
    </row>
    <row r="394" spans="1:10">
      <c r="A394" t="s">
        <v>1085</v>
      </c>
      <c r="B394" t="s">
        <v>721</v>
      </c>
      <c r="C394" t="s">
        <v>273</v>
      </c>
      <c r="D394" t="s">
        <v>417</v>
      </c>
      <c r="E394" t="s">
        <v>393</v>
      </c>
      <c r="F394" s="4">
        <v>45947.496934594907</v>
      </c>
      <c r="G394" s="4">
        <v>45947.628359409733</v>
      </c>
      <c r="H394">
        <v>3.2</v>
      </c>
      <c r="I394" t="s">
        <v>12</v>
      </c>
      <c r="J394" t="s">
        <v>323</v>
      </c>
    </row>
    <row r="395" spans="1:10">
      <c r="A395" t="s">
        <v>1086</v>
      </c>
      <c r="B395" t="s">
        <v>877</v>
      </c>
      <c r="C395" t="s">
        <v>118</v>
      </c>
      <c r="D395" t="s">
        <v>392</v>
      </c>
      <c r="E395" t="s">
        <v>400</v>
      </c>
      <c r="F395" s="4">
        <v>46074.226163298612</v>
      </c>
      <c r="G395" s="4">
        <v>46074.249766539353</v>
      </c>
      <c r="H395">
        <v>0.6</v>
      </c>
      <c r="I395" t="s">
        <v>9</v>
      </c>
      <c r="J395" t="s">
        <v>328</v>
      </c>
    </row>
    <row r="396" spans="1:10">
      <c r="A396" t="s">
        <v>1087</v>
      </c>
      <c r="B396" t="s">
        <v>1088</v>
      </c>
      <c r="C396" t="s">
        <v>269</v>
      </c>
      <c r="D396" t="s">
        <v>369</v>
      </c>
      <c r="E396" t="s">
        <v>456</v>
      </c>
      <c r="F396" s="4">
        <v>46044.164193020843</v>
      </c>
      <c r="G396" s="4">
        <v>46044.345750914363</v>
      </c>
      <c r="H396">
        <v>4.4000000000000004</v>
      </c>
      <c r="I396" t="s">
        <v>12</v>
      </c>
      <c r="J396" t="s">
        <v>323</v>
      </c>
    </row>
    <row r="397" spans="1:10">
      <c r="A397" t="s">
        <v>1089</v>
      </c>
      <c r="B397" t="s">
        <v>959</v>
      </c>
      <c r="C397" t="s">
        <v>56</v>
      </c>
      <c r="D397" t="s">
        <v>381</v>
      </c>
      <c r="E397" t="s">
        <v>366</v>
      </c>
      <c r="F397" s="4">
        <v>45858.614327326388</v>
      </c>
      <c r="G397" s="4">
        <v>45858.637320185182</v>
      </c>
      <c r="H397">
        <v>0.6</v>
      </c>
      <c r="I397" t="s">
        <v>9</v>
      </c>
      <c r="J397" t="s">
        <v>328</v>
      </c>
    </row>
    <row r="398" spans="1:10">
      <c r="A398" t="s">
        <v>1090</v>
      </c>
      <c r="B398" t="s">
        <v>544</v>
      </c>
      <c r="C398" t="s">
        <v>63</v>
      </c>
      <c r="D398" t="s">
        <v>467</v>
      </c>
      <c r="E398" t="s">
        <v>370</v>
      </c>
      <c r="F398" s="4">
        <v>46044.478784108796</v>
      </c>
      <c r="G398" s="4">
        <v>46044.623167083337</v>
      </c>
      <c r="H398">
        <v>3.5</v>
      </c>
      <c r="I398" t="s">
        <v>9</v>
      </c>
      <c r="J398" t="s">
        <v>335</v>
      </c>
    </row>
    <row r="399" spans="1:10">
      <c r="A399" t="s">
        <v>1091</v>
      </c>
      <c r="B399" t="s">
        <v>562</v>
      </c>
      <c r="C399" t="s">
        <v>173</v>
      </c>
      <c r="D399" t="s">
        <v>373</v>
      </c>
      <c r="E399" t="s">
        <v>378</v>
      </c>
      <c r="F399" s="4">
        <v>45978.072026030102</v>
      </c>
      <c r="G399" s="4">
        <v>45978.260492928239</v>
      </c>
      <c r="H399">
        <v>4.5</v>
      </c>
      <c r="I399" t="s">
        <v>9</v>
      </c>
      <c r="J399" t="s">
        <v>335</v>
      </c>
    </row>
    <row r="400" spans="1:10">
      <c r="A400" t="s">
        <v>1092</v>
      </c>
      <c r="B400" t="s">
        <v>1093</v>
      </c>
      <c r="C400" t="s">
        <v>45</v>
      </c>
      <c r="D400" t="s">
        <v>381</v>
      </c>
      <c r="E400" t="s">
        <v>400</v>
      </c>
      <c r="F400" s="4">
        <v>45933.880095289351</v>
      </c>
      <c r="G400" s="4">
        <v>45934.038227592588</v>
      </c>
      <c r="H400">
        <v>3.8</v>
      </c>
      <c r="I400" t="s">
        <v>12</v>
      </c>
      <c r="J400" t="s">
        <v>328</v>
      </c>
    </row>
    <row r="401" spans="1:10">
      <c r="A401" t="s">
        <v>1094</v>
      </c>
      <c r="B401" t="s">
        <v>986</v>
      </c>
      <c r="C401" t="s">
        <v>192</v>
      </c>
      <c r="D401" t="s">
        <v>392</v>
      </c>
      <c r="E401" t="s">
        <v>414</v>
      </c>
      <c r="F401" s="4">
        <v>46116.885531018517</v>
      </c>
      <c r="G401" s="4">
        <v>46117.182481932869</v>
      </c>
      <c r="H401">
        <v>7.1</v>
      </c>
      <c r="I401" t="s">
        <v>9</v>
      </c>
      <c r="J401" t="s">
        <v>328</v>
      </c>
    </row>
    <row r="402" spans="1:10">
      <c r="A402" t="s">
        <v>1095</v>
      </c>
      <c r="B402" t="s">
        <v>708</v>
      </c>
      <c r="C402" t="s">
        <v>204</v>
      </c>
      <c r="D402" t="s">
        <v>392</v>
      </c>
      <c r="E402" t="s">
        <v>403</v>
      </c>
      <c r="F402" s="4">
        <v>46058.076605451388</v>
      </c>
      <c r="G402" s="4">
        <v>46058.110018877313</v>
      </c>
      <c r="H402">
        <v>0.8</v>
      </c>
      <c r="I402" t="s">
        <v>9</v>
      </c>
      <c r="J402" t="s">
        <v>335</v>
      </c>
    </row>
    <row r="403" spans="1:10">
      <c r="A403" t="s">
        <v>1096</v>
      </c>
      <c r="B403" t="s">
        <v>596</v>
      </c>
      <c r="C403" t="s">
        <v>110</v>
      </c>
      <c r="D403" t="s">
        <v>443</v>
      </c>
      <c r="E403" t="s">
        <v>403</v>
      </c>
      <c r="F403" s="4">
        <v>45862.746412754626</v>
      </c>
      <c r="G403" s="4">
        <v>45862.817343738418</v>
      </c>
      <c r="H403">
        <v>1.7</v>
      </c>
      <c r="I403" t="s">
        <v>12</v>
      </c>
      <c r="J403" t="s">
        <v>335</v>
      </c>
    </row>
    <row r="404" spans="1:10">
      <c r="A404" t="s">
        <v>1097</v>
      </c>
      <c r="B404" t="s">
        <v>1098</v>
      </c>
      <c r="C404" t="s">
        <v>162</v>
      </c>
      <c r="D404" t="s">
        <v>392</v>
      </c>
      <c r="E404" t="s">
        <v>414</v>
      </c>
      <c r="F404" s="4">
        <v>45995.995615590276</v>
      </c>
      <c r="G404" s="4">
        <v>45996.323614143519</v>
      </c>
      <c r="H404">
        <v>7.9</v>
      </c>
      <c r="I404" t="s">
        <v>12</v>
      </c>
      <c r="J404" t="s">
        <v>328</v>
      </c>
    </row>
    <row r="405" spans="1:10">
      <c r="A405" t="s">
        <v>1099</v>
      </c>
      <c r="B405" t="s">
        <v>494</v>
      </c>
      <c r="C405" t="s">
        <v>225</v>
      </c>
      <c r="D405" t="s">
        <v>392</v>
      </c>
      <c r="E405" t="s">
        <v>403</v>
      </c>
      <c r="F405" s="4">
        <v>45846.81790642361</v>
      </c>
      <c r="G405" s="4">
        <v>45847.088683530092</v>
      </c>
      <c r="H405">
        <v>6.5</v>
      </c>
      <c r="I405" t="s">
        <v>9</v>
      </c>
      <c r="J405" t="s">
        <v>328</v>
      </c>
    </row>
    <row r="406" spans="1:10">
      <c r="A406" t="s">
        <v>1100</v>
      </c>
      <c r="B406" t="s">
        <v>1101</v>
      </c>
      <c r="C406" t="s">
        <v>245</v>
      </c>
      <c r="D406" t="s">
        <v>467</v>
      </c>
      <c r="E406" t="s">
        <v>414</v>
      </c>
      <c r="F406" s="4">
        <v>45935.467713379629</v>
      </c>
      <c r="G406" s="4">
        <v>45935.732402175927</v>
      </c>
      <c r="H406">
        <v>6.4</v>
      </c>
      <c r="I406" t="s">
        <v>9</v>
      </c>
      <c r="J406" t="s">
        <v>335</v>
      </c>
    </row>
    <row r="407" spans="1:10">
      <c r="A407" t="s">
        <v>1102</v>
      </c>
      <c r="B407" t="s">
        <v>710</v>
      </c>
      <c r="C407" t="s">
        <v>61</v>
      </c>
      <c r="D407" t="s">
        <v>467</v>
      </c>
      <c r="E407" t="s">
        <v>393</v>
      </c>
      <c r="F407" s="4">
        <v>45874.68253208333</v>
      </c>
      <c r="G407" s="4">
        <v>45875.002639976847</v>
      </c>
      <c r="H407">
        <v>7.7</v>
      </c>
      <c r="I407" t="s">
        <v>9</v>
      </c>
      <c r="J407" t="s">
        <v>323</v>
      </c>
    </row>
    <row r="408" spans="1:10">
      <c r="A408" t="s">
        <v>1103</v>
      </c>
      <c r="B408" t="s">
        <v>1104</v>
      </c>
      <c r="C408" t="s">
        <v>196</v>
      </c>
      <c r="D408" t="s">
        <v>384</v>
      </c>
      <c r="E408" t="s">
        <v>370</v>
      </c>
      <c r="F408" s="4">
        <v>46105.331848344897</v>
      </c>
      <c r="G408" s="4">
        <v>46105.50893196759</v>
      </c>
      <c r="H408">
        <v>4.3</v>
      </c>
      <c r="I408" t="s">
        <v>9</v>
      </c>
      <c r="J408" t="s">
        <v>328</v>
      </c>
    </row>
    <row r="409" spans="1:10">
      <c r="A409" t="s">
        <v>1105</v>
      </c>
      <c r="B409" t="s">
        <v>1106</v>
      </c>
      <c r="C409" t="s">
        <v>199</v>
      </c>
      <c r="D409" t="s">
        <v>467</v>
      </c>
      <c r="E409" t="s">
        <v>456</v>
      </c>
      <c r="F409" s="4">
        <v>45876.44637273148</v>
      </c>
      <c r="G409" s="4">
        <v>45876.72652974537</v>
      </c>
      <c r="H409">
        <v>6.7</v>
      </c>
      <c r="I409" t="s">
        <v>9</v>
      </c>
      <c r="J409" t="s">
        <v>335</v>
      </c>
    </row>
    <row r="410" spans="1:10">
      <c r="A410" t="s">
        <v>1107</v>
      </c>
      <c r="B410" t="s">
        <v>1108</v>
      </c>
      <c r="C410" t="s">
        <v>43</v>
      </c>
      <c r="D410" t="s">
        <v>392</v>
      </c>
      <c r="E410" t="s">
        <v>393</v>
      </c>
      <c r="F410" s="4">
        <v>45963.600379525473</v>
      </c>
      <c r="G410" s="4">
        <v>45963.756940520827</v>
      </c>
      <c r="H410">
        <v>3.8</v>
      </c>
      <c r="I410" t="s">
        <v>9</v>
      </c>
      <c r="J410" t="s">
        <v>328</v>
      </c>
    </row>
    <row r="411" spans="1:10">
      <c r="A411" t="s">
        <v>1109</v>
      </c>
      <c r="B411" t="s">
        <v>1110</v>
      </c>
      <c r="C411" t="s">
        <v>69</v>
      </c>
      <c r="D411" t="s">
        <v>384</v>
      </c>
      <c r="E411" t="s">
        <v>396</v>
      </c>
      <c r="F411" s="4">
        <v>45870.464185219913</v>
      </c>
      <c r="G411" s="4">
        <v>45870.619066030093</v>
      </c>
      <c r="H411">
        <v>3.7</v>
      </c>
      <c r="I411" t="s">
        <v>9</v>
      </c>
      <c r="J411" t="s">
        <v>328</v>
      </c>
    </row>
    <row r="412" spans="1:10">
      <c r="A412" t="s">
        <v>1111</v>
      </c>
      <c r="B412" t="s">
        <v>1112</v>
      </c>
      <c r="C412" t="s">
        <v>34</v>
      </c>
      <c r="D412" t="s">
        <v>365</v>
      </c>
      <c r="E412" t="s">
        <v>393</v>
      </c>
      <c r="F412" s="4">
        <v>46115.672468831021</v>
      </c>
      <c r="G412" s="4">
        <v>46115.781158043981</v>
      </c>
      <c r="H412">
        <v>2.6</v>
      </c>
      <c r="I412" t="s">
        <v>12</v>
      </c>
      <c r="J412" t="s">
        <v>328</v>
      </c>
    </row>
    <row r="413" spans="1:10">
      <c r="A413" t="s">
        <v>1113</v>
      </c>
      <c r="B413" t="s">
        <v>1114</v>
      </c>
      <c r="C413" t="s">
        <v>110</v>
      </c>
      <c r="D413" t="s">
        <v>392</v>
      </c>
      <c r="E413" t="s">
        <v>400</v>
      </c>
      <c r="F413" s="4">
        <v>45916.513744652781</v>
      </c>
      <c r="G413" s="4">
        <v>45916.611876226852</v>
      </c>
      <c r="H413">
        <v>2.4</v>
      </c>
      <c r="I413" t="s">
        <v>9</v>
      </c>
      <c r="J413" t="s">
        <v>335</v>
      </c>
    </row>
    <row r="414" spans="1:10">
      <c r="A414" t="s">
        <v>1115</v>
      </c>
      <c r="B414" t="s">
        <v>1116</v>
      </c>
      <c r="C414" t="s">
        <v>215</v>
      </c>
      <c r="D414" t="s">
        <v>377</v>
      </c>
      <c r="E414" t="s">
        <v>378</v>
      </c>
      <c r="F414" s="4">
        <v>45919.681788182868</v>
      </c>
      <c r="G414" s="4">
        <v>45919.947220555558</v>
      </c>
      <c r="H414">
        <v>6.4</v>
      </c>
      <c r="I414" t="s">
        <v>12</v>
      </c>
      <c r="J414" t="s">
        <v>323</v>
      </c>
    </row>
    <row r="415" spans="1:10">
      <c r="A415" t="s">
        <v>1117</v>
      </c>
      <c r="B415" t="s">
        <v>716</v>
      </c>
      <c r="C415" t="s">
        <v>67</v>
      </c>
      <c r="D415" t="s">
        <v>392</v>
      </c>
      <c r="E415" t="s">
        <v>440</v>
      </c>
      <c r="F415" s="4">
        <v>46082.20669770833</v>
      </c>
      <c r="G415" s="4">
        <v>46082.286490104168</v>
      </c>
      <c r="H415">
        <v>1.9</v>
      </c>
      <c r="I415" t="s">
        <v>9</v>
      </c>
      <c r="J415" t="s">
        <v>335</v>
      </c>
    </row>
    <row r="416" spans="1:10">
      <c r="A416" t="s">
        <v>1118</v>
      </c>
      <c r="B416" t="s">
        <v>1119</v>
      </c>
      <c r="C416" t="s">
        <v>208</v>
      </c>
      <c r="D416" t="s">
        <v>381</v>
      </c>
      <c r="E416" t="s">
        <v>396</v>
      </c>
      <c r="F416" s="4">
        <v>45876.828212210647</v>
      </c>
      <c r="G416" s="4">
        <v>45876.92072811343</v>
      </c>
      <c r="H416">
        <v>2.2000000000000002</v>
      </c>
      <c r="I416" t="s">
        <v>12</v>
      </c>
      <c r="J416" t="s">
        <v>323</v>
      </c>
    </row>
    <row r="417" spans="1:10">
      <c r="A417" t="s">
        <v>1120</v>
      </c>
      <c r="B417" t="s">
        <v>846</v>
      </c>
      <c r="C417" t="s">
        <v>29</v>
      </c>
      <c r="D417" t="s">
        <v>399</v>
      </c>
      <c r="E417" t="s">
        <v>366</v>
      </c>
      <c r="F417" s="4">
        <v>45939.720379050923</v>
      </c>
      <c r="G417" s="4">
        <v>45939.801267812501</v>
      </c>
      <c r="H417">
        <v>1.9</v>
      </c>
      <c r="I417" t="s">
        <v>12</v>
      </c>
      <c r="J417" t="s">
        <v>328</v>
      </c>
    </row>
    <row r="418" spans="1:10">
      <c r="A418" t="s">
        <v>1121</v>
      </c>
      <c r="B418" t="s">
        <v>1122</v>
      </c>
      <c r="C418" t="s">
        <v>36</v>
      </c>
      <c r="D418" t="s">
        <v>392</v>
      </c>
      <c r="E418" t="s">
        <v>403</v>
      </c>
      <c r="F418" s="4">
        <v>45906.500879722233</v>
      </c>
      <c r="G418" s="4">
        <v>45906.550130381947</v>
      </c>
      <c r="H418">
        <v>1.2</v>
      </c>
      <c r="I418" t="s">
        <v>12</v>
      </c>
      <c r="J418" t="s">
        <v>335</v>
      </c>
    </row>
    <row r="419" spans="1:10">
      <c r="A419" t="s">
        <v>1123</v>
      </c>
      <c r="B419" t="s">
        <v>1124</v>
      </c>
      <c r="C419" t="s">
        <v>84</v>
      </c>
      <c r="D419" t="s">
        <v>373</v>
      </c>
      <c r="E419" t="s">
        <v>414</v>
      </c>
      <c r="F419" s="4">
        <v>45994.278010138893</v>
      </c>
      <c r="G419" s="4">
        <v>45994.517643113417</v>
      </c>
      <c r="H419">
        <v>5.8</v>
      </c>
      <c r="I419" t="s">
        <v>9</v>
      </c>
      <c r="J419" t="s">
        <v>335</v>
      </c>
    </row>
    <row r="420" spans="1:10">
      <c r="A420" t="s">
        <v>1125</v>
      </c>
      <c r="B420" t="s">
        <v>816</v>
      </c>
      <c r="C420" t="s">
        <v>159</v>
      </c>
      <c r="D420" t="s">
        <v>384</v>
      </c>
      <c r="E420" t="s">
        <v>396</v>
      </c>
      <c r="F420" s="4">
        <v>46110.154652256948</v>
      </c>
      <c r="G420" s="4">
        <v>46110.325234097218</v>
      </c>
      <c r="H420">
        <v>4.0999999999999996</v>
      </c>
      <c r="I420" t="s">
        <v>9</v>
      </c>
      <c r="J420" t="s">
        <v>335</v>
      </c>
    </row>
    <row r="421" spans="1:10">
      <c r="A421" t="s">
        <v>1126</v>
      </c>
      <c r="B421" t="s">
        <v>810</v>
      </c>
      <c r="C421" t="s">
        <v>151</v>
      </c>
      <c r="D421" t="s">
        <v>392</v>
      </c>
      <c r="E421" t="s">
        <v>374</v>
      </c>
      <c r="F421" s="4">
        <v>46027.923437488433</v>
      </c>
      <c r="G421" s="4">
        <v>46027.978662986112</v>
      </c>
      <c r="H421">
        <v>1.3</v>
      </c>
      <c r="I421" t="s">
        <v>9</v>
      </c>
      <c r="J421" t="s">
        <v>323</v>
      </c>
    </row>
    <row r="422" spans="1:10">
      <c r="A422" t="s">
        <v>1127</v>
      </c>
      <c r="B422" t="s">
        <v>473</v>
      </c>
      <c r="C422" t="s">
        <v>106</v>
      </c>
      <c r="D422" t="s">
        <v>392</v>
      </c>
      <c r="E422" t="s">
        <v>414</v>
      </c>
      <c r="F422" s="4">
        <v>45945.507421875001</v>
      </c>
      <c r="G422" s="4">
        <v>45945.605432916673</v>
      </c>
      <c r="H422">
        <v>2.4</v>
      </c>
      <c r="I422" t="s">
        <v>9</v>
      </c>
      <c r="J422" t="s">
        <v>335</v>
      </c>
    </row>
    <row r="423" spans="1:10">
      <c r="A423" t="s">
        <v>1128</v>
      </c>
      <c r="B423" t="s">
        <v>1129</v>
      </c>
      <c r="C423" t="s">
        <v>294</v>
      </c>
      <c r="D423" t="s">
        <v>417</v>
      </c>
      <c r="E423" t="s">
        <v>440</v>
      </c>
      <c r="F423" s="4">
        <v>46040.662140949084</v>
      </c>
      <c r="G423" s="4">
        <v>46040.699265115742</v>
      </c>
      <c r="H423">
        <v>0.9</v>
      </c>
      <c r="I423" t="s">
        <v>9</v>
      </c>
      <c r="J423" t="s">
        <v>328</v>
      </c>
    </row>
    <row r="424" spans="1:10">
      <c r="A424" t="s">
        <v>1130</v>
      </c>
      <c r="B424" t="s">
        <v>368</v>
      </c>
      <c r="C424" t="s">
        <v>43</v>
      </c>
      <c r="D424" t="s">
        <v>369</v>
      </c>
      <c r="E424" t="s">
        <v>370</v>
      </c>
      <c r="F424" s="4">
        <v>45905.592438298612</v>
      </c>
      <c r="G424" s="4">
        <v>45905.700821435188</v>
      </c>
      <c r="H424">
        <v>2.6</v>
      </c>
      <c r="I424" t="s">
        <v>9</v>
      </c>
      <c r="J424" t="s">
        <v>323</v>
      </c>
    </row>
    <row r="425" spans="1:10">
      <c r="A425" t="s">
        <v>1131</v>
      </c>
      <c r="B425" t="s">
        <v>1132</v>
      </c>
      <c r="C425" t="s">
        <v>151</v>
      </c>
      <c r="D425" t="s">
        <v>417</v>
      </c>
      <c r="E425" t="s">
        <v>387</v>
      </c>
      <c r="F425" s="4">
        <v>45960.041737835651</v>
      </c>
      <c r="G425" s="4">
        <v>45960.358923726853</v>
      </c>
      <c r="H425">
        <v>7.6</v>
      </c>
      <c r="I425" t="s">
        <v>9</v>
      </c>
      <c r="J425" t="s">
        <v>323</v>
      </c>
    </row>
    <row r="426" spans="1:10">
      <c r="A426" t="s">
        <v>1133</v>
      </c>
      <c r="B426" t="s">
        <v>975</v>
      </c>
      <c r="C426" t="s">
        <v>247</v>
      </c>
      <c r="D426" t="s">
        <v>392</v>
      </c>
      <c r="E426" t="s">
        <v>403</v>
      </c>
      <c r="F426" s="4">
        <v>46112.565063344897</v>
      </c>
      <c r="G426" s="4">
        <v>46112.794942777778</v>
      </c>
      <c r="H426">
        <v>5.5</v>
      </c>
      <c r="I426" t="s">
        <v>9</v>
      </c>
      <c r="J426" t="s">
        <v>328</v>
      </c>
    </row>
    <row r="427" spans="1:10">
      <c r="A427" t="s">
        <v>1134</v>
      </c>
      <c r="B427" t="s">
        <v>1135</v>
      </c>
      <c r="C427" t="s">
        <v>34</v>
      </c>
      <c r="D427" t="s">
        <v>399</v>
      </c>
      <c r="E427" t="s">
        <v>378</v>
      </c>
      <c r="F427" s="4">
        <v>46028.302761099527</v>
      </c>
      <c r="G427" s="4">
        <v>46028.555248217592</v>
      </c>
      <c r="H427">
        <v>6.1</v>
      </c>
      <c r="I427" t="s">
        <v>9</v>
      </c>
      <c r="J427" t="s">
        <v>323</v>
      </c>
    </row>
    <row r="428" spans="1:10">
      <c r="A428" t="s">
        <v>1136</v>
      </c>
      <c r="B428" t="s">
        <v>386</v>
      </c>
      <c r="C428" t="s">
        <v>87</v>
      </c>
      <c r="D428" t="s">
        <v>377</v>
      </c>
      <c r="E428" t="s">
        <v>387</v>
      </c>
      <c r="F428" s="4">
        <v>45908.410298831019</v>
      </c>
      <c r="G428" s="4">
        <v>45908.547254756937</v>
      </c>
      <c r="H428">
        <v>3.3</v>
      </c>
      <c r="I428" t="s">
        <v>9</v>
      </c>
      <c r="J428" t="s">
        <v>328</v>
      </c>
    </row>
    <row r="429" spans="1:10">
      <c r="A429" t="s">
        <v>1137</v>
      </c>
      <c r="B429" t="s">
        <v>612</v>
      </c>
      <c r="C429" t="s">
        <v>247</v>
      </c>
      <c r="D429" t="s">
        <v>365</v>
      </c>
      <c r="E429" t="s">
        <v>414</v>
      </c>
      <c r="F429" s="4">
        <v>45913.642866643517</v>
      </c>
      <c r="G429" s="4">
        <v>45913.690959722233</v>
      </c>
      <c r="H429">
        <v>1.2</v>
      </c>
      <c r="I429" t="s">
        <v>12</v>
      </c>
      <c r="J429" t="s">
        <v>335</v>
      </c>
    </row>
    <row r="430" spans="1:10">
      <c r="A430" t="s">
        <v>1138</v>
      </c>
      <c r="B430" t="s">
        <v>1119</v>
      </c>
      <c r="C430" t="s">
        <v>208</v>
      </c>
      <c r="D430" t="s">
        <v>381</v>
      </c>
      <c r="E430" t="s">
        <v>396</v>
      </c>
      <c r="F430" s="4">
        <v>45876.948034398149</v>
      </c>
      <c r="G430" s="4">
        <v>45877.00647847222</v>
      </c>
      <c r="H430">
        <v>1.4</v>
      </c>
      <c r="I430" t="s">
        <v>9</v>
      </c>
      <c r="J430" t="s">
        <v>323</v>
      </c>
    </row>
    <row r="431" spans="1:10">
      <c r="A431" t="s">
        <v>1139</v>
      </c>
      <c r="B431" t="s">
        <v>875</v>
      </c>
      <c r="C431" t="s">
        <v>196</v>
      </c>
      <c r="D431" t="s">
        <v>365</v>
      </c>
      <c r="E431" t="s">
        <v>440</v>
      </c>
      <c r="F431" s="4">
        <v>46055.779944560178</v>
      </c>
      <c r="G431" s="4">
        <v>46055.861067743062</v>
      </c>
      <c r="H431">
        <v>1.9</v>
      </c>
      <c r="I431" t="s">
        <v>9</v>
      </c>
      <c r="J431" t="s">
        <v>335</v>
      </c>
    </row>
    <row r="432" spans="1:10">
      <c r="A432" t="s">
        <v>1140</v>
      </c>
      <c r="B432" t="s">
        <v>1141</v>
      </c>
      <c r="C432" t="s">
        <v>67</v>
      </c>
      <c r="D432" t="s">
        <v>417</v>
      </c>
      <c r="E432" t="s">
        <v>378</v>
      </c>
      <c r="F432" s="4">
        <v>46074.871820451393</v>
      </c>
      <c r="G432" s="4">
        <v>46075.063459733799</v>
      </c>
      <c r="H432">
        <v>4.5999999999999996</v>
      </c>
      <c r="I432" t="s">
        <v>9</v>
      </c>
      <c r="J432" t="s">
        <v>323</v>
      </c>
    </row>
    <row r="433" spans="1:10">
      <c r="A433" t="s">
        <v>1142</v>
      </c>
      <c r="B433" t="s">
        <v>638</v>
      </c>
      <c r="C433" t="s">
        <v>159</v>
      </c>
      <c r="D433" t="s">
        <v>373</v>
      </c>
      <c r="E433" t="s">
        <v>440</v>
      </c>
      <c r="F433" s="4">
        <v>46042.738065787038</v>
      </c>
      <c r="G433" s="4">
        <v>46042.822023842593</v>
      </c>
      <c r="H433">
        <v>2</v>
      </c>
      <c r="I433" t="s">
        <v>9</v>
      </c>
      <c r="J433" t="s">
        <v>323</v>
      </c>
    </row>
    <row r="434" spans="1:10">
      <c r="A434" t="s">
        <v>1143</v>
      </c>
      <c r="B434" t="s">
        <v>1144</v>
      </c>
      <c r="C434" t="s">
        <v>103</v>
      </c>
      <c r="D434" t="s">
        <v>443</v>
      </c>
      <c r="E434" t="s">
        <v>396</v>
      </c>
      <c r="F434" s="4">
        <v>46004.183684629628</v>
      </c>
      <c r="G434" s="4">
        <v>46004.335209386583</v>
      </c>
      <c r="H434">
        <v>3.6</v>
      </c>
      <c r="I434" t="s">
        <v>9</v>
      </c>
      <c r="J434" t="s">
        <v>323</v>
      </c>
    </row>
    <row r="435" spans="1:10">
      <c r="A435" t="s">
        <v>1145</v>
      </c>
      <c r="B435" t="s">
        <v>1146</v>
      </c>
      <c r="C435" t="s">
        <v>235</v>
      </c>
      <c r="D435" t="s">
        <v>467</v>
      </c>
      <c r="E435" t="s">
        <v>400</v>
      </c>
      <c r="F435" s="4">
        <v>45886.941510370372</v>
      </c>
      <c r="G435" s="4">
        <v>45887.242004027779</v>
      </c>
      <c r="H435">
        <v>7.2</v>
      </c>
      <c r="I435" t="s">
        <v>9</v>
      </c>
      <c r="J435" t="s">
        <v>328</v>
      </c>
    </row>
    <row r="436" spans="1:10">
      <c r="A436" t="s">
        <v>1147</v>
      </c>
      <c r="B436" t="s">
        <v>1006</v>
      </c>
      <c r="C436" t="s">
        <v>38</v>
      </c>
      <c r="D436" t="s">
        <v>476</v>
      </c>
      <c r="E436" t="s">
        <v>440</v>
      </c>
      <c r="F436" s="4">
        <v>45869.970517222217</v>
      </c>
      <c r="G436" s="4">
        <v>45870.012509456021</v>
      </c>
      <c r="H436">
        <v>1</v>
      </c>
      <c r="I436" t="s">
        <v>9</v>
      </c>
      <c r="J436" t="s">
        <v>323</v>
      </c>
    </row>
    <row r="437" spans="1:10">
      <c r="A437" t="s">
        <v>1148</v>
      </c>
      <c r="B437" t="s">
        <v>800</v>
      </c>
      <c r="C437" t="s">
        <v>185</v>
      </c>
      <c r="D437" t="s">
        <v>417</v>
      </c>
      <c r="E437" t="s">
        <v>378</v>
      </c>
      <c r="F437" s="4">
        <v>45862.547085833343</v>
      </c>
      <c r="G437" s="4">
        <v>45862.620086400457</v>
      </c>
      <c r="H437">
        <v>1.8</v>
      </c>
      <c r="I437" t="s">
        <v>9</v>
      </c>
      <c r="J437" t="s">
        <v>335</v>
      </c>
    </row>
    <row r="438" spans="1:10">
      <c r="A438" t="s">
        <v>1149</v>
      </c>
      <c r="B438" t="s">
        <v>364</v>
      </c>
      <c r="C438" t="s">
        <v>61</v>
      </c>
      <c r="D438" t="s">
        <v>365</v>
      </c>
      <c r="E438" t="s">
        <v>366</v>
      </c>
      <c r="F438" s="4">
        <v>46126.682874131948</v>
      </c>
      <c r="G438" s="4">
        <v>46127.00239587963</v>
      </c>
      <c r="H438">
        <v>7.7</v>
      </c>
      <c r="I438" t="s">
        <v>12</v>
      </c>
      <c r="J438" t="s">
        <v>335</v>
      </c>
    </row>
    <row r="439" spans="1:10">
      <c r="A439" t="s">
        <v>1150</v>
      </c>
      <c r="B439" t="s">
        <v>1151</v>
      </c>
      <c r="C439" t="s">
        <v>53</v>
      </c>
      <c r="D439" t="s">
        <v>365</v>
      </c>
      <c r="E439" t="s">
        <v>400</v>
      </c>
      <c r="F439" s="4">
        <v>46036.663525752323</v>
      </c>
      <c r="G439" s="4">
        <v>46036.808575902767</v>
      </c>
      <c r="H439">
        <v>3.5</v>
      </c>
      <c r="I439" t="s">
        <v>9</v>
      </c>
      <c r="J439" t="s">
        <v>328</v>
      </c>
    </row>
    <row r="440" spans="1:10">
      <c r="A440" t="s">
        <v>1152</v>
      </c>
      <c r="B440" t="s">
        <v>1050</v>
      </c>
      <c r="C440" t="s">
        <v>159</v>
      </c>
      <c r="D440" t="s">
        <v>467</v>
      </c>
      <c r="E440" t="s">
        <v>440</v>
      </c>
      <c r="F440" s="4">
        <v>46011.382105590281</v>
      </c>
      <c r="G440" s="4">
        <v>46011.454663368058</v>
      </c>
      <c r="H440">
        <v>1.7</v>
      </c>
      <c r="I440" t="s">
        <v>9</v>
      </c>
      <c r="J440" t="s">
        <v>335</v>
      </c>
    </row>
    <row r="441" spans="1:10">
      <c r="A441" t="s">
        <v>1153</v>
      </c>
      <c r="B441" t="s">
        <v>1154</v>
      </c>
      <c r="C441" t="s">
        <v>168</v>
      </c>
      <c r="D441" t="s">
        <v>443</v>
      </c>
      <c r="E441" t="s">
        <v>440</v>
      </c>
      <c r="F441" s="4">
        <v>46129.252599872692</v>
      </c>
      <c r="G441" s="4">
        <v>46129.395385358803</v>
      </c>
      <c r="H441">
        <v>3.4</v>
      </c>
      <c r="I441" t="s">
        <v>9</v>
      </c>
      <c r="J441" t="s">
        <v>323</v>
      </c>
    </row>
    <row r="442" spans="1:10">
      <c r="A442" t="s">
        <v>1155</v>
      </c>
      <c r="B442" t="s">
        <v>1156</v>
      </c>
      <c r="C442" t="s">
        <v>235</v>
      </c>
      <c r="D442" t="s">
        <v>476</v>
      </c>
      <c r="E442" t="s">
        <v>456</v>
      </c>
      <c r="F442" s="4">
        <v>46044.541965289347</v>
      </c>
      <c r="G442" s="4">
        <v>46044.61279958333</v>
      </c>
      <c r="H442">
        <v>1.7</v>
      </c>
      <c r="I442" t="s">
        <v>12</v>
      </c>
      <c r="J442" t="s">
        <v>323</v>
      </c>
    </row>
    <row r="443" spans="1:10">
      <c r="A443" t="s">
        <v>1157</v>
      </c>
      <c r="B443" t="s">
        <v>492</v>
      </c>
      <c r="C443" t="s">
        <v>185</v>
      </c>
      <c r="D443" t="s">
        <v>369</v>
      </c>
      <c r="E443" t="s">
        <v>440</v>
      </c>
      <c r="F443" s="4">
        <v>46124.553575115737</v>
      </c>
      <c r="G443" s="4">
        <v>46124.821485601853</v>
      </c>
      <c r="H443">
        <v>6.4</v>
      </c>
      <c r="I443" t="s">
        <v>9</v>
      </c>
      <c r="J443" t="s">
        <v>335</v>
      </c>
    </row>
    <row r="444" spans="1:10">
      <c r="A444" t="s">
        <v>1158</v>
      </c>
      <c r="B444" t="s">
        <v>1159</v>
      </c>
      <c r="C444" t="s">
        <v>186</v>
      </c>
      <c r="D444" t="s">
        <v>443</v>
      </c>
      <c r="E444" t="s">
        <v>456</v>
      </c>
      <c r="F444" s="4">
        <v>45891.087854039353</v>
      </c>
      <c r="G444" s="4">
        <v>45891.375085833337</v>
      </c>
      <c r="H444">
        <v>6.9</v>
      </c>
      <c r="I444" t="s">
        <v>9</v>
      </c>
      <c r="J444" t="s">
        <v>328</v>
      </c>
    </row>
    <row r="445" spans="1:10">
      <c r="A445" t="s">
        <v>1160</v>
      </c>
      <c r="B445" t="s">
        <v>1161</v>
      </c>
      <c r="C445" t="s">
        <v>89</v>
      </c>
      <c r="D445" t="s">
        <v>399</v>
      </c>
      <c r="E445" t="s">
        <v>387</v>
      </c>
      <c r="F445" s="4">
        <v>45939.885999942133</v>
      </c>
      <c r="G445" s="4">
        <v>45939.960304872693</v>
      </c>
      <c r="H445">
        <v>1.8</v>
      </c>
      <c r="I445" t="s">
        <v>12</v>
      </c>
      <c r="J445" t="s">
        <v>328</v>
      </c>
    </row>
    <row r="446" spans="1:10">
      <c r="A446" t="s">
        <v>1162</v>
      </c>
      <c r="B446" t="s">
        <v>1163</v>
      </c>
      <c r="C446" t="s">
        <v>108</v>
      </c>
      <c r="D446" t="s">
        <v>443</v>
      </c>
      <c r="E446" t="s">
        <v>396</v>
      </c>
      <c r="F446" s="4">
        <v>45854.958759374997</v>
      </c>
      <c r="G446" s="4">
        <v>45855.1794725</v>
      </c>
      <c r="H446">
        <v>5.3</v>
      </c>
      <c r="I446" t="s">
        <v>9</v>
      </c>
      <c r="J446" t="s">
        <v>328</v>
      </c>
    </row>
    <row r="447" spans="1:10">
      <c r="A447" t="s">
        <v>1164</v>
      </c>
      <c r="B447" t="s">
        <v>513</v>
      </c>
      <c r="C447" t="s">
        <v>18</v>
      </c>
      <c r="D447" t="s">
        <v>377</v>
      </c>
      <c r="E447" t="s">
        <v>374</v>
      </c>
      <c r="F447" s="4">
        <v>45845.360856041669</v>
      </c>
      <c r="G447" s="4">
        <v>45845.466200266201</v>
      </c>
      <c r="H447">
        <v>2.5</v>
      </c>
      <c r="I447" t="s">
        <v>9</v>
      </c>
      <c r="J447" t="s">
        <v>323</v>
      </c>
    </row>
    <row r="448" spans="1:10">
      <c r="A448" t="s">
        <v>1165</v>
      </c>
      <c r="B448" t="s">
        <v>806</v>
      </c>
      <c r="C448" t="s">
        <v>283</v>
      </c>
      <c r="D448" t="s">
        <v>369</v>
      </c>
      <c r="E448" t="s">
        <v>400</v>
      </c>
      <c r="F448" s="4">
        <v>45962.733196435183</v>
      </c>
      <c r="G448" s="4">
        <v>45963.063259849543</v>
      </c>
      <c r="H448">
        <v>7.9</v>
      </c>
      <c r="I448" t="s">
        <v>12</v>
      </c>
      <c r="J448" t="s">
        <v>335</v>
      </c>
    </row>
    <row r="449" spans="1:10">
      <c r="A449" t="s">
        <v>1166</v>
      </c>
      <c r="B449" t="s">
        <v>941</v>
      </c>
      <c r="C449" t="s">
        <v>227</v>
      </c>
      <c r="D449" t="s">
        <v>399</v>
      </c>
      <c r="E449" t="s">
        <v>414</v>
      </c>
      <c r="F449" s="4">
        <v>46109.921158206023</v>
      </c>
      <c r="G449" s="4">
        <v>46110.050573379631</v>
      </c>
      <c r="H449">
        <v>3.1</v>
      </c>
      <c r="I449" t="s">
        <v>9</v>
      </c>
      <c r="J449" t="s">
        <v>323</v>
      </c>
    </row>
    <row r="450" spans="1:10">
      <c r="A450" t="s">
        <v>1167</v>
      </c>
      <c r="B450" t="s">
        <v>579</v>
      </c>
      <c r="C450" t="s">
        <v>76</v>
      </c>
      <c r="D450" t="s">
        <v>373</v>
      </c>
      <c r="E450" t="s">
        <v>396</v>
      </c>
      <c r="F450" s="4">
        <v>46041.126535439813</v>
      </c>
      <c r="G450" s="4">
        <v>46041.44312747685</v>
      </c>
      <c r="H450">
        <v>7.6</v>
      </c>
      <c r="I450" t="s">
        <v>9</v>
      </c>
      <c r="J450" t="s">
        <v>323</v>
      </c>
    </row>
    <row r="451" spans="1:10">
      <c r="A451" t="s">
        <v>1168</v>
      </c>
      <c r="B451" t="s">
        <v>1169</v>
      </c>
      <c r="C451" t="s">
        <v>159</v>
      </c>
      <c r="D451" t="s">
        <v>381</v>
      </c>
      <c r="E451" t="s">
        <v>440</v>
      </c>
      <c r="F451" s="4">
        <v>46132.215781446757</v>
      </c>
      <c r="G451" s="4">
        <v>46132.364221932869</v>
      </c>
      <c r="H451">
        <v>3.6</v>
      </c>
      <c r="I451" t="s">
        <v>9</v>
      </c>
      <c r="J451" t="s">
        <v>323</v>
      </c>
    </row>
    <row r="452" spans="1:10">
      <c r="A452" t="s">
        <v>1170</v>
      </c>
      <c r="B452" t="s">
        <v>1101</v>
      </c>
      <c r="C452" t="s">
        <v>245</v>
      </c>
      <c r="D452" t="s">
        <v>467</v>
      </c>
      <c r="E452" t="s">
        <v>414</v>
      </c>
      <c r="F452" s="4">
        <v>45936.587833136567</v>
      </c>
      <c r="G452" s="4">
        <v>45936.804277499999</v>
      </c>
      <c r="H452">
        <v>5.2</v>
      </c>
      <c r="I452" t="s">
        <v>12</v>
      </c>
      <c r="J452" t="s">
        <v>335</v>
      </c>
    </row>
    <row r="453" spans="1:10">
      <c r="A453" t="s">
        <v>1171</v>
      </c>
      <c r="B453" t="s">
        <v>1172</v>
      </c>
      <c r="C453" t="s">
        <v>87</v>
      </c>
      <c r="D453" t="s">
        <v>365</v>
      </c>
      <c r="E453" t="s">
        <v>366</v>
      </c>
      <c r="F453" s="4">
        <v>46105.121464270836</v>
      </c>
      <c r="G453" s="4">
        <v>46105.443931192131</v>
      </c>
      <c r="H453">
        <v>7.7</v>
      </c>
      <c r="I453" t="s">
        <v>12</v>
      </c>
      <c r="J453" t="s">
        <v>323</v>
      </c>
    </row>
    <row r="454" spans="1:10">
      <c r="A454" t="s">
        <v>1173</v>
      </c>
      <c r="B454" t="s">
        <v>1174</v>
      </c>
      <c r="C454" t="s">
        <v>127</v>
      </c>
      <c r="D454" t="s">
        <v>417</v>
      </c>
      <c r="E454" t="s">
        <v>366</v>
      </c>
      <c r="F454" s="4">
        <v>45906.067488738423</v>
      </c>
      <c r="G454" s="4">
        <v>45906.394185324083</v>
      </c>
      <c r="H454">
        <v>7.8</v>
      </c>
      <c r="I454" t="s">
        <v>9</v>
      </c>
      <c r="J454" t="s">
        <v>328</v>
      </c>
    </row>
    <row r="455" spans="1:10">
      <c r="A455" t="s">
        <v>1175</v>
      </c>
      <c r="B455" t="s">
        <v>640</v>
      </c>
      <c r="C455" t="s">
        <v>162</v>
      </c>
      <c r="D455" t="s">
        <v>381</v>
      </c>
      <c r="E455" t="s">
        <v>378</v>
      </c>
      <c r="F455" s="4">
        <v>46006.903968657411</v>
      </c>
      <c r="G455" s="4">
        <v>46007.157855046287</v>
      </c>
      <c r="H455">
        <v>6.1</v>
      </c>
      <c r="I455" t="s">
        <v>9</v>
      </c>
      <c r="J455" t="s">
        <v>335</v>
      </c>
    </row>
    <row r="456" spans="1:10">
      <c r="A456" t="s">
        <v>1176</v>
      </c>
      <c r="B456" t="s">
        <v>936</v>
      </c>
      <c r="C456" t="s">
        <v>202</v>
      </c>
      <c r="D456" t="s">
        <v>373</v>
      </c>
      <c r="E456" t="s">
        <v>366</v>
      </c>
      <c r="F456" s="4">
        <v>45914.746908680558</v>
      </c>
      <c r="G456" s="4">
        <v>45914.963438773149</v>
      </c>
      <c r="H456">
        <v>5.2</v>
      </c>
      <c r="I456" t="s">
        <v>9</v>
      </c>
      <c r="J456" t="s">
        <v>328</v>
      </c>
    </row>
    <row r="457" spans="1:10">
      <c r="A457" t="s">
        <v>1177</v>
      </c>
      <c r="B457" t="s">
        <v>1156</v>
      </c>
      <c r="C457" t="s">
        <v>235</v>
      </c>
      <c r="D457" t="s">
        <v>476</v>
      </c>
      <c r="E457" t="s">
        <v>456</v>
      </c>
      <c r="F457" s="4">
        <v>46046.118643842587</v>
      </c>
      <c r="G457" s="4">
        <v>46046.208426874997</v>
      </c>
      <c r="H457">
        <v>2.2000000000000002</v>
      </c>
      <c r="I457" t="s">
        <v>9</v>
      </c>
      <c r="J457" t="s">
        <v>323</v>
      </c>
    </row>
    <row r="458" spans="1:10">
      <c r="A458" t="s">
        <v>1178</v>
      </c>
      <c r="B458" t="s">
        <v>1179</v>
      </c>
      <c r="C458" t="s">
        <v>45</v>
      </c>
      <c r="D458" t="s">
        <v>417</v>
      </c>
      <c r="E458" t="s">
        <v>366</v>
      </c>
      <c r="F458" s="4">
        <v>45934.32597327546</v>
      </c>
      <c r="G458" s="4">
        <v>45934.615000775462</v>
      </c>
      <c r="H458">
        <v>6.9</v>
      </c>
      <c r="I458" t="s">
        <v>9</v>
      </c>
      <c r="J458" t="s">
        <v>323</v>
      </c>
    </row>
    <row r="459" spans="1:10">
      <c r="A459" t="s">
        <v>1180</v>
      </c>
      <c r="B459" t="s">
        <v>922</v>
      </c>
      <c r="C459" t="s">
        <v>25</v>
      </c>
      <c r="D459" t="s">
        <v>399</v>
      </c>
      <c r="E459" t="s">
        <v>403</v>
      </c>
      <c r="F459" s="4">
        <v>46139.468940150473</v>
      </c>
      <c r="G459" s="4">
        <v>46139.716737893519</v>
      </c>
      <c r="H459">
        <v>5.9</v>
      </c>
      <c r="I459" t="s">
        <v>9</v>
      </c>
      <c r="J459" t="s">
        <v>335</v>
      </c>
    </row>
    <row r="460" spans="1:10">
      <c r="A460" t="s">
        <v>1181</v>
      </c>
      <c r="B460" t="s">
        <v>1098</v>
      </c>
      <c r="C460" t="s">
        <v>162</v>
      </c>
      <c r="D460" t="s">
        <v>392</v>
      </c>
      <c r="E460" t="s">
        <v>414</v>
      </c>
      <c r="F460" s="4">
        <v>45993.931630358798</v>
      </c>
      <c r="G460" s="4">
        <v>45994.009186678239</v>
      </c>
      <c r="H460">
        <v>1.9</v>
      </c>
      <c r="I460" t="s">
        <v>12</v>
      </c>
      <c r="J460" t="s">
        <v>328</v>
      </c>
    </row>
    <row r="461" spans="1:10">
      <c r="A461" t="s">
        <v>1182</v>
      </c>
      <c r="B461" t="s">
        <v>1183</v>
      </c>
      <c r="C461" t="s">
        <v>260</v>
      </c>
      <c r="D461" t="s">
        <v>365</v>
      </c>
      <c r="E461" t="s">
        <v>414</v>
      </c>
      <c r="F461" s="4">
        <v>45897.334678831023</v>
      </c>
      <c r="G461" s="4">
        <v>45897.508799166673</v>
      </c>
      <c r="H461">
        <v>4.2</v>
      </c>
      <c r="I461" t="s">
        <v>9</v>
      </c>
      <c r="J461" t="s">
        <v>328</v>
      </c>
    </row>
    <row r="462" spans="1:10">
      <c r="A462" t="s">
        <v>1184</v>
      </c>
      <c r="B462" t="s">
        <v>1185</v>
      </c>
      <c r="C462" t="s">
        <v>188</v>
      </c>
      <c r="D462" t="s">
        <v>373</v>
      </c>
      <c r="E462" t="s">
        <v>393</v>
      </c>
      <c r="F462" s="4">
        <v>46101.596982222232</v>
      </c>
      <c r="G462" s="4">
        <v>46101.714740625001</v>
      </c>
      <c r="H462">
        <v>2.8</v>
      </c>
      <c r="I462" t="s">
        <v>9</v>
      </c>
      <c r="J462" t="s">
        <v>335</v>
      </c>
    </row>
    <row r="463" spans="1:10">
      <c r="A463" t="s">
        <v>1186</v>
      </c>
      <c r="B463" t="s">
        <v>1187</v>
      </c>
      <c r="C463" t="s">
        <v>228</v>
      </c>
      <c r="D463" t="s">
        <v>373</v>
      </c>
      <c r="E463" t="s">
        <v>396</v>
      </c>
      <c r="F463" s="4">
        <v>45890.315892962957</v>
      </c>
      <c r="G463" s="4">
        <v>45890.395428807868</v>
      </c>
      <c r="H463">
        <v>1.9</v>
      </c>
      <c r="I463" t="s">
        <v>12</v>
      </c>
      <c r="J463" t="s">
        <v>328</v>
      </c>
    </row>
    <row r="464" spans="1:10">
      <c r="A464" t="s">
        <v>1188</v>
      </c>
      <c r="B464" t="s">
        <v>1189</v>
      </c>
      <c r="C464" t="s">
        <v>76</v>
      </c>
      <c r="D464" t="s">
        <v>476</v>
      </c>
      <c r="E464" t="s">
        <v>387</v>
      </c>
      <c r="F464" s="4">
        <v>46119.749670694437</v>
      </c>
      <c r="G464" s="4">
        <v>46120.05460747685</v>
      </c>
      <c r="H464">
        <v>7.3</v>
      </c>
      <c r="I464" t="s">
        <v>9</v>
      </c>
      <c r="J464" t="s">
        <v>335</v>
      </c>
    </row>
    <row r="465" spans="1:10">
      <c r="A465" t="s">
        <v>1190</v>
      </c>
      <c r="B465" t="s">
        <v>899</v>
      </c>
      <c r="C465" t="s">
        <v>183</v>
      </c>
      <c r="D465" t="s">
        <v>381</v>
      </c>
      <c r="E465" t="s">
        <v>393</v>
      </c>
      <c r="F465" s="4">
        <v>46087.520555057868</v>
      </c>
      <c r="G465" s="4">
        <v>46087.584291921303</v>
      </c>
      <c r="H465">
        <v>1.5</v>
      </c>
      <c r="I465" t="s">
        <v>9</v>
      </c>
      <c r="J465" t="s">
        <v>335</v>
      </c>
    </row>
    <row r="466" spans="1:10">
      <c r="A466" t="s">
        <v>1191</v>
      </c>
      <c r="B466" t="s">
        <v>669</v>
      </c>
      <c r="C466" t="s">
        <v>57</v>
      </c>
      <c r="D466" t="s">
        <v>467</v>
      </c>
      <c r="E466" t="s">
        <v>378</v>
      </c>
      <c r="F466" s="4">
        <v>45898.421619305547</v>
      </c>
      <c r="G466" s="4">
        <v>45898.560538622682</v>
      </c>
      <c r="H466">
        <v>3.3</v>
      </c>
      <c r="I466" t="s">
        <v>12</v>
      </c>
      <c r="J466" t="s">
        <v>323</v>
      </c>
    </row>
    <row r="467" spans="1:10">
      <c r="A467" t="s">
        <v>1192</v>
      </c>
      <c r="B467" t="s">
        <v>1193</v>
      </c>
      <c r="C467" t="s">
        <v>232</v>
      </c>
      <c r="D467" t="s">
        <v>476</v>
      </c>
      <c r="E467" t="s">
        <v>393</v>
      </c>
      <c r="F467" s="4">
        <v>45921.207364756941</v>
      </c>
      <c r="G467" s="4">
        <v>45921.429598750001</v>
      </c>
      <c r="H467">
        <v>5.3</v>
      </c>
      <c r="I467" t="s">
        <v>12</v>
      </c>
      <c r="J467" t="s">
        <v>328</v>
      </c>
    </row>
    <row r="468" spans="1:10">
      <c r="A468" t="s">
        <v>1194</v>
      </c>
      <c r="B468" t="s">
        <v>903</v>
      </c>
      <c r="C468" t="s">
        <v>127</v>
      </c>
      <c r="D468" t="s">
        <v>369</v>
      </c>
      <c r="E468" t="s">
        <v>456</v>
      </c>
      <c r="F468" s="4">
        <v>45918.458919513891</v>
      </c>
      <c r="G468" s="4">
        <v>45918.563395497687</v>
      </c>
      <c r="H468">
        <v>2.5</v>
      </c>
      <c r="I468" t="s">
        <v>9</v>
      </c>
      <c r="J468" t="s">
        <v>323</v>
      </c>
    </row>
    <row r="469" spans="1:10">
      <c r="A469" t="s">
        <v>1195</v>
      </c>
      <c r="B469" t="s">
        <v>1196</v>
      </c>
      <c r="C469" t="s">
        <v>27</v>
      </c>
      <c r="D469" t="s">
        <v>392</v>
      </c>
      <c r="E469" t="s">
        <v>366</v>
      </c>
      <c r="F469" s="4">
        <v>46093.690398715276</v>
      </c>
      <c r="G469" s="4">
        <v>46094.013219791668</v>
      </c>
      <c r="H469">
        <v>7.7</v>
      </c>
      <c r="I469" t="s">
        <v>9</v>
      </c>
      <c r="J469" t="s">
        <v>335</v>
      </c>
    </row>
    <row r="470" spans="1:10">
      <c r="A470" t="s">
        <v>1197</v>
      </c>
      <c r="B470" t="s">
        <v>1198</v>
      </c>
      <c r="C470" t="s">
        <v>56</v>
      </c>
      <c r="D470" t="s">
        <v>365</v>
      </c>
      <c r="E470" t="s">
        <v>378</v>
      </c>
      <c r="F470" s="4">
        <v>45941.614546817131</v>
      </c>
      <c r="G470" s="4">
        <v>45941.891084953713</v>
      </c>
      <c r="H470">
        <v>6.6</v>
      </c>
      <c r="I470" t="s">
        <v>9</v>
      </c>
      <c r="J470" t="s">
        <v>323</v>
      </c>
    </row>
    <row r="471" spans="1:10">
      <c r="A471" t="s">
        <v>1199</v>
      </c>
      <c r="B471" t="s">
        <v>1200</v>
      </c>
      <c r="C471" t="s">
        <v>192</v>
      </c>
      <c r="D471" t="s">
        <v>417</v>
      </c>
      <c r="E471" t="s">
        <v>403</v>
      </c>
      <c r="F471" s="4">
        <v>46000.475580196762</v>
      </c>
      <c r="G471" s="4">
        <v>46000.646546481483</v>
      </c>
      <c r="H471">
        <v>4.0999999999999996</v>
      </c>
      <c r="I471" t="s">
        <v>9</v>
      </c>
      <c r="J471" t="s">
        <v>335</v>
      </c>
    </row>
    <row r="472" spans="1:10">
      <c r="A472" t="s">
        <v>1201</v>
      </c>
      <c r="B472" t="s">
        <v>808</v>
      </c>
      <c r="C472" t="s">
        <v>96</v>
      </c>
      <c r="D472" t="s">
        <v>392</v>
      </c>
      <c r="E472" t="s">
        <v>440</v>
      </c>
      <c r="F472" s="4">
        <v>45937.207453773153</v>
      </c>
      <c r="G472" s="4">
        <v>45937.324344907407</v>
      </c>
      <c r="H472">
        <v>2.8</v>
      </c>
      <c r="I472" t="s">
        <v>9</v>
      </c>
      <c r="J472" t="s">
        <v>328</v>
      </c>
    </row>
    <row r="473" spans="1:10">
      <c r="A473" t="s">
        <v>1202</v>
      </c>
      <c r="B473" t="s">
        <v>924</v>
      </c>
      <c r="C473" t="s">
        <v>180</v>
      </c>
      <c r="D473" t="s">
        <v>373</v>
      </c>
      <c r="E473" t="s">
        <v>366</v>
      </c>
      <c r="F473" s="4">
        <v>46106.709293182867</v>
      </c>
      <c r="G473" s="4">
        <v>46106.946389386583</v>
      </c>
      <c r="H473">
        <v>5.7</v>
      </c>
      <c r="I473" t="s">
        <v>9</v>
      </c>
      <c r="J473" t="s">
        <v>335</v>
      </c>
    </row>
    <row r="474" spans="1:10">
      <c r="A474" t="s">
        <v>1203</v>
      </c>
      <c r="B474" t="s">
        <v>959</v>
      </c>
      <c r="C474" t="s">
        <v>56</v>
      </c>
      <c r="D474" t="s">
        <v>381</v>
      </c>
      <c r="E474" t="s">
        <v>366</v>
      </c>
      <c r="F474" s="4">
        <v>45855.938623703703</v>
      </c>
      <c r="G474" s="4">
        <v>45855.973371365741</v>
      </c>
      <c r="H474">
        <v>0.8</v>
      </c>
      <c r="I474" t="s">
        <v>9</v>
      </c>
      <c r="J474" t="s">
        <v>328</v>
      </c>
    </row>
    <row r="475" spans="1:10">
      <c r="A475" t="s">
        <v>1204</v>
      </c>
      <c r="B475" t="s">
        <v>1205</v>
      </c>
      <c r="C475" t="s">
        <v>105</v>
      </c>
      <c r="D475" t="s">
        <v>417</v>
      </c>
      <c r="E475" t="s">
        <v>414</v>
      </c>
      <c r="F475" s="4">
        <v>45972.320315011573</v>
      </c>
      <c r="G475" s="4">
        <v>45972.602549398151</v>
      </c>
      <c r="H475">
        <v>6.8</v>
      </c>
      <c r="I475" t="s">
        <v>12</v>
      </c>
      <c r="J475" t="s">
        <v>323</v>
      </c>
    </row>
    <row r="476" spans="1:10">
      <c r="A476" t="s">
        <v>1206</v>
      </c>
      <c r="B476" t="s">
        <v>1207</v>
      </c>
      <c r="C476" t="s">
        <v>155</v>
      </c>
      <c r="D476" t="s">
        <v>467</v>
      </c>
      <c r="E476" t="s">
        <v>456</v>
      </c>
      <c r="F476" s="4">
        <v>46080.80097152778</v>
      </c>
      <c r="G476" s="4">
        <v>46080.955284687501</v>
      </c>
      <c r="H476">
        <v>3.7</v>
      </c>
      <c r="I476" t="s">
        <v>12</v>
      </c>
      <c r="J476" t="s">
        <v>328</v>
      </c>
    </row>
    <row r="477" spans="1:10">
      <c r="A477" t="s">
        <v>1208</v>
      </c>
      <c r="B477" t="s">
        <v>1209</v>
      </c>
      <c r="C477" t="s">
        <v>116</v>
      </c>
      <c r="D477" t="s">
        <v>365</v>
      </c>
      <c r="E477" t="s">
        <v>456</v>
      </c>
      <c r="F477" s="4">
        <v>45942.746704872683</v>
      </c>
      <c r="G477" s="4">
        <v>45943.055566620373</v>
      </c>
      <c r="H477">
        <v>7.4</v>
      </c>
      <c r="I477" t="s">
        <v>9</v>
      </c>
      <c r="J477" t="s">
        <v>323</v>
      </c>
    </row>
    <row r="478" spans="1:10">
      <c r="A478" t="s">
        <v>1210</v>
      </c>
      <c r="B478" t="s">
        <v>1211</v>
      </c>
      <c r="C478" t="s">
        <v>97</v>
      </c>
      <c r="D478" t="s">
        <v>467</v>
      </c>
      <c r="E478" t="s">
        <v>370</v>
      </c>
      <c r="F478" s="4">
        <v>45959.320364988424</v>
      </c>
      <c r="G478" s="4">
        <v>45959.650813333326</v>
      </c>
      <c r="H478">
        <v>7.9</v>
      </c>
      <c r="I478" t="s">
        <v>9</v>
      </c>
      <c r="J478" t="s">
        <v>335</v>
      </c>
    </row>
    <row r="479" spans="1:10">
      <c r="A479" t="s">
        <v>1212</v>
      </c>
      <c r="B479" t="s">
        <v>475</v>
      </c>
      <c r="C479" t="s">
        <v>40</v>
      </c>
      <c r="D479" t="s">
        <v>476</v>
      </c>
      <c r="E479" t="s">
        <v>387</v>
      </c>
      <c r="F479" s="4">
        <v>45892.289594097223</v>
      </c>
      <c r="G479" s="4">
        <v>45892.502832673606</v>
      </c>
      <c r="H479">
        <v>5.0999999999999996</v>
      </c>
      <c r="I479" t="s">
        <v>12</v>
      </c>
      <c r="J479" t="s">
        <v>328</v>
      </c>
    </row>
    <row r="480" spans="1:10">
      <c r="A480" t="s">
        <v>1213</v>
      </c>
      <c r="B480" t="s">
        <v>1214</v>
      </c>
      <c r="C480" t="s">
        <v>196</v>
      </c>
      <c r="D480" t="s">
        <v>365</v>
      </c>
      <c r="E480" t="s">
        <v>440</v>
      </c>
      <c r="F480" s="4">
        <v>46046.774282303239</v>
      </c>
      <c r="G480" s="4">
        <v>46046.984023877318</v>
      </c>
      <c r="H480">
        <v>5</v>
      </c>
      <c r="I480" t="s">
        <v>12</v>
      </c>
      <c r="J480" t="s">
        <v>335</v>
      </c>
    </row>
    <row r="481" spans="1:10">
      <c r="A481" t="s">
        <v>1215</v>
      </c>
      <c r="B481" t="s">
        <v>1216</v>
      </c>
      <c r="C481" t="s">
        <v>192</v>
      </c>
      <c r="D481" t="s">
        <v>369</v>
      </c>
      <c r="E481" t="s">
        <v>387</v>
      </c>
      <c r="F481" s="4">
        <v>46072.778670243053</v>
      </c>
      <c r="G481" s="4">
        <v>46072.856180289353</v>
      </c>
      <c r="H481">
        <v>1.9</v>
      </c>
      <c r="I481" t="s">
        <v>9</v>
      </c>
      <c r="J481" t="s">
        <v>335</v>
      </c>
    </row>
    <row r="482" spans="1:10">
      <c r="A482" t="s">
        <v>1217</v>
      </c>
      <c r="B482" t="s">
        <v>1218</v>
      </c>
      <c r="C482" t="s">
        <v>285</v>
      </c>
      <c r="D482" t="s">
        <v>381</v>
      </c>
      <c r="E482" t="s">
        <v>396</v>
      </c>
      <c r="F482" s="4">
        <v>46066.121910636582</v>
      </c>
      <c r="G482" s="4">
        <v>46066.337980925928</v>
      </c>
      <c r="H482">
        <v>5.2</v>
      </c>
      <c r="I482" t="s">
        <v>9</v>
      </c>
      <c r="J482" t="s">
        <v>328</v>
      </c>
    </row>
    <row r="483" spans="1:10">
      <c r="A483" t="s">
        <v>1219</v>
      </c>
      <c r="B483" t="s">
        <v>1220</v>
      </c>
      <c r="C483" t="s">
        <v>131</v>
      </c>
      <c r="D483" t="s">
        <v>384</v>
      </c>
      <c r="E483" t="s">
        <v>366</v>
      </c>
      <c r="F483" s="4">
        <v>46140.668594606483</v>
      </c>
      <c r="G483" s="4">
        <v>46140.84544380787</v>
      </c>
      <c r="H483">
        <v>4.2</v>
      </c>
      <c r="I483" t="s">
        <v>9</v>
      </c>
      <c r="J483" t="s">
        <v>328</v>
      </c>
    </row>
    <row r="484" spans="1:10">
      <c r="A484" t="s">
        <v>1221</v>
      </c>
      <c r="B484" t="s">
        <v>1222</v>
      </c>
      <c r="C484" t="s">
        <v>151</v>
      </c>
      <c r="D484" t="s">
        <v>476</v>
      </c>
      <c r="E484" t="s">
        <v>393</v>
      </c>
      <c r="F484" s="4">
        <v>45927.40196761574</v>
      </c>
      <c r="G484" s="4">
        <v>45927.645084282412</v>
      </c>
      <c r="H484">
        <v>5.8</v>
      </c>
      <c r="I484" t="s">
        <v>12</v>
      </c>
      <c r="J484" t="s">
        <v>323</v>
      </c>
    </row>
    <row r="485" spans="1:10">
      <c r="A485" t="s">
        <v>1223</v>
      </c>
      <c r="B485" t="s">
        <v>1224</v>
      </c>
      <c r="C485" t="s">
        <v>185</v>
      </c>
      <c r="D485" t="s">
        <v>476</v>
      </c>
      <c r="E485" t="s">
        <v>440</v>
      </c>
      <c r="F485" s="4">
        <v>46070.104407847219</v>
      </c>
      <c r="G485" s="4">
        <v>46070.43088162037</v>
      </c>
      <c r="H485">
        <v>7.8</v>
      </c>
      <c r="I485" t="s">
        <v>9</v>
      </c>
      <c r="J485" t="s">
        <v>335</v>
      </c>
    </row>
    <row r="486" spans="1:10">
      <c r="A486" t="s">
        <v>1225</v>
      </c>
      <c r="B486" t="s">
        <v>1226</v>
      </c>
      <c r="C486" t="s">
        <v>155</v>
      </c>
      <c r="D486" t="s">
        <v>476</v>
      </c>
      <c r="E486" t="s">
        <v>400</v>
      </c>
      <c r="F486" s="4">
        <v>45912.664730682867</v>
      </c>
      <c r="G486" s="4">
        <v>45912.807626377318</v>
      </c>
      <c r="H486">
        <v>3.4</v>
      </c>
      <c r="I486" t="s">
        <v>9</v>
      </c>
      <c r="J486" t="s">
        <v>328</v>
      </c>
    </row>
    <row r="487" spans="1:10">
      <c r="A487" t="s">
        <v>1227</v>
      </c>
      <c r="B487" t="s">
        <v>1228</v>
      </c>
      <c r="C487" t="s">
        <v>69</v>
      </c>
      <c r="D487" t="s">
        <v>384</v>
      </c>
      <c r="E487" t="s">
        <v>456</v>
      </c>
      <c r="F487" s="4">
        <v>46018.344949618047</v>
      </c>
      <c r="G487" s="4">
        <v>46018.40114671296</v>
      </c>
      <c r="H487">
        <v>1.3</v>
      </c>
      <c r="I487" t="s">
        <v>9</v>
      </c>
      <c r="J487" t="s">
        <v>335</v>
      </c>
    </row>
    <row r="488" spans="1:10">
      <c r="A488" t="s">
        <v>1229</v>
      </c>
      <c r="B488" t="s">
        <v>1230</v>
      </c>
      <c r="C488" t="s">
        <v>16</v>
      </c>
      <c r="D488" t="s">
        <v>369</v>
      </c>
      <c r="E488" t="s">
        <v>366</v>
      </c>
      <c r="F488" s="4">
        <v>45892.728150486109</v>
      </c>
      <c r="G488" s="4">
        <v>45892.849938009262</v>
      </c>
      <c r="H488">
        <v>2.9</v>
      </c>
      <c r="I488" t="s">
        <v>12</v>
      </c>
      <c r="J488" t="s">
        <v>323</v>
      </c>
    </row>
    <row r="489" spans="1:10">
      <c r="A489" t="s">
        <v>1231</v>
      </c>
      <c r="B489" t="s">
        <v>915</v>
      </c>
      <c r="C489" t="s">
        <v>80</v>
      </c>
      <c r="D489" t="s">
        <v>399</v>
      </c>
      <c r="E489" t="s">
        <v>403</v>
      </c>
      <c r="F489" s="4">
        <v>46026.603373194448</v>
      </c>
      <c r="G489" s="4">
        <v>46026.778646053237</v>
      </c>
      <c r="H489">
        <v>4.2</v>
      </c>
      <c r="I489" t="s">
        <v>9</v>
      </c>
      <c r="J489" t="s">
        <v>335</v>
      </c>
    </row>
    <row r="490" spans="1:10">
      <c r="A490" t="s">
        <v>1232</v>
      </c>
      <c r="B490" t="s">
        <v>1233</v>
      </c>
      <c r="C490" t="s">
        <v>196</v>
      </c>
      <c r="D490" t="s">
        <v>377</v>
      </c>
      <c r="E490" t="s">
        <v>374</v>
      </c>
      <c r="F490" s="4">
        <v>46001.75759134259</v>
      </c>
      <c r="G490" s="4">
        <v>46001.977363483798</v>
      </c>
      <c r="H490">
        <v>5.3</v>
      </c>
      <c r="I490" t="s">
        <v>12</v>
      </c>
      <c r="J490" t="s">
        <v>328</v>
      </c>
    </row>
    <row r="491" spans="1:10">
      <c r="A491" t="s">
        <v>1234</v>
      </c>
      <c r="B491" t="s">
        <v>936</v>
      </c>
      <c r="C491" t="s">
        <v>202</v>
      </c>
      <c r="D491" t="s">
        <v>373</v>
      </c>
      <c r="E491" t="s">
        <v>366</v>
      </c>
      <c r="F491" s="4">
        <v>45917.105030729173</v>
      </c>
      <c r="G491" s="4">
        <v>45917.245609444442</v>
      </c>
      <c r="H491">
        <v>3.4</v>
      </c>
      <c r="I491" t="s">
        <v>9</v>
      </c>
      <c r="J491" t="s">
        <v>328</v>
      </c>
    </row>
    <row r="492" spans="1:10">
      <c r="A492" t="s">
        <v>1235</v>
      </c>
      <c r="B492" t="s">
        <v>951</v>
      </c>
      <c r="C492" t="s">
        <v>155</v>
      </c>
      <c r="D492" t="s">
        <v>373</v>
      </c>
      <c r="E492" t="s">
        <v>400</v>
      </c>
      <c r="F492" s="4">
        <v>45862.5807053588</v>
      </c>
      <c r="G492" s="4">
        <v>45862.767936956021</v>
      </c>
      <c r="H492">
        <v>4.5</v>
      </c>
      <c r="I492" t="s">
        <v>9</v>
      </c>
      <c r="J492" t="s">
        <v>335</v>
      </c>
    </row>
    <row r="493" spans="1:10">
      <c r="A493" t="s">
        <v>1236</v>
      </c>
      <c r="B493" t="s">
        <v>1154</v>
      </c>
      <c r="C493" t="s">
        <v>168</v>
      </c>
      <c r="D493" t="s">
        <v>443</v>
      </c>
      <c r="E493" t="s">
        <v>440</v>
      </c>
      <c r="F493" s="4">
        <v>46127.796003900461</v>
      </c>
      <c r="G493" s="4">
        <v>46128.040250057871</v>
      </c>
      <c r="H493">
        <v>5.9</v>
      </c>
      <c r="I493" t="s">
        <v>9</v>
      </c>
      <c r="J493" t="s">
        <v>323</v>
      </c>
    </row>
    <row r="494" spans="1:10">
      <c r="A494" t="s">
        <v>1237</v>
      </c>
      <c r="B494" t="s">
        <v>1238</v>
      </c>
      <c r="C494" t="s">
        <v>38</v>
      </c>
      <c r="D494" t="s">
        <v>392</v>
      </c>
      <c r="E494" t="s">
        <v>374</v>
      </c>
      <c r="F494" s="4">
        <v>45907.798009664351</v>
      </c>
      <c r="G494" s="4">
        <v>45907.892340833343</v>
      </c>
      <c r="H494">
        <v>2.2999999999999998</v>
      </c>
      <c r="I494" t="s">
        <v>12</v>
      </c>
      <c r="J494" t="s">
        <v>335</v>
      </c>
    </row>
    <row r="495" spans="1:10">
      <c r="A495" t="s">
        <v>1239</v>
      </c>
      <c r="B495" t="s">
        <v>1240</v>
      </c>
      <c r="C495" t="s">
        <v>11</v>
      </c>
      <c r="D495" t="s">
        <v>384</v>
      </c>
      <c r="E495" t="s">
        <v>393</v>
      </c>
      <c r="F495" s="4">
        <v>46144.18874917824</v>
      </c>
      <c r="G495" s="4">
        <v>46144.357684502313</v>
      </c>
      <c r="H495">
        <v>4.0999999999999996</v>
      </c>
      <c r="I495" t="s">
        <v>12</v>
      </c>
      <c r="J495" t="s">
        <v>328</v>
      </c>
    </row>
    <row r="496" spans="1:10">
      <c r="A496" t="s">
        <v>1241</v>
      </c>
      <c r="B496" t="s">
        <v>879</v>
      </c>
      <c r="C496" t="s">
        <v>49</v>
      </c>
      <c r="D496" t="s">
        <v>392</v>
      </c>
      <c r="E496" t="s">
        <v>403</v>
      </c>
      <c r="F496" s="4">
        <v>45934.192385312497</v>
      </c>
      <c r="G496" s="4">
        <v>45934.322389756948</v>
      </c>
      <c r="H496">
        <v>3.1</v>
      </c>
      <c r="I496" t="s">
        <v>9</v>
      </c>
      <c r="J496" t="s">
        <v>323</v>
      </c>
    </row>
    <row r="497" spans="1:10">
      <c r="A497" t="s">
        <v>1242</v>
      </c>
      <c r="B497" t="s">
        <v>901</v>
      </c>
      <c r="C497" t="s">
        <v>301</v>
      </c>
      <c r="D497" t="s">
        <v>476</v>
      </c>
      <c r="E497" t="s">
        <v>414</v>
      </c>
      <c r="F497" s="4">
        <v>45870.891869872677</v>
      </c>
      <c r="G497" s="4">
        <v>45870.957747025474</v>
      </c>
      <c r="H497">
        <v>1.6</v>
      </c>
      <c r="I497" t="s">
        <v>9</v>
      </c>
      <c r="J497" t="s">
        <v>323</v>
      </c>
    </row>
    <row r="498" spans="1:10">
      <c r="A498" t="s">
        <v>1243</v>
      </c>
      <c r="B498" t="s">
        <v>1244</v>
      </c>
      <c r="C498" t="s">
        <v>162</v>
      </c>
      <c r="D498" t="s">
        <v>377</v>
      </c>
      <c r="E498" t="s">
        <v>456</v>
      </c>
      <c r="F498" s="4">
        <v>46132.256364236113</v>
      </c>
      <c r="G498" s="4">
        <v>46132.535891886568</v>
      </c>
      <c r="H498">
        <v>6.7</v>
      </c>
      <c r="I498" t="s">
        <v>12</v>
      </c>
      <c r="J498" t="s">
        <v>335</v>
      </c>
    </row>
    <row r="499" spans="1:10">
      <c r="A499" t="s">
        <v>1245</v>
      </c>
      <c r="B499" t="s">
        <v>402</v>
      </c>
      <c r="C499" t="s">
        <v>57</v>
      </c>
      <c r="D499" t="s">
        <v>399</v>
      </c>
      <c r="E499" t="s">
        <v>403</v>
      </c>
      <c r="F499" s="4">
        <v>45863.239356435188</v>
      </c>
      <c r="G499" s="4">
        <v>45863.47762125</v>
      </c>
      <c r="H499">
        <v>5.7</v>
      </c>
      <c r="I499" t="s">
        <v>12</v>
      </c>
      <c r="J499" t="s">
        <v>328</v>
      </c>
    </row>
    <row r="500" spans="1:10">
      <c r="A500" t="s">
        <v>1246</v>
      </c>
      <c r="B500" t="s">
        <v>1247</v>
      </c>
      <c r="C500" t="s">
        <v>11</v>
      </c>
      <c r="D500" t="s">
        <v>392</v>
      </c>
      <c r="E500" t="s">
        <v>374</v>
      </c>
      <c r="F500" s="4">
        <v>46023.708798807871</v>
      </c>
      <c r="G500" s="4">
        <v>46023.862353622688</v>
      </c>
      <c r="H500">
        <v>3.7</v>
      </c>
      <c r="I500" t="s">
        <v>12</v>
      </c>
      <c r="J500" t="s">
        <v>335</v>
      </c>
    </row>
    <row r="501" spans="1:10">
      <c r="A501" t="s">
        <v>1248</v>
      </c>
      <c r="B501" t="s">
        <v>1198</v>
      </c>
      <c r="C501" t="s">
        <v>56</v>
      </c>
      <c r="D501" t="s">
        <v>365</v>
      </c>
      <c r="E501" t="s">
        <v>378</v>
      </c>
      <c r="F501" s="4">
        <v>45941.667713391202</v>
      </c>
      <c r="G501" s="4">
        <v>45941.711599942129</v>
      </c>
      <c r="H501">
        <v>1.1000000000000001</v>
      </c>
      <c r="I501" t="s">
        <v>9</v>
      </c>
      <c r="J501" t="s">
        <v>323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1"/>
  <sheetViews>
    <sheetView workbookViewId="0"/>
  </sheetViews>
  <sheetFormatPr baseColWidth="10" defaultColWidth="8.83203125" defaultRowHeight="15"/>
  <cols>
    <col min="1" max="1" width="9.5" customWidth="1"/>
    <col min="2" max="2" width="9.1640625" customWidth="1"/>
    <col min="3" max="3" width="11.5" customWidth="1"/>
    <col min="4" max="4" width="8.6640625" customWidth="1"/>
    <col min="5" max="5" width="16" customWidth="1"/>
    <col min="6" max="6" width="11.83203125" customWidth="1"/>
    <col min="7" max="7" width="15" customWidth="1"/>
    <col min="8" max="8" width="13" customWidth="1"/>
    <col min="9" max="9" width="16.5" customWidth="1"/>
    <col min="10" max="10" width="9.83203125" customWidth="1"/>
  </cols>
  <sheetData>
    <row r="1" spans="1:10" ht="15" customHeight="1">
      <c r="A1" s="3" t="s">
        <v>1602</v>
      </c>
      <c r="B1" s="3" t="s">
        <v>1</v>
      </c>
      <c r="C1" s="3" t="s">
        <v>1603</v>
      </c>
      <c r="D1" s="3" t="s">
        <v>1604</v>
      </c>
      <c r="E1" s="3" t="s">
        <v>313</v>
      </c>
      <c r="F1" s="3" t="s">
        <v>1605</v>
      </c>
      <c r="G1" s="3" t="s">
        <v>1606</v>
      </c>
      <c r="H1" s="3" t="s">
        <v>1607</v>
      </c>
      <c r="I1" s="2" t="s">
        <v>1608</v>
      </c>
      <c r="J1" s="2" t="s">
        <v>1609</v>
      </c>
    </row>
    <row r="2" spans="1:10">
      <c r="A2" t="s">
        <v>1610</v>
      </c>
      <c r="B2" t="s">
        <v>227</v>
      </c>
      <c r="C2" s="4">
        <v>45949</v>
      </c>
      <c r="D2" s="5">
        <v>37387.760000000002</v>
      </c>
      <c r="E2" t="s">
        <v>1611</v>
      </c>
      <c r="F2" t="s">
        <v>12</v>
      </c>
      <c r="G2" t="s">
        <v>1612</v>
      </c>
      <c r="H2" t="s">
        <v>327</v>
      </c>
      <c r="I2" s="17">
        <f t="shared" ref="I2:I65" ca="1" si="0">TODAY()-C2</f>
        <v>201</v>
      </c>
      <c r="J2" t="str">
        <f t="shared" ref="J2:J65" ca="1" si="1">IF(AND(I2&gt;30,E2&lt;&gt;"Paid"),"Delayed","On Track")</f>
        <v>Delayed</v>
      </c>
    </row>
    <row r="3" spans="1:10">
      <c r="A3" t="s">
        <v>1613</v>
      </c>
      <c r="B3" t="s">
        <v>71</v>
      </c>
      <c r="C3" s="4">
        <v>46082</v>
      </c>
      <c r="D3" s="5">
        <v>4401.12</v>
      </c>
      <c r="E3" t="s">
        <v>1614</v>
      </c>
      <c r="F3" t="s">
        <v>9</v>
      </c>
      <c r="G3" t="s">
        <v>1615</v>
      </c>
      <c r="H3" t="s">
        <v>322</v>
      </c>
      <c r="I3" s="17">
        <f t="shared" ca="1" si="0"/>
        <v>68</v>
      </c>
      <c r="J3" t="str">
        <f t="shared" ca="1" si="1"/>
        <v>Delayed</v>
      </c>
    </row>
    <row r="4" spans="1:10">
      <c r="A4" t="s">
        <v>1616</v>
      </c>
      <c r="B4" t="s">
        <v>196</v>
      </c>
      <c r="C4" s="4">
        <v>46109</v>
      </c>
      <c r="D4" s="5">
        <v>28761.56</v>
      </c>
      <c r="E4" t="s">
        <v>1611</v>
      </c>
      <c r="F4" t="s">
        <v>9</v>
      </c>
      <c r="G4" t="s">
        <v>1612</v>
      </c>
      <c r="H4" t="s">
        <v>336</v>
      </c>
      <c r="I4" s="17">
        <f t="shared" ca="1" si="0"/>
        <v>41</v>
      </c>
      <c r="J4" t="str">
        <f t="shared" ca="1" si="1"/>
        <v>Delayed</v>
      </c>
    </row>
    <row r="5" spans="1:10">
      <c r="A5" t="s">
        <v>1617</v>
      </c>
      <c r="B5" t="s">
        <v>36</v>
      </c>
      <c r="C5" s="4">
        <v>45948</v>
      </c>
      <c r="D5" s="5">
        <v>50206.48</v>
      </c>
      <c r="E5" t="s">
        <v>1618</v>
      </c>
      <c r="F5" t="s">
        <v>9</v>
      </c>
      <c r="G5" t="s">
        <v>1619</v>
      </c>
      <c r="H5" t="s">
        <v>322</v>
      </c>
      <c r="I5" s="17">
        <f t="shared" ca="1" si="0"/>
        <v>202</v>
      </c>
      <c r="J5" t="str">
        <f t="shared" ca="1" si="1"/>
        <v>On Track</v>
      </c>
    </row>
    <row r="6" spans="1:10">
      <c r="A6" t="s">
        <v>1620</v>
      </c>
      <c r="B6" t="s">
        <v>285</v>
      </c>
      <c r="C6" s="4">
        <v>45874</v>
      </c>
      <c r="D6" s="5">
        <v>79170.14</v>
      </c>
      <c r="E6" t="s">
        <v>1611</v>
      </c>
      <c r="F6" t="s">
        <v>9</v>
      </c>
      <c r="G6" t="s">
        <v>1621</v>
      </c>
      <c r="H6" t="s">
        <v>322</v>
      </c>
      <c r="I6" s="17">
        <f t="shared" ca="1" si="0"/>
        <v>276</v>
      </c>
      <c r="J6" t="str">
        <f t="shared" ca="1" si="1"/>
        <v>Delayed</v>
      </c>
    </row>
    <row r="7" spans="1:10">
      <c r="A7" t="s">
        <v>1622</v>
      </c>
      <c r="B7" t="s">
        <v>294</v>
      </c>
      <c r="C7" s="4">
        <v>46001</v>
      </c>
      <c r="D7" s="5">
        <v>59968.69</v>
      </c>
      <c r="E7" t="s">
        <v>1618</v>
      </c>
      <c r="F7" t="s">
        <v>9</v>
      </c>
      <c r="G7" t="s">
        <v>1621</v>
      </c>
      <c r="H7" t="s">
        <v>327</v>
      </c>
      <c r="I7" s="17">
        <f t="shared" ca="1" si="0"/>
        <v>149</v>
      </c>
      <c r="J7" t="str">
        <f t="shared" ca="1" si="1"/>
        <v>On Track</v>
      </c>
    </row>
    <row r="8" spans="1:10">
      <c r="A8" t="s">
        <v>1623</v>
      </c>
      <c r="B8" t="s">
        <v>131</v>
      </c>
      <c r="C8" s="4">
        <v>45916</v>
      </c>
      <c r="D8" s="5">
        <v>56831.64</v>
      </c>
      <c r="E8" t="s">
        <v>1624</v>
      </c>
      <c r="F8" t="s">
        <v>12</v>
      </c>
      <c r="G8" t="s">
        <v>1619</v>
      </c>
      <c r="H8" t="s">
        <v>336</v>
      </c>
      <c r="I8" s="17">
        <f t="shared" ca="1" si="0"/>
        <v>234</v>
      </c>
      <c r="J8" t="str">
        <f t="shared" ca="1" si="1"/>
        <v>Delayed</v>
      </c>
    </row>
    <row r="9" spans="1:10">
      <c r="A9" t="s">
        <v>1625</v>
      </c>
      <c r="B9" t="s">
        <v>89</v>
      </c>
      <c r="C9" s="4">
        <v>45897</v>
      </c>
      <c r="D9" s="5">
        <v>35445.69</v>
      </c>
      <c r="E9" t="s">
        <v>1614</v>
      </c>
      <c r="F9" t="s">
        <v>9</v>
      </c>
      <c r="G9" t="s">
        <v>1615</v>
      </c>
      <c r="H9" t="s">
        <v>322</v>
      </c>
      <c r="I9" s="17">
        <f t="shared" ca="1" si="0"/>
        <v>253</v>
      </c>
      <c r="J9" t="str">
        <f t="shared" ca="1" si="1"/>
        <v>Delayed</v>
      </c>
    </row>
    <row r="10" spans="1:10">
      <c r="A10" t="s">
        <v>1626</v>
      </c>
      <c r="B10" t="s">
        <v>138</v>
      </c>
      <c r="C10" s="4">
        <v>45908</v>
      </c>
      <c r="D10" s="5">
        <v>178183.17</v>
      </c>
      <c r="E10" t="s">
        <v>1611</v>
      </c>
      <c r="F10" t="s">
        <v>9</v>
      </c>
      <c r="G10" t="s">
        <v>1621</v>
      </c>
      <c r="H10" t="s">
        <v>336</v>
      </c>
      <c r="I10" s="17">
        <f t="shared" ca="1" si="0"/>
        <v>242</v>
      </c>
      <c r="J10" t="str">
        <f t="shared" ca="1" si="1"/>
        <v>Delayed</v>
      </c>
    </row>
    <row r="11" spans="1:10">
      <c r="A11" t="s">
        <v>1627</v>
      </c>
      <c r="B11" t="s">
        <v>219</v>
      </c>
      <c r="C11" s="4">
        <v>45896</v>
      </c>
      <c r="D11" s="5">
        <v>140955.73000000001</v>
      </c>
      <c r="E11" t="s">
        <v>1618</v>
      </c>
      <c r="F11" t="s">
        <v>9</v>
      </c>
      <c r="G11" t="s">
        <v>1612</v>
      </c>
      <c r="H11" t="s">
        <v>327</v>
      </c>
      <c r="I11" s="17">
        <f t="shared" ca="1" si="0"/>
        <v>254</v>
      </c>
      <c r="J11" t="str">
        <f t="shared" ca="1" si="1"/>
        <v>On Track</v>
      </c>
    </row>
    <row r="12" spans="1:10">
      <c r="A12" t="s">
        <v>1628</v>
      </c>
      <c r="B12" t="s">
        <v>188</v>
      </c>
      <c r="C12" s="4">
        <v>46054</v>
      </c>
      <c r="D12" s="5">
        <v>61243.8</v>
      </c>
      <c r="E12" t="s">
        <v>1629</v>
      </c>
      <c r="F12" t="s">
        <v>12</v>
      </c>
      <c r="G12" t="s">
        <v>1612</v>
      </c>
      <c r="H12" t="s">
        <v>327</v>
      </c>
      <c r="I12" s="17">
        <f t="shared" ca="1" si="0"/>
        <v>96</v>
      </c>
      <c r="J12" t="str">
        <f t="shared" ca="1" si="1"/>
        <v>Delayed</v>
      </c>
    </row>
    <row r="13" spans="1:10">
      <c r="A13" t="s">
        <v>1630</v>
      </c>
      <c r="B13" t="s">
        <v>225</v>
      </c>
      <c r="C13" s="4">
        <v>45952</v>
      </c>
      <c r="D13" s="5">
        <v>83067.839999999997</v>
      </c>
      <c r="E13" t="s">
        <v>1631</v>
      </c>
      <c r="F13" t="s">
        <v>9</v>
      </c>
      <c r="G13" t="s">
        <v>1632</v>
      </c>
      <c r="H13" t="s">
        <v>327</v>
      </c>
      <c r="I13" s="17">
        <f t="shared" ca="1" si="0"/>
        <v>198</v>
      </c>
      <c r="J13" t="str">
        <f t="shared" ca="1" si="1"/>
        <v>Delayed</v>
      </c>
    </row>
    <row r="14" spans="1:10">
      <c r="A14" t="s">
        <v>1633</v>
      </c>
      <c r="B14" t="s">
        <v>180</v>
      </c>
      <c r="C14" s="4">
        <v>45972</v>
      </c>
      <c r="D14" s="5">
        <v>198818.23</v>
      </c>
      <c r="E14" t="s">
        <v>1631</v>
      </c>
      <c r="F14" t="s">
        <v>9</v>
      </c>
      <c r="G14" t="s">
        <v>1615</v>
      </c>
      <c r="H14" t="s">
        <v>322</v>
      </c>
      <c r="I14" s="17">
        <f t="shared" ca="1" si="0"/>
        <v>178</v>
      </c>
      <c r="J14" t="str">
        <f t="shared" ca="1" si="1"/>
        <v>Delayed</v>
      </c>
    </row>
    <row r="15" spans="1:10">
      <c r="A15" t="s">
        <v>1634</v>
      </c>
      <c r="B15" t="s">
        <v>273</v>
      </c>
      <c r="C15" s="4">
        <v>46157</v>
      </c>
      <c r="D15" s="5">
        <v>236689.45</v>
      </c>
      <c r="E15" t="s">
        <v>1618</v>
      </c>
      <c r="F15" t="s">
        <v>12</v>
      </c>
      <c r="G15" t="s">
        <v>1612</v>
      </c>
      <c r="H15" t="s">
        <v>336</v>
      </c>
      <c r="I15" s="17">
        <f t="shared" ca="1" si="0"/>
        <v>-7</v>
      </c>
      <c r="J15" t="str">
        <f t="shared" ca="1" si="1"/>
        <v>On Track</v>
      </c>
    </row>
    <row r="16" spans="1:10">
      <c r="A16" t="s">
        <v>1635</v>
      </c>
      <c r="B16" t="s">
        <v>97</v>
      </c>
      <c r="C16" s="4">
        <v>46051</v>
      </c>
      <c r="D16" s="5">
        <v>70049.05</v>
      </c>
      <c r="E16" t="s">
        <v>1624</v>
      </c>
      <c r="F16" t="s">
        <v>9</v>
      </c>
      <c r="G16" t="s">
        <v>1632</v>
      </c>
      <c r="H16" t="s">
        <v>336</v>
      </c>
      <c r="I16" s="17">
        <f t="shared" ca="1" si="0"/>
        <v>99</v>
      </c>
      <c r="J16" t="str">
        <f t="shared" ca="1" si="1"/>
        <v>Delayed</v>
      </c>
    </row>
    <row r="17" spans="1:10">
      <c r="A17" t="s">
        <v>1636</v>
      </c>
      <c r="B17" t="s">
        <v>170</v>
      </c>
      <c r="C17" s="4">
        <v>46051</v>
      </c>
      <c r="D17" s="5">
        <v>226085.91</v>
      </c>
      <c r="E17" t="s">
        <v>1618</v>
      </c>
      <c r="F17" t="s">
        <v>12</v>
      </c>
      <c r="G17" t="s">
        <v>1621</v>
      </c>
      <c r="H17" t="s">
        <v>322</v>
      </c>
      <c r="I17" s="17">
        <f t="shared" ca="1" si="0"/>
        <v>99</v>
      </c>
      <c r="J17" t="str">
        <f t="shared" ca="1" si="1"/>
        <v>On Track</v>
      </c>
    </row>
    <row r="18" spans="1:10">
      <c r="A18" t="s">
        <v>1637</v>
      </c>
      <c r="B18" t="s">
        <v>25</v>
      </c>
      <c r="C18" s="4">
        <v>45920</v>
      </c>
      <c r="D18" s="5">
        <v>151023.39000000001</v>
      </c>
      <c r="E18" t="s">
        <v>1618</v>
      </c>
      <c r="F18" t="s">
        <v>12</v>
      </c>
      <c r="G18" t="s">
        <v>1621</v>
      </c>
      <c r="H18" t="s">
        <v>336</v>
      </c>
      <c r="I18" s="17">
        <f t="shared" ca="1" si="0"/>
        <v>230</v>
      </c>
      <c r="J18" t="str">
        <f t="shared" ca="1" si="1"/>
        <v>On Track</v>
      </c>
    </row>
    <row r="19" spans="1:10">
      <c r="A19" t="s">
        <v>1638</v>
      </c>
      <c r="B19" t="s">
        <v>168</v>
      </c>
      <c r="C19" s="4">
        <v>45888</v>
      </c>
      <c r="D19" s="5">
        <v>14346.01</v>
      </c>
      <c r="E19" t="s">
        <v>1614</v>
      </c>
      <c r="F19" t="s">
        <v>9</v>
      </c>
      <c r="G19" t="s">
        <v>1612</v>
      </c>
      <c r="H19" t="s">
        <v>322</v>
      </c>
      <c r="I19" s="17">
        <f t="shared" ca="1" si="0"/>
        <v>262</v>
      </c>
      <c r="J19" t="str">
        <f t="shared" ca="1" si="1"/>
        <v>Delayed</v>
      </c>
    </row>
    <row r="20" spans="1:10">
      <c r="A20" t="s">
        <v>1639</v>
      </c>
      <c r="B20" t="s">
        <v>80</v>
      </c>
      <c r="C20" s="4">
        <v>45979</v>
      </c>
      <c r="D20" s="5">
        <v>25274.03</v>
      </c>
      <c r="E20" t="s">
        <v>1618</v>
      </c>
      <c r="F20" t="s">
        <v>9</v>
      </c>
      <c r="G20" t="s">
        <v>1619</v>
      </c>
      <c r="H20" t="s">
        <v>322</v>
      </c>
      <c r="I20" s="17">
        <f t="shared" ca="1" si="0"/>
        <v>171</v>
      </c>
      <c r="J20" t="str">
        <f t="shared" ca="1" si="1"/>
        <v>On Track</v>
      </c>
    </row>
    <row r="21" spans="1:10">
      <c r="A21" t="s">
        <v>1640</v>
      </c>
      <c r="B21" t="s">
        <v>248</v>
      </c>
      <c r="C21" s="4">
        <v>46136</v>
      </c>
      <c r="D21" s="5">
        <v>111263.87</v>
      </c>
      <c r="E21" t="s">
        <v>1611</v>
      </c>
      <c r="F21" t="s">
        <v>9</v>
      </c>
      <c r="G21" t="s">
        <v>1632</v>
      </c>
      <c r="H21" t="s">
        <v>336</v>
      </c>
      <c r="I21" s="17">
        <f t="shared" ca="1" si="0"/>
        <v>14</v>
      </c>
      <c r="J21" t="str">
        <f t="shared" ca="1" si="1"/>
        <v>On Track</v>
      </c>
    </row>
    <row r="22" spans="1:10">
      <c r="A22" t="s">
        <v>1641</v>
      </c>
      <c r="B22" t="s">
        <v>351</v>
      </c>
      <c r="C22" s="4">
        <v>46089</v>
      </c>
      <c r="D22" s="5">
        <v>26421.34</v>
      </c>
      <c r="E22" t="s">
        <v>1618</v>
      </c>
      <c r="F22" t="s">
        <v>9</v>
      </c>
      <c r="G22" t="s">
        <v>1619</v>
      </c>
      <c r="H22" t="s">
        <v>327</v>
      </c>
      <c r="I22" s="17">
        <f t="shared" ca="1" si="0"/>
        <v>61</v>
      </c>
      <c r="J22" t="str">
        <f t="shared" ca="1" si="1"/>
        <v>On Track</v>
      </c>
    </row>
    <row r="23" spans="1:10">
      <c r="A23" t="s">
        <v>1642</v>
      </c>
      <c r="B23" t="s">
        <v>245</v>
      </c>
      <c r="C23" s="4">
        <v>45907</v>
      </c>
      <c r="D23" s="5">
        <v>238563.34</v>
      </c>
      <c r="E23" t="s">
        <v>1618</v>
      </c>
      <c r="F23" t="s">
        <v>9</v>
      </c>
      <c r="G23" t="s">
        <v>1612</v>
      </c>
      <c r="H23" t="s">
        <v>327</v>
      </c>
      <c r="I23" s="17">
        <f t="shared" ca="1" si="0"/>
        <v>243</v>
      </c>
      <c r="J23" t="str">
        <f t="shared" ca="1" si="1"/>
        <v>On Track</v>
      </c>
    </row>
    <row r="24" spans="1:10">
      <c r="A24" t="s">
        <v>1643</v>
      </c>
      <c r="B24" t="s">
        <v>74</v>
      </c>
      <c r="C24" s="4">
        <v>46027</v>
      </c>
      <c r="D24" s="5">
        <v>59120.639999999999</v>
      </c>
      <c r="E24" t="s">
        <v>1624</v>
      </c>
      <c r="F24" t="s">
        <v>9</v>
      </c>
      <c r="G24" t="s">
        <v>1612</v>
      </c>
      <c r="H24" t="s">
        <v>336</v>
      </c>
      <c r="I24" s="17">
        <f t="shared" ca="1" si="0"/>
        <v>123</v>
      </c>
      <c r="J24" t="str">
        <f t="shared" ca="1" si="1"/>
        <v>Delayed</v>
      </c>
    </row>
    <row r="25" spans="1:10">
      <c r="A25" t="s">
        <v>1644</v>
      </c>
      <c r="B25" t="s">
        <v>118</v>
      </c>
      <c r="C25" s="4">
        <v>46101</v>
      </c>
      <c r="D25" s="5">
        <v>80600.55</v>
      </c>
      <c r="E25" t="s">
        <v>1624</v>
      </c>
      <c r="F25" t="s">
        <v>9</v>
      </c>
      <c r="G25" t="s">
        <v>1632</v>
      </c>
      <c r="H25" t="s">
        <v>322</v>
      </c>
      <c r="I25" s="17">
        <f t="shared" ca="1" si="0"/>
        <v>49</v>
      </c>
      <c r="J25" t="str">
        <f t="shared" ca="1" si="1"/>
        <v>Delayed</v>
      </c>
    </row>
    <row r="26" spans="1:10">
      <c r="A26" t="s">
        <v>1645</v>
      </c>
      <c r="B26" t="s">
        <v>351</v>
      </c>
      <c r="C26" s="4">
        <v>46049</v>
      </c>
      <c r="D26" s="5">
        <v>32713.02</v>
      </c>
      <c r="E26" t="s">
        <v>1614</v>
      </c>
      <c r="F26" t="s">
        <v>9</v>
      </c>
      <c r="G26" t="s">
        <v>1632</v>
      </c>
      <c r="H26" t="s">
        <v>336</v>
      </c>
      <c r="I26" s="17">
        <f t="shared" ca="1" si="0"/>
        <v>101</v>
      </c>
      <c r="J26" t="str">
        <f t="shared" ca="1" si="1"/>
        <v>Delayed</v>
      </c>
    </row>
    <row r="27" spans="1:10">
      <c r="A27" t="s">
        <v>1646</v>
      </c>
      <c r="B27" t="s">
        <v>262</v>
      </c>
      <c r="C27" s="4">
        <v>46095</v>
      </c>
      <c r="D27" s="5">
        <v>26715.040000000001</v>
      </c>
      <c r="E27" t="s">
        <v>1614</v>
      </c>
      <c r="F27" t="s">
        <v>12</v>
      </c>
      <c r="G27" t="s">
        <v>1615</v>
      </c>
      <c r="H27" t="s">
        <v>336</v>
      </c>
      <c r="I27" s="17">
        <f t="shared" ca="1" si="0"/>
        <v>55</v>
      </c>
      <c r="J27" t="str">
        <f t="shared" ca="1" si="1"/>
        <v>Delayed</v>
      </c>
    </row>
    <row r="28" spans="1:10">
      <c r="A28" t="s">
        <v>1647</v>
      </c>
      <c r="B28" t="s">
        <v>273</v>
      </c>
      <c r="C28" s="4">
        <v>46055</v>
      </c>
      <c r="D28" s="5">
        <v>210521.62</v>
      </c>
      <c r="E28" t="s">
        <v>1611</v>
      </c>
      <c r="F28" t="s">
        <v>9</v>
      </c>
      <c r="G28" t="s">
        <v>1619</v>
      </c>
      <c r="H28" t="s">
        <v>336</v>
      </c>
      <c r="I28" s="17">
        <f t="shared" ca="1" si="0"/>
        <v>95</v>
      </c>
      <c r="J28" t="str">
        <f t="shared" ca="1" si="1"/>
        <v>Delayed</v>
      </c>
    </row>
    <row r="29" spans="1:10">
      <c r="A29" t="s">
        <v>1648</v>
      </c>
      <c r="B29" t="s">
        <v>351</v>
      </c>
      <c r="C29" s="4">
        <v>46131</v>
      </c>
      <c r="D29" s="5">
        <v>129307.62</v>
      </c>
      <c r="E29" t="s">
        <v>1624</v>
      </c>
      <c r="F29" t="s">
        <v>9</v>
      </c>
      <c r="G29" t="s">
        <v>1621</v>
      </c>
      <c r="H29" t="s">
        <v>322</v>
      </c>
      <c r="I29" s="17">
        <f t="shared" ca="1" si="0"/>
        <v>19</v>
      </c>
      <c r="J29" t="str">
        <f t="shared" ca="1" si="1"/>
        <v>On Track</v>
      </c>
    </row>
    <row r="30" spans="1:10">
      <c r="A30" t="s">
        <v>1649</v>
      </c>
      <c r="B30" t="s">
        <v>103</v>
      </c>
      <c r="C30" s="4">
        <v>46003</v>
      </c>
      <c r="D30" s="5">
        <v>15852.51</v>
      </c>
      <c r="E30" t="s">
        <v>1624</v>
      </c>
      <c r="F30" t="s">
        <v>12</v>
      </c>
      <c r="G30" t="s">
        <v>1612</v>
      </c>
      <c r="H30" t="s">
        <v>322</v>
      </c>
      <c r="I30" s="17">
        <f t="shared" ca="1" si="0"/>
        <v>147</v>
      </c>
      <c r="J30" t="str">
        <f t="shared" ca="1" si="1"/>
        <v>Delayed</v>
      </c>
    </row>
    <row r="31" spans="1:10">
      <c r="A31" t="s">
        <v>1650</v>
      </c>
      <c r="B31" t="s">
        <v>120</v>
      </c>
      <c r="C31" s="4">
        <v>45994</v>
      </c>
      <c r="D31" s="5">
        <v>134732.69</v>
      </c>
      <c r="E31" t="s">
        <v>1618</v>
      </c>
      <c r="F31" t="s">
        <v>9</v>
      </c>
      <c r="G31" t="s">
        <v>1612</v>
      </c>
      <c r="H31" t="s">
        <v>336</v>
      </c>
      <c r="I31" s="17">
        <f t="shared" ca="1" si="0"/>
        <v>156</v>
      </c>
      <c r="J31" t="str">
        <f t="shared" ca="1" si="1"/>
        <v>On Track</v>
      </c>
    </row>
    <row r="32" spans="1:10">
      <c r="A32" t="s">
        <v>1651</v>
      </c>
      <c r="B32" t="s">
        <v>67</v>
      </c>
      <c r="C32" s="4">
        <v>45950</v>
      </c>
      <c r="D32" s="5">
        <v>86913.64</v>
      </c>
      <c r="E32" t="s">
        <v>1629</v>
      </c>
      <c r="F32" t="s">
        <v>12</v>
      </c>
      <c r="G32" t="s">
        <v>1619</v>
      </c>
      <c r="H32" t="s">
        <v>336</v>
      </c>
      <c r="I32" s="17">
        <f t="shared" ca="1" si="0"/>
        <v>200</v>
      </c>
      <c r="J32" t="str">
        <f t="shared" ca="1" si="1"/>
        <v>Delayed</v>
      </c>
    </row>
    <row r="33" spans="1:10">
      <c r="A33" t="s">
        <v>1652</v>
      </c>
      <c r="B33" t="s">
        <v>227</v>
      </c>
      <c r="C33" s="4">
        <v>46105</v>
      </c>
      <c r="D33" s="5">
        <v>158745.01</v>
      </c>
      <c r="E33" t="s">
        <v>1611</v>
      </c>
      <c r="F33" t="s">
        <v>9</v>
      </c>
      <c r="G33" t="s">
        <v>1615</v>
      </c>
      <c r="H33" t="s">
        <v>336</v>
      </c>
      <c r="I33" s="17">
        <f t="shared" ca="1" si="0"/>
        <v>45</v>
      </c>
      <c r="J33" t="str">
        <f t="shared" ca="1" si="1"/>
        <v>Delayed</v>
      </c>
    </row>
    <row r="34" spans="1:10">
      <c r="A34" t="s">
        <v>1653</v>
      </c>
      <c r="B34" t="s">
        <v>99</v>
      </c>
      <c r="C34" s="4">
        <v>45912</v>
      </c>
      <c r="D34" s="5">
        <v>67692.86</v>
      </c>
      <c r="E34" t="s">
        <v>1614</v>
      </c>
      <c r="F34" t="s">
        <v>9</v>
      </c>
      <c r="G34" t="s">
        <v>1621</v>
      </c>
      <c r="H34" t="s">
        <v>336</v>
      </c>
      <c r="I34" s="17">
        <f t="shared" ca="1" si="0"/>
        <v>238</v>
      </c>
      <c r="J34" t="str">
        <f t="shared" ca="1" si="1"/>
        <v>Delayed</v>
      </c>
    </row>
    <row r="35" spans="1:10">
      <c r="A35" t="s">
        <v>1654</v>
      </c>
      <c r="B35" t="s">
        <v>32</v>
      </c>
      <c r="C35" s="4">
        <v>46074</v>
      </c>
      <c r="D35" s="5">
        <v>58927.360000000001</v>
      </c>
      <c r="E35" t="s">
        <v>1611</v>
      </c>
      <c r="F35" t="s">
        <v>9</v>
      </c>
      <c r="G35" t="s">
        <v>1621</v>
      </c>
      <c r="H35" t="s">
        <v>327</v>
      </c>
      <c r="I35" s="17">
        <f t="shared" ca="1" si="0"/>
        <v>76</v>
      </c>
      <c r="J35" t="str">
        <f t="shared" ca="1" si="1"/>
        <v>Delayed</v>
      </c>
    </row>
    <row r="36" spans="1:10">
      <c r="A36" t="s">
        <v>1655</v>
      </c>
      <c r="B36" t="s">
        <v>232</v>
      </c>
      <c r="C36" s="4">
        <v>46112</v>
      </c>
      <c r="D36" s="5">
        <v>11175.38</v>
      </c>
      <c r="E36" t="s">
        <v>1611</v>
      </c>
      <c r="F36" t="s">
        <v>9</v>
      </c>
      <c r="G36" t="s">
        <v>1621</v>
      </c>
      <c r="H36" t="s">
        <v>327</v>
      </c>
      <c r="I36" s="17">
        <f t="shared" ca="1" si="0"/>
        <v>38</v>
      </c>
      <c r="J36" t="str">
        <f t="shared" ca="1" si="1"/>
        <v>Delayed</v>
      </c>
    </row>
    <row r="37" spans="1:10">
      <c r="A37" t="s">
        <v>1656</v>
      </c>
      <c r="B37" t="s">
        <v>29</v>
      </c>
      <c r="C37" s="4">
        <v>45978</v>
      </c>
      <c r="D37" s="5">
        <v>43218.26</v>
      </c>
      <c r="E37" t="s">
        <v>1631</v>
      </c>
      <c r="F37" t="s">
        <v>9</v>
      </c>
      <c r="G37" t="s">
        <v>1621</v>
      </c>
      <c r="H37" t="s">
        <v>327</v>
      </c>
      <c r="I37" s="17">
        <f t="shared" ca="1" si="0"/>
        <v>172</v>
      </c>
      <c r="J37" t="str">
        <f t="shared" ca="1" si="1"/>
        <v>Delayed</v>
      </c>
    </row>
    <row r="38" spans="1:10">
      <c r="A38" t="s">
        <v>1657</v>
      </c>
      <c r="B38" t="s">
        <v>56</v>
      </c>
      <c r="C38" s="4">
        <v>46054</v>
      </c>
      <c r="D38" s="5">
        <v>95417.37</v>
      </c>
      <c r="E38" t="s">
        <v>1624</v>
      </c>
      <c r="F38" t="s">
        <v>9</v>
      </c>
      <c r="G38" t="s">
        <v>1619</v>
      </c>
      <c r="H38" t="s">
        <v>327</v>
      </c>
      <c r="I38" s="17">
        <f t="shared" ca="1" si="0"/>
        <v>96</v>
      </c>
      <c r="J38" t="str">
        <f t="shared" ca="1" si="1"/>
        <v>Delayed</v>
      </c>
    </row>
    <row r="39" spans="1:10">
      <c r="A39" t="s">
        <v>1658</v>
      </c>
      <c r="B39" t="s">
        <v>96</v>
      </c>
      <c r="C39" s="4">
        <v>46085</v>
      </c>
      <c r="D39" s="5">
        <v>92204.23</v>
      </c>
      <c r="E39" t="s">
        <v>1618</v>
      </c>
      <c r="F39" t="s">
        <v>12</v>
      </c>
      <c r="G39" t="s">
        <v>1612</v>
      </c>
      <c r="H39" t="s">
        <v>336</v>
      </c>
      <c r="I39" s="17">
        <f t="shared" ca="1" si="0"/>
        <v>65</v>
      </c>
      <c r="J39" t="str">
        <f t="shared" ca="1" si="1"/>
        <v>On Track</v>
      </c>
    </row>
    <row r="40" spans="1:10">
      <c r="A40" t="s">
        <v>1659</v>
      </c>
      <c r="B40" t="s">
        <v>110</v>
      </c>
      <c r="C40" s="4">
        <v>45910</v>
      </c>
      <c r="D40" s="5">
        <v>79540.009999999995</v>
      </c>
      <c r="E40" t="s">
        <v>1618</v>
      </c>
      <c r="F40" t="s">
        <v>9</v>
      </c>
      <c r="G40" t="s">
        <v>1615</v>
      </c>
      <c r="H40" t="s">
        <v>327</v>
      </c>
      <c r="I40" s="17">
        <f t="shared" ca="1" si="0"/>
        <v>240</v>
      </c>
      <c r="J40" t="str">
        <f t="shared" ca="1" si="1"/>
        <v>On Track</v>
      </c>
    </row>
    <row r="41" spans="1:10">
      <c r="A41" t="s">
        <v>1660</v>
      </c>
      <c r="B41" t="s">
        <v>147</v>
      </c>
      <c r="C41" s="4">
        <v>46001</v>
      </c>
      <c r="D41" s="5">
        <v>32522.05</v>
      </c>
      <c r="E41" t="s">
        <v>1631</v>
      </c>
      <c r="F41" t="s">
        <v>9</v>
      </c>
      <c r="G41" t="s">
        <v>1621</v>
      </c>
      <c r="H41" t="s">
        <v>336</v>
      </c>
      <c r="I41" s="17">
        <f t="shared" ca="1" si="0"/>
        <v>149</v>
      </c>
      <c r="J41" t="str">
        <f t="shared" ca="1" si="1"/>
        <v>Delayed</v>
      </c>
    </row>
    <row r="42" spans="1:10">
      <c r="A42" t="s">
        <v>1661</v>
      </c>
      <c r="B42" t="s">
        <v>124</v>
      </c>
      <c r="C42" s="4">
        <v>46021</v>
      </c>
      <c r="D42" s="5">
        <v>9899.93</v>
      </c>
      <c r="E42" t="s">
        <v>1611</v>
      </c>
      <c r="F42" t="s">
        <v>9</v>
      </c>
      <c r="G42" t="s">
        <v>1621</v>
      </c>
      <c r="H42" t="s">
        <v>322</v>
      </c>
      <c r="I42" s="17">
        <f t="shared" ca="1" si="0"/>
        <v>129</v>
      </c>
      <c r="J42" t="str">
        <f t="shared" ca="1" si="1"/>
        <v>Delayed</v>
      </c>
    </row>
    <row r="43" spans="1:10">
      <c r="A43" t="s">
        <v>1662</v>
      </c>
      <c r="B43" t="s">
        <v>27</v>
      </c>
      <c r="C43" s="4">
        <v>45951</v>
      </c>
      <c r="D43" s="5">
        <v>260671.83</v>
      </c>
      <c r="E43" t="s">
        <v>1611</v>
      </c>
      <c r="F43" t="s">
        <v>9</v>
      </c>
      <c r="G43" t="s">
        <v>1615</v>
      </c>
      <c r="H43" t="s">
        <v>336</v>
      </c>
      <c r="I43" s="17">
        <f t="shared" ca="1" si="0"/>
        <v>199</v>
      </c>
      <c r="J43" t="str">
        <f t="shared" ca="1" si="1"/>
        <v>Delayed</v>
      </c>
    </row>
    <row r="44" spans="1:10">
      <c r="A44" t="s">
        <v>1663</v>
      </c>
      <c r="B44" t="s">
        <v>73</v>
      </c>
      <c r="C44" s="4">
        <v>45874</v>
      </c>
      <c r="D44" s="5">
        <v>88259.15</v>
      </c>
      <c r="E44" t="s">
        <v>1629</v>
      </c>
      <c r="F44" t="s">
        <v>12</v>
      </c>
      <c r="G44" t="s">
        <v>1619</v>
      </c>
      <c r="H44" t="s">
        <v>327</v>
      </c>
      <c r="I44" s="17">
        <f t="shared" ca="1" si="0"/>
        <v>276</v>
      </c>
      <c r="J44" t="str">
        <f t="shared" ca="1" si="1"/>
        <v>Delayed</v>
      </c>
    </row>
    <row r="45" spans="1:10">
      <c r="A45" t="s">
        <v>1664</v>
      </c>
      <c r="B45" t="s">
        <v>170</v>
      </c>
      <c r="C45" s="4">
        <v>46165</v>
      </c>
      <c r="D45" s="5">
        <v>155250.35999999999</v>
      </c>
      <c r="E45" t="s">
        <v>1611</v>
      </c>
      <c r="F45" t="s">
        <v>9</v>
      </c>
      <c r="G45" t="s">
        <v>1632</v>
      </c>
      <c r="H45" t="s">
        <v>327</v>
      </c>
      <c r="I45" s="17">
        <f t="shared" ca="1" si="0"/>
        <v>-15</v>
      </c>
      <c r="J45" t="str">
        <f t="shared" ca="1" si="1"/>
        <v>On Track</v>
      </c>
    </row>
    <row r="46" spans="1:10">
      <c r="A46" t="s">
        <v>1665</v>
      </c>
      <c r="B46" t="s">
        <v>18</v>
      </c>
      <c r="C46" s="4">
        <v>46103</v>
      </c>
      <c r="D46" s="5">
        <v>273372.28999999998</v>
      </c>
      <c r="E46" t="s">
        <v>1618</v>
      </c>
      <c r="F46" t="s">
        <v>9</v>
      </c>
      <c r="G46" t="s">
        <v>1621</v>
      </c>
      <c r="H46" t="s">
        <v>336</v>
      </c>
      <c r="I46" s="17">
        <f t="shared" ca="1" si="0"/>
        <v>47</v>
      </c>
      <c r="J46" t="str">
        <f t="shared" ca="1" si="1"/>
        <v>On Track</v>
      </c>
    </row>
    <row r="47" spans="1:10">
      <c r="A47" t="s">
        <v>1666</v>
      </c>
      <c r="B47" t="s">
        <v>248</v>
      </c>
      <c r="C47" s="4">
        <v>45870</v>
      </c>
      <c r="D47" s="5">
        <v>117148.28</v>
      </c>
      <c r="E47" t="s">
        <v>1624</v>
      </c>
      <c r="F47" t="s">
        <v>9</v>
      </c>
      <c r="G47" t="s">
        <v>1621</v>
      </c>
      <c r="H47" t="s">
        <v>322</v>
      </c>
      <c r="I47" s="17">
        <f t="shared" ca="1" si="0"/>
        <v>280</v>
      </c>
      <c r="J47" t="str">
        <f t="shared" ca="1" si="1"/>
        <v>Delayed</v>
      </c>
    </row>
    <row r="48" spans="1:10">
      <c r="A48" t="s">
        <v>1667</v>
      </c>
      <c r="B48" t="s">
        <v>163</v>
      </c>
      <c r="C48" s="4">
        <v>45918</v>
      </c>
      <c r="D48" s="5">
        <v>38505.19</v>
      </c>
      <c r="E48" t="s">
        <v>1618</v>
      </c>
      <c r="F48" t="s">
        <v>9</v>
      </c>
      <c r="G48" t="s">
        <v>1615</v>
      </c>
      <c r="H48" t="s">
        <v>327</v>
      </c>
      <c r="I48" s="17">
        <f t="shared" ca="1" si="0"/>
        <v>232</v>
      </c>
      <c r="J48" t="str">
        <f t="shared" ca="1" si="1"/>
        <v>On Track</v>
      </c>
    </row>
    <row r="49" spans="1:10">
      <c r="A49" t="s">
        <v>1668</v>
      </c>
      <c r="B49" t="s">
        <v>108</v>
      </c>
      <c r="C49" s="4">
        <v>46062</v>
      </c>
      <c r="D49" s="5">
        <v>82531.19</v>
      </c>
      <c r="E49" t="s">
        <v>1614</v>
      </c>
      <c r="F49" t="s">
        <v>9</v>
      </c>
      <c r="G49" t="s">
        <v>1615</v>
      </c>
      <c r="H49" t="s">
        <v>327</v>
      </c>
      <c r="I49" s="17">
        <f t="shared" ca="1" si="0"/>
        <v>88</v>
      </c>
      <c r="J49" t="str">
        <f t="shared" ca="1" si="1"/>
        <v>Delayed</v>
      </c>
    </row>
    <row r="50" spans="1:10">
      <c r="A50" t="s">
        <v>1669</v>
      </c>
      <c r="B50" t="s">
        <v>91</v>
      </c>
      <c r="C50" s="4">
        <v>46055</v>
      </c>
      <c r="D50" s="5">
        <v>14194.46</v>
      </c>
      <c r="E50" t="s">
        <v>1629</v>
      </c>
      <c r="F50" t="s">
        <v>12</v>
      </c>
      <c r="G50" t="s">
        <v>1615</v>
      </c>
      <c r="H50" t="s">
        <v>327</v>
      </c>
      <c r="I50" s="17">
        <f t="shared" ca="1" si="0"/>
        <v>95</v>
      </c>
      <c r="J50" t="str">
        <f t="shared" ca="1" si="1"/>
        <v>Delayed</v>
      </c>
    </row>
    <row r="51" spans="1:10">
      <c r="A51" t="s">
        <v>1670</v>
      </c>
      <c r="B51" t="s">
        <v>232</v>
      </c>
      <c r="C51" s="4">
        <v>46124</v>
      </c>
      <c r="D51" s="5">
        <v>32436.37</v>
      </c>
      <c r="E51" t="s">
        <v>1611</v>
      </c>
      <c r="F51" t="s">
        <v>9</v>
      </c>
      <c r="G51" t="s">
        <v>1632</v>
      </c>
      <c r="H51" t="s">
        <v>322</v>
      </c>
      <c r="I51" s="17">
        <f t="shared" ca="1" si="0"/>
        <v>26</v>
      </c>
      <c r="J51" t="str">
        <f t="shared" ca="1" si="1"/>
        <v>On Track</v>
      </c>
    </row>
    <row r="52" spans="1:10">
      <c r="A52" t="s">
        <v>1671</v>
      </c>
      <c r="B52" t="s">
        <v>208</v>
      </c>
      <c r="C52" s="4">
        <v>46136</v>
      </c>
      <c r="D52" s="5">
        <v>154273.25</v>
      </c>
      <c r="E52" t="s">
        <v>1611</v>
      </c>
      <c r="F52" t="s">
        <v>9</v>
      </c>
      <c r="G52" t="s">
        <v>1621</v>
      </c>
      <c r="H52" t="s">
        <v>336</v>
      </c>
      <c r="I52" s="17">
        <f t="shared" ca="1" si="0"/>
        <v>14</v>
      </c>
      <c r="J52" t="str">
        <f t="shared" ca="1" si="1"/>
        <v>On Track</v>
      </c>
    </row>
    <row r="53" spans="1:10">
      <c r="A53" t="s">
        <v>1672</v>
      </c>
      <c r="B53" t="s">
        <v>91</v>
      </c>
      <c r="C53" s="4">
        <v>45959</v>
      </c>
      <c r="D53" s="5">
        <v>55845.43</v>
      </c>
      <c r="E53" t="s">
        <v>1614</v>
      </c>
      <c r="F53" t="s">
        <v>9</v>
      </c>
      <c r="G53" t="s">
        <v>1632</v>
      </c>
      <c r="H53" t="s">
        <v>322</v>
      </c>
      <c r="I53" s="17">
        <f t="shared" ca="1" si="0"/>
        <v>191</v>
      </c>
      <c r="J53" t="str">
        <f t="shared" ca="1" si="1"/>
        <v>Delayed</v>
      </c>
    </row>
    <row r="54" spans="1:10">
      <c r="A54" t="s">
        <v>1673</v>
      </c>
      <c r="B54" t="s">
        <v>27</v>
      </c>
      <c r="C54" s="4">
        <v>46092</v>
      </c>
      <c r="D54" s="5">
        <v>184356.81</v>
      </c>
      <c r="E54" t="s">
        <v>1618</v>
      </c>
      <c r="F54" t="s">
        <v>9</v>
      </c>
      <c r="G54" t="s">
        <v>1612</v>
      </c>
      <c r="H54" t="s">
        <v>327</v>
      </c>
      <c r="I54" s="17">
        <f t="shared" ca="1" si="0"/>
        <v>58</v>
      </c>
      <c r="J54" t="str">
        <f t="shared" ca="1" si="1"/>
        <v>On Track</v>
      </c>
    </row>
    <row r="55" spans="1:10">
      <c r="A55" t="s">
        <v>1674</v>
      </c>
      <c r="B55" t="s">
        <v>61</v>
      </c>
      <c r="C55" s="4">
        <v>45922</v>
      </c>
      <c r="D55" s="5">
        <v>25160.240000000002</v>
      </c>
      <c r="E55" t="s">
        <v>1631</v>
      </c>
      <c r="F55" t="s">
        <v>9</v>
      </c>
      <c r="G55" t="s">
        <v>1612</v>
      </c>
      <c r="H55" t="s">
        <v>336</v>
      </c>
      <c r="I55" s="17">
        <f t="shared" ca="1" si="0"/>
        <v>228</v>
      </c>
      <c r="J55" t="str">
        <f t="shared" ca="1" si="1"/>
        <v>Delayed</v>
      </c>
    </row>
    <row r="56" spans="1:10">
      <c r="A56" t="s">
        <v>1675</v>
      </c>
      <c r="B56" t="s">
        <v>260</v>
      </c>
      <c r="C56" s="4">
        <v>46147</v>
      </c>
      <c r="D56" s="5">
        <v>59761.8</v>
      </c>
      <c r="E56" t="s">
        <v>1611</v>
      </c>
      <c r="F56" t="s">
        <v>9</v>
      </c>
      <c r="G56" t="s">
        <v>1612</v>
      </c>
      <c r="H56" t="s">
        <v>322</v>
      </c>
      <c r="I56" s="17">
        <f t="shared" ca="1" si="0"/>
        <v>3</v>
      </c>
      <c r="J56" t="str">
        <f t="shared" ca="1" si="1"/>
        <v>On Track</v>
      </c>
    </row>
    <row r="57" spans="1:10">
      <c r="A57" t="s">
        <v>1676</v>
      </c>
      <c r="B57" t="s">
        <v>144</v>
      </c>
      <c r="C57" s="4">
        <v>46084</v>
      </c>
      <c r="D57" s="5">
        <v>86614.94</v>
      </c>
      <c r="E57" t="s">
        <v>1618</v>
      </c>
      <c r="F57" t="s">
        <v>9</v>
      </c>
      <c r="G57" t="s">
        <v>1612</v>
      </c>
      <c r="H57" t="s">
        <v>327</v>
      </c>
      <c r="I57" s="17">
        <f t="shared" ca="1" si="0"/>
        <v>66</v>
      </c>
      <c r="J57" t="str">
        <f t="shared" ca="1" si="1"/>
        <v>On Track</v>
      </c>
    </row>
    <row r="58" spans="1:10">
      <c r="A58" t="s">
        <v>1677</v>
      </c>
      <c r="B58" t="s">
        <v>204</v>
      </c>
      <c r="C58" s="4">
        <v>46109</v>
      </c>
      <c r="D58" s="5">
        <v>168915.01</v>
      </c>
      <c r="E58" t="s">
        <v>1611</v>
      </c>
      <c r="F58" t="s">
        <v>9</v>
      </c>
      <c r="G58" t="s">
        <v>1621</v>
      </c>
      <c r="H58" t="s">
        <v>336</v>
      </c>
      <c r="I58" s="17">
        <f t="shared" ca="1" si="0"/>
        <v>41</v>
      </c>
      <c r="J58" t="str">
        <f t="shared" ca="1" si="1"/>
        <v>Delayed</v>
      </c>
    </row>
    <row r="59" spans="1:10">
      <c r="A59" t="s">
        <v>1678</v>
      </c>
      <c r="B59" t="s">
        <v>14</v>
      </c>
      <c r="C59" s="4">
        <v>46071</v>
      </c>
      <c r="D59" s="5">
        <v>19867.349999999999</v>
      </c>
      <c r="E59" t="s">
        <v>1611</v>
      </c>
      <c r="F59" t="s">
        <v>9</v>
      </c>
      <c r="G59" t="s">
        <v>1632</v>
      </c>
      <c r="H59" t="s">
        <v>336</v>
      </c>
      <c r="I59" s="17">
        <f t="shared" ca="1" si="0"/>
        <v>79</v>
      </c>
      <c r="J59" t="str">
        <f t="shared" ca="1" si="1"/>
        <v>Delayed</v>
      </c>
    </row>
    <row r="60" spans="1:10">
      <c r="A60" t="s">
        <v>1679</v>
      </c>
      <c r="B60" t="s">
        <v>164</v>
      </c>
      <c r="C60" s="4">
        <v>46004</v>
      </c>
      <c r="D60" s="5">
        <v>59807.79</v>
      </c>
      <c r="E60" t="s">
        <v>1624</v>
      </c>
      <c r="F60" t="s">
        <v>9</v>
      </c>
      <c r="G60" t="s">
        <v>1619</v>
      </c>
      <c r="H60" t="s">
        <v>327</v>
      </c>
      <c r="I60" s="17">
        <f t="shared" ca="1" si="0"/>
        <v>146</v>
      </c>
      <c r="J60" t="str">
        <f t="shared" ca="1" si="1"/>
        <v>Delayed</v>
      </c>
    </row>
    <row r="61" spans="1:10">
      <c r="A61" t="s">
        <v>1680</v>
      </c>
      <c r="B61" t="s">
        <v>38</v>
      </c>
      <c r="C61" s="4">
        <v>46081</v>
      </c>
      <c r="D61" s="5">
        <v>7747.7</v>
      </c>
      <c r="E61" t="s">
        <v>1631</v>
      </c>
      <c r="F61" t="s">
        <v>9</v>
      </c>
      <c r="G61" t="s">
        <v>1615</v>
      </c>
      <c r="H61" t="s">
        <v>322</v>
      </c>
      <c r="I61" s="17">
        <f t="shared" ca="1" si="0"/>
        <v>69</v>
      </c>
      <c r="J61" t="str">
        <f t="shared" ca="1" si="1"/>
        <v>Delayed</v>
      </c>
    </row>
    <row r="62" spans="1:10">
      <c r="A62" t="s">
        <v>1681</v>
      </c>
      <c r="B62" t="s">
        <v>108</v>
      </c>
      <c r="C62" s="4">
        <v>46031</v>
      </c>
      <c r="D62" s="5">
        <v>108176.97</v>
      </c>
      <c r="E62" t="s">
        <v>1624</v>
      </c>
      <c r="F62" t="s">
        <v>9</v>
      </c>
      <c r="G62" t="s">
        <v>1619</v>
      </c>
      <c r="H62" t="s">
        <v>322</v>
      </c>
      <c r="I62" s="17">
        <f t="shared" ca="1" si="0"/>
        <v>119</v>
      </c>
      <c r="J62" t="str">
        <f t="shared" ca="1" si="1"/>
        <v>Delayed</v>
      </c>
    </row>
    <row r="63" spans="1:10">
      <c r="A63" t="s">
        <v>1682</v>
      </c>
      <c r="B63" t="s">
        <v>21</v>
      </c>
      <c r="C63" s="4">
        <v>45967</v>
      </c>
      <c r="D63" s="5">
        <v>113351.39</v>
      </c>
      <c r="E63" t="s">
        <v>1611</v>
      </c>
      <c r="F63" t="s">
        <v>12</v>
      </c>
      <c r="G63" t="s">
        <v>1615</v>
      </c>
      <c r="H63" t="s">
        <v>336</v>
      </c>
      <c r="I63" s="17">
        <f t="shared" ca="1" si="0"/>
        <v>183</v>
      </c>
      <c r="J63" t="str">
        <f t="shared" ca="1" si="1"/>
        <v>Delayed</v>
      </c>
    </row>
    <row r="64" spans="1:10">
      <c r="A64" t="s">
        <v>1683</v>
      </c>
      <c r="B64" t="s">
        <v>53</v>
      </c>
      <c r="C64" s="4">
        <v>46068</v>
      </c>
      <c r="D64" s="5">
        <v>233611.87</v>
      </c>
      <c r="E64" t="s">
        <v>1614</v>
      </c>
      <c r="F64" t="s">
        <v>9</v>
      </c>
      <c r="G64" t="s">
        <v>1615</v>
      </c>
      <c r="H64" t="s">
        <v>327</v>
      </c>
      <c r="I64" s="17">
        <f t="shared" ca="1" si="0"/>
        <v>82</v>
      </c>
      <c r="J64" t="str">
        <f t="shared" ca="1" si="1"/>
        <v>Delayed</v>
      </c>
    </row>
    <row r="65" spans="1:10">
      <c r="A65" t="s">
        <v>1684</v>
      </c>
      <c r="B65" t="s">
        <v>286</v>
      </c>
      <c r="C65" s="4">
        <v>45987</v>
      </c>
      <c r="D65" s="5">
        <v>58582.81</v>
      </c>
      <c r="E65" t="s">
        <v>1629</v>
      </c>
      <c r="F65" t="s">
        <v>12</v>
      </c>
      <c r="G65" t="s">
        <v>1615</v>
      </c>
      <c r="H65" t="s">
        <v>327</v>
      </c>
      <c r="I65" s="17">
        <f t="shared" ca="1" si="0"/>
        <v>163</v>
      </c>
      <c r="J65" t="str">
        <f t="shared" ca="1" si="1"/>
        <v>Delayed</v>
      </c>
    </row>
    <row r="66" spans="1:10">
      <c r="A66" t="s">
        <v>1685</v>
      </c>
      <c r="B66" t="s">
        <v>140</v>
      </c>
      <c r="C66" s="4">
        <v>46164</v>
      </c>
      <c r="D66" s="5">
        <v>177598.09</v>
      </c>
      <c r="E66" t="s">
        <v>1629</v>
      </c>
      <c r="F66" t="s">
        <v>12</v>
      </c>
      <c r="G66" t="s">
        <v>1632</v>
      </c>
      <c r="H66" t="s">
        <v>322</v>
      </c>
      <c r="I66" s="17">
        <f t="shared" ref="I66:I129" ca="1" si="2">TODAY()-C66</f>
        <v>-14</v>
      </c>
      <c r="J66" t="str">
        <f t="shared" ref="J66:J129" ca="1" si="3">IF(AND(I66&gt;30,E66&lt;&gt;"Paid"),"Delayed","On Track")</f>
        <v>On Track</v>
      </c>
    </row>
    <row r="67" spans="1:10">
      <c r="A67" t="s">
        <v>1686</v>
      </c>
      <c r="B67" t="s">
        <v>285</v>
      </c>
      <c r="C67" s="4">
        <v>46034</v>
      </c>
      <c r="D67" s="5">
        <v>52085.17</v>
      </c>
      <c r="E67" t="s">
        <v>1631</v>
      </c>
      <c r="F67" t="s">
        <v>9</v>
      </c>
      <c r="G67" t="s">
        <v>1615</v>
      </c>
      <c r="H67" t="s">
        <v>327</v>
      </c>
      <c r="I67" s="17">
        <f t="shared" ca="1" si="2"/>
        <v>116</v>
      </c>
      <c r="J67" t="str">
        <f t="shared" ca="1" si="3"/>
        <v>Delayed</v>
      </c>
    </row>
    <row r="68" spans="1:10">
      <c r="A68" t="s">
        <v>1687</v>
      </c>
      <c r="B68" t="s">
        <v>94</v>
      </c>
      <c r="C68" s="4">
        <v>46147</v>
      </c>
      <c r="D68" s="5">
        <v>269286.62</v>
      </c>
      <c r="E68" t="s">
        <v>1631</v>
      </c>
      <c r="F68" t="s">
        <v>9</v>
      </c>
      <c r="G68" t="s">
        <v>1619</v>
      </c>
      <c r="H68" t="s">
        <v>336</v>
      </c>
      <c r="I68" s="17">
        <f t="shared" ca="1" si="2"/>
        <v>3</v>
      </c>
      <c r="J68" t="str">
        <f t="shared" ca="1" si="3"/>
        <v>On Track</v>
      </c>
    </row>
    <row r="69" spans="1:10">
      <c r="A69" t="s">
        <v>1688</v>
      </c>
      <c r="B69" t="s">
        <v>29</v>
      </c>
      <c r="C69" s="4">
        <v>46052</v>
      </c>
      <c r="D69" s="5">
        <v>31355.71</v>
      </c>
      <c r="E69" t="s">
        <v>1618</v>
      </c>
      <c r="F69" t="s">
        <v>9</v>
      </c>
      <c r="G69" t="s">
        <v>1619</v>
      </c>
      <c r="H69" t="s">
        <v>322</v>
      </c>
      <c r="I69" s="17">
        <f t="shared" ca="1" si="2"/>
        <v>98</v>
      </c>
      <c r="J69" t="str">
        <f t="shared" ca="1" si="3"/>
        <v>On Track</v>
      </c>
    </row>
    <row r="70" spans="1:10">
      <c r="A70" t="s">
        <v>1689</v>
      </c>
      <c r="B70" t="s">
        <v>138</v>
      </c>
      <c r="C70" s="4">
        <v>45994</v>
      </c>
      <c r="D70" s="5">
        <v>161828.47</v>
      </c>
      <c r="E70" t="s">
        <v>1629</v>
      </c>
      <c r="F70" t="s">
        <v>12</v>
      </c>
      <c r="G70" t="s">
        <v>1621</v>
      </c>
      <c r="H70" t="s">
        <v>336</v>
      </c>
      <c r="I70" s="17">
        <f t="shared" ca="1" si="2"/>
        <v>156</v>
      </c>
      <c r="J70" t="str">
        <f t="shared" ca="1" si="3"/>
        <v>Delayed</v>
      </c>
    </row>
    <row r="71" spans="1:10">
      <c r="A71" t="s">
        <v>1690</v>
      </c>
      <c r="B71" t="s">
        <v>249</v>
      </c>
      <c r="C71" s="4">
        <v>45895</v>
      </c>
      <c r="D71" s="5">
        <v>54578.37</v>
      </c>
      <c r="E71" t="s">
        <v>1624</v>
      </c>
      <c r="F71" t="s">
        <v>9</v>
      </c>
      <c r="G71" t="s">
        <v>1615</v>
      </c>
      <c r="H71" t="s">
        <v>327</v>
      </c>
      <c r="I71" s="17">
        <f t="shared" ca="1" si="2"/>
        <v>255</v>
      </c>
      <c r="J71" t="str">
        <f t="shared" ca="1" si="3"/>
        <v>Delayed</v>
      </c>
    </row>
    <row r="72" spans="1:10">
      <c r="A72" t="s">
        <v>1691</v>
      </c>
      <c r="B72" t="s">
        <v>36</v>
      </c>
      <c r="C72" s="4">
        <v>46104</v>
      </c>
      <c r="D72" s="5">
        <v>242289.5</v>
      </c>
      <c r="E72" t="s">
        <v>1614</v>
      </c>
      <c r="F72" t="s">
        <v>12</v>
      </c>
      <c r="G72" t="s">
        <v>1632</v>
      </c>
      <c r="H72" t="s">
        <v>327</v>
      </c>
      <c r="I72" s="17">
        <f t="shared" ca="1" si="2"/>
        <v>46</v>
      </c>
      <c r="J72" t="str">
        <f t="shared" ca="1" si="3"/>
        <v>Delayed</v>
      </c>
    </row>
    <row r="73" spans="1:10">
      <c r="A73" t="s">
        <v>1692</v>
      </c>
      <c r="B73" t="s">
        <v>283</v>
      </c>
      <c r="C73" s="4">
        <v>45908</v>
      </c>
      <c r="D73" s="5">
        <v>56231.76</v>
      </c>
      <c r="E73" t="s">
        <v>1611</v>
      </c>
      <c r="F73" t="s">
        <v>9</v>
      </c>
      <c r="G73" t="s">
        <v>1621</v>
      </c>
      <c r="H73" t="s">
        <v>327</v>
      </c>
      <c r="I73" s="17">
        <f t="shared" ca="1" si="2"/>
        <v>242</v>
      </c>
      <c r="J73" t="str">
        <f t="shared" ca="1" si="3"/>
        <v>Delayed</v>
      </c>
    </row>
    <row r="74" spans="1:10">
      <c r="A74" t="s">
        <v>1693</v>
      </c>
      <c r="B74" t="s">
        <v>194</v>
      </c>
      <c r="C74" s="4">
        <v>45880</v>
      </c>
      <c r="D74" s="5">
        <v>120778.35</v>
      </c>
      <c r="E74" t="s">
        <v>1618</v>
      </c>
      <c r="F74" t="s">
        <v>9</v>
      </c>
      <c r="G74" t="s">
        <v>1619</v>
      </c>
      <c r="H74" t="s">
        <v>322</v>
      </c>
      <c r="I74" s="17">
        <f t="shared" ca="1" si="2"/>
        <v>270</v>
      </c>
      <c r="J74" t="str">
        <f t="shared" ca="1" si="3"/>
        <v>On Track</v>
      </c>
    </row>
    <row r="75" spans="1:10">
      <c r="A75" t="s">
        <v>1694</v>
      </c>
      <c r="B75" t="s">
        <v>247</v>
      </c>
      <c r="C75" s="4">
        <v>46061</v>
      </c>
      <c r="D75" s="5">
        <v>192158.62</v>
      </c>
      <c r="E75" t="s">
        <v>1618</v>
      </c>
      <c r="F75" t="s">
        <v>9</v>
      </c>
      <c r="G75" t="s">
        <v>1619</v>
      </c>
      <c r="H75" t="s">
        <v>327</v>
      </c>
      <c r="I75" s="17">
        <f t="shared" ca="1" si="2"/>
        <v>89</v>
      </c>
      <c r="J75" t="str">
        <f t="shared" ca="1" si="3"/>
        <v>On Track</v>
      </c>
    </row>
    <row r="76" spans="1:10">
      <c r="A76" t="s">
        <v>1695</v>
      </c>
      <c r="B76" t="s">
        <v>196</v>
      </c>
      <c r="C76" s="4">
        <v>45874</v>
      </c>
      <c r="D76" s="5">
        <v>53241.46</v>
      </c>
      <c r="E76" t="s">
        <v>1618</v>
      </c>
      <c r="F76" t="s">
        <v>9</v>
      </c>
      <c r="G76" t="s">
        <v>1612</v>
      </c>
      <c r="H76" t="s">
        <v>327</v>
      </c>
      <c r="I76" s="17">
        <f t="shared" ca="1" si="2"/>
        <v>276</v>
      </c>
      <c r="J76" t="str">
        <f t="shared" ca="1" si="3"/>
        <v>On Track</v>
      </c>
    </row>
    <row r="77" spans="1:10">
      <c r="A77" t="s">
        <v>1696</v>
      </c>
      <c r="B77" t="s">
        <v>217</v>
      </c>
      <c r="C77" s="4">
        <v>46046</v>
      </c>
      <c r="D77" s="5">
        <v>79506.58</v>
      </c>
      <c r="E77" t="s">
        <v>1618</v>
      </c>
      <c r="F77" t="s">
        <v>9</v>
      </c>
      <c r="G77" t="s">
        <v>1619</v>
      </c>
      <c r="H77" t="s">
        <v>322</v>
      </c>
      <c r="I77" s="17">
        <f t="shared" ca="1" si="2"/>
        <v>104</v>
      </c>
      <c r="J77" t="str">
        <f t="shared" ca="1" si="3"/>
        <v>On Track</v>
      </c>
    </row>
    <row r="78" spans="1:10">
      <c r="A78" t="s">
        <v>1697</v>
      </c>
      <c r="B78" t="s">
        <v>228</v>
      </c>
      <c r="C78" s="4">
        <v>45999</v>
      </c>
      <c r="D78" s="5">
        <v>235324.98</v>
      </c>
      <c r="E78" t="s">
        <v>1614</v>
      </c>
      <c r="F78" t="s">
        <v>12</v>
      </c>
      <c r="G78" t="s">
        <v>1612</v>
      </c>
      <c r="H78" t="s">
        <v>322</v>
      </c>
      <c r="I78" s="17">
        <f t="shared" ca="1" si="2"/>
        <v>151</v>
      </c>
      <c r="J78" t="str">
        <f t="shared" ca="1" si="3"/>
        <v>Delayed</v>
      </c>
    </row>
    <row r="79" spans="1:10">
      <c r="A79" t="s">
        <v>1698</v>
      </c>
      <c r="B79" t="s">
        <v>193</v>
      </c>
      <c r="C79" s="4">
        <v>45947</v>
      </c>
      <c r="D79" s="5">
        <v>52961.75</v>
      </c>
      <c r="E79" t="s">
        <v>1611</v>
      </c>
      <c r="F79" t="s">
        <v>9</v>
      </c>
      <c r="G79" t="s">
        <v>1612</v>
      </c>
      <c r="H79" t="s">
        <v>336</v>
      </c>
      <c r="I79" s="17">
        <f t="shared" ca="1" si="2"/>
        <v>203</v>
      </c>
      <c r="J79" t="str">
        <f t="shared" ca="1" si="3"/>
        <v>Delayed</v>
      </c>
    </row>
    <row r="80" spans="1:10">
      <c r="A80" t="s">
        <v>1699</v>
      </c>
      <c r="B80" t="s">
        <v>16</v>
      </c>
      <c r="C80" s="4">
        <v>45981</v>
      </c>
      <c r="D80" s="5">
        <v>44312.81</v>
      </c>
      <c r="E80" t="s">
        <v>1618</v>
      </c>
      <c r="F80" t="s">
        <v>12</v>
      </c>
      <c r="G80" t="s">
        <v>1632</v>
      </c>
      <c r="H80" t="s">
        <v>336</v>
      </c>
      <c r="I80" s="17">
        <f t="shared" ca="1" si="2"/>
        <v>169</v>
      </c>
      <c r="J80" t="str">
        <f t="shared" ca="1" si="3"/>
        <v>On Track</v>
      </c>
    </row>
    <row r="81" spans="1:10">
      <c r="A81" t="s">
        <v>1700</v>
      </c>
      <c r="B81" t="s">
        <v>32</v>
      </c>
      <c r="C81" s="4">
        <v>45916</v>
      </c>
      <c r="D81" s="5">
        <v>61286.51</v>
      </c>
      <c r="E81" t="s">
        <v>1618</v>
      </c>
      <c r="F81" t="s">
        <v>9</v>
      </c>
      <c r="G81" t="s">
        <v>1621</v>
      </c>
      <c r="H81" t="s">
        <v>336</v>
      </c>
      <c r="I81" s="17">
        <f t="shared" ca="1" si="2"/>
        <v>234</v>
      </c>
      <c r="J81" t="str">
        <f t="shared" ca="1" si="3"/>
        <v>On Track</v>
      </c>
    </row>
    <row r="82" spans="1:10">
      <c r="A82" t="s">
        <v>1701</v>
      </c>
      <c r="B82" t="s">
        <v>193</v>
      </c>
      <c r="C82" s="4">
        <v>46073</v>
      </c>
      <c r="D82" s="5">
        <v>150600.94</v>
      </c>
      <c r="E82" t="s">
        <v>1614</v>
      </c>
      <c r="F82" t="s">
        <v>9</v>
      </c>
      <c r="G82" t="s">
        <v>1632</v>
      </c>
      <c r="H82" t="s">
        <v>336</v>
      </c>
      <c r="I82" s="17">
        <f t="shared" ca="1" si="2"/>
        <v>77</v>
      </c>
      <c r="J82" t="str">
        <f t="shared" ca="1" si="3"/>
        <v>Delayed</v>
      </c>
    </row>
    <row r="83" spans="1:10">
      <c r="A83" t="s">
        <v>1702</v>
      </c>
      <c r="B83" t="s">
        <v>99</v>
      </c>
      <c r="C83" s="4">
        <v>46167</v>
      </c>
      <c r="D83" s="5">
        <v>187274.3</v>
      </c>
      <c r="E83" t="s">
        <v>1618</v>
      </c>
      <c r="F83" t="s">
        <v>9</v>
      </c>
      <c r="G83" t="s">
        <v>1619</v>
      </c>
      <c r="H83" t="s">
        <v>322</v>
      </c>
      <c r="I83" s="17">
        <f t="shared" ca="1" si="2"/>
        <v>-17</v>
      </c>
      <c r="J83" t="str">
        <f t="shared" ca="1" si="3"/>
        <v>On Track</v>
      </c>
    </row>
    <row r="84" spans="1:10">
      <c r="A84" t="s">
        <v>1703</v>
      </c>
      <c r="B84" t="s">
        <v>194</v>
      </c>
      <c r="C84" s="4">
        <v>46090</v>
      </c>
      <c r="D84" s="5">
        <v>218396.29</v>
      </c>
      <c r="E84" t="s">
        <v>1611</v>
      </c>
      <c r="F84" t="s">
        <v>9</v>
      </c>
      <c r="G84" t="s">
        <v>1632</v>
      </c>
      <c r="H84" t="s">
        <v>322</v>
      </c>
      <c r="I84" s="17">
        <f t="shared" ca="1" si="2"/>
        <v>60</v>
      </c>
      <c r="J84" t="str">
        <f t="shared" ca="1" si="3"/>
        <v>Delayed</v>
      </c>
    </row>
    <row r="85" spans="1:10">
      <c r="A85" t="s">
        <v>1704</v>
      </c>
      <c r="B85" t="s">
        <v>99</v>
      </c>
      <c r="C85" s="4">
        <v>46065</v>
      </c>
      <c r="D85" s="5">
        <v>116283.97</v>
      </c>
      <c r="E85" t="s">
        <v>1618</v>
      </c>
      <c r="F85" t="s">
        <v>9</v>
      </c>
      <c r="G85" t="s">
        <v>1612</v>
      </c>
      <c r="H85" t="s">
        <v>336</v>
      </c>
      <c r="I85" s="17">
        <f t="shared" ca="1" si="2"/>
        <v>85</v>
      </c>
      <c r="J85" t="str">
        <f t="shared" ca="1" si="3"/>
        <v>On Track</v>
      </c>
    </row>
    <row r="86" spans="1:10">
      <c r="A86" t="s">
        <v>1705</v>
      </c>
      <c r="B86" t="s">
        <v>219</v>
      </c>
      <c r="C86" s="4">
        <v>45886</v>
      </c>
      <c r="D86" s="5">
        <v>163444.31</v>
      </c>
      <c r="E86" t="s">
        <v>1614</v>
      </c>
      <c r="F86" t="s">
        <v>9</v>
      </c>
      <c r="G86" t="s">
        <v>1615</v>
      </c>
      <c r="H86" t="s">
        <v>322</v>
      </c>
      <c r="I86" s="17">
        <f t="shared" ca="1" si="2"/>
        <v>264</v>
      </c>
      <c r="J86" t="str">
        <f t="shared" ca="1" si="3"/>
        <v>Delayed</v>
      </c>
    </row>
    <row r="87" spans="1:10">
      <c r="A87" t="s">
        <v>1706</v>
      </c>
      <c r="B87" t="s">
        <v>84</v>
      </c>
      <c r="C87" s="4">
        <v>46049</v>
      </c>
      <c r="D87" s="5">
        <v>90548.05</v>
      </c>
      <c r="E87" t="s">
        <v>1614</v>
      </c>
      <c r="F87" t="s">
        <v>9</v>
      </c>
      <c r="G87" t="s">
        <v>1621</v>
      </c>
      <c r="H87" t="s">
        <v>327</v>
      </c>
      <c r="I87" s="17">
        <f t="shared" ca="1" si="2"/>
        <v>101</v>
      </c>
      <c r="J87" t="str">
        <f t="shared" ca="1" si="3"/>
        <v>Delayed</v>
      </c>
    </row>
    <row r="88" spans="1:10">
      <c r="A88" t="s">
        <v>1707</v>
      </c>
      <c r="B88" t="s">
        <v>151</v>
      </c>
      <c r="C88" s="4">
        <v>45994</v>
      </c>
      <c r="D88" s="5">
        <v>60692.39</v>
      </c>
      <c r="E88" t="s">
        <v>1618</v>
      </c>
      <c r="F88" t="s">
        <v>9</v>
      </c>
      <c r="G88" t="s">
        <v>1632</v>
      </c>
      <c r="H88" t="s">
        <v>327</v>
      </c>
      <c r="I88" s="17">
        <f t="shared" ca="1" si="2"/>
        <v>156</v>
      </c>
      <c r="J88" t="str">
        <f t="shared" ca="1" si="3"/>
        <v>On Track</v>
      </c>
    </row>
    <row r="89" spans="1:10">
      <c r="A89" t="s">
        <v>1708</v>
      </c>
      <c r="B89" t="s">
        <v>97</v>
      </c>
      <c r="C89" s="4">
        <v>46032</v>
      </c>
      <c r="D89" s="5">
        <v>65214.06</v>
      </c>
      <c r="E89" t="s">
        <v>1618</v>
      </c>
      <c r="F89" t="s">
        <v>9</v>
      </c>
      <c r="G89" t="s">
        <v>1615</v>
      </c>
      <c r="H89" t="s">
        <v>336</v>
      </c>
      <c r="I89" s="17">
        <f t="shared" ca="1" si="2"/>
        <v>118</v>
      </c>
      <c r="J89" t="str">
        <f t="shared" ca="1" si="3"/>
        <v>On Track</v>
      </c>
    </row>
    <row r="90" spans="1:10">
      <c r="A90" t="s">
        <v>1709</v>
      </c>
      <c r="B90" t="s">
        <v>38</v>
      </c>
      <c r="C90" s="4">
        <v>45988</v>
      </c>
      <c r="D90" s="5">
        <v>28306.75</v>
      </c>
      <c r="E90" t="s">
        <v>1611</v>
      </c>
      <c r="F90" t="s">
        <v>9</v>
      </c>
      <c r="G90" t="s">
        <v>1615</v>
      </c>
      <c r="H90" t="s">
        <v>327</v>
      </c>
      <c r="I90" s="17">
        <f t="shared" ca="1" si="2"/>
        <v>162</v>
      </c>
      <c r="J90" t="str">
        <f t="shared" ca="1" si="3"/>
        <v>Delayed</v>
      </c>
    </row>
    <row r="91" spans="1:10">
      <c r="A91" t="s">
        <v>1710</v>
      </c>
      <c r="B91" t="s">
        <v>99</v>
      </c>
      <c r="C91" s="4">
        <v>46156</v>
      </c>
      <c r="D91" s="5">
        <v>86770.15</v>
      </c>
      <c r="E91" t="s">
        <v>1618</v>
      </c>
      <c r="F91" t="s">
        <v>9</v>
      </c>
      <c r="G91" t="s">
        <v>1612</v>
      </c>
      <c r="H91" t="s">
        <v>322</v>
      </c>
      <c r="I91" s="17">
        <f t="shared" ca="1" si="2"/>
        <v>-6</v>
      </c>
      <c r="J91" t="str">
        <f t="shared" ca="1" si="3"/>
        <v>On Track</v>
      </c>
    </row>
    <row r="92" spans="1:10">
      <c r="A92" t="s">
        <v>1711</v>
      </c>
      <c r="B92" t="s">
        <v>155</v>
      </c>
      <c r="C92" s="4">
        <v>46084</v>
      </c>
      <c r="D92" s="5">
        <v>138622.98000000001</v>
      </c>
      <c r="E92" t="s">
        <v>1611</v>
      </c>
      <c r="F92" t="s">
        <v>9</v>
      </c>
      <c r="G92" t="s">
        <v>1619</v>
      </c>
      <c r="H92" t="s">
        <v>327</v>
      </c>
      <c r="I92" s="17">
        <f t="shared" ca="1" si="2"/>
        <v>66</v>
      </c>
      <c r="J92" t="str">
        <f t="shared" ca="1" si="3"/>
        <v>Delayed</v>
      </c>
    </row>
    <row r="93" spans="1:10">
      <c r="A93" t="s">
        <v>1712</v>
      </c>
      <c r="B93" t="s">
        <v>197</v>
      </c>
      <c r="C93" s="4">
        <v>46121</v>
      </c>
      <c r="D93" s="5">
        <v>21689.42</v>
      </c>
      <c r="E93" t="s">
        <v>1624</v>
      </c>
      <c r="F93" t="s">
        <v>9</v>
      </c>
      <c r="G93" t="s">
        <v>1612</v>
      </c>
      <c r="H93" t="s">
        <v>336</v>
      </c>
      <c r="I93" s="17">
        <f t="shared" ca="1" si="2"/>
        <v>29</v>
      </c>
      <c r="J93" t="str">
        <f t="shared" ca="1" si="3"/>
        <v>On Track</v>
      </c>
    </row>
    <row r="94" spans="1:10">
      <c r="A94" t="s">
        <v>1713</v>
      </c>
      <c r="B94" t="s">
        <v>219</v>
      </c>
      <c r="C94" s="4">
        <v>46036</v>
      </c>
      <c r="D94" s="5">
        <v>110124.66</v>
      </c>
      <c r="E94" t="s">
        <v>1614</v>
      </c>
      <c r="F94" t="s">
        <v>12</v>
      </c>
      <c r="G94" t="s">
        <v>1612</v>
      </c>
      <c r="H94" t="s">
        <v>322</v>
      </c>
      <c r="I94" s="17">
        <f t="shared" ca="1" si="2"/>
        <v>114</v>
      </c>
      <c r="J94" t="str">
        <f t="shared" ca="1" si="3"/>
        <v>Delayed</v>
      </c>
    </row>
    <row r="95" spans="1:10">
      <c r="A95" t="s">
        <v>1714</v>
      </c>
      <c r="B95" t="s">
        <v>127</v>
      </c>
      <c r="C95" s="4">
        <v>46163</v>
      </c>
      <c r="D95" s="5">
        <v>99596.14</v>
      </c>
      <c r="E95" t="s">
        <v>1624</v>
      </c>
      <c r="F95" t="s">
        <v>9</v>
      </c>
      <c r="G95" t="s">
        <v>1621</v>
      </c>
      <c r="H95" t="s">
        <v>327</v>
      </c>
      <c r="I95" s="17">
        <f t="shared" ca="1" si="2"/>
        <v>-13</v>
      </c>
      <c r="J95" t="str">
        <f t="shared" ca="1" si="3"/>
        <v>On Track</v>
      </c>
    </row>
    <row r="96" spans="1:10">
      <c r="A96" t="s">
        <v>1715</v>
      </c>
      <c r="B96" t="s">
        <v>155</v>
      </c>
      <c r="C96" s="4">
        <v>46142</v>
      </c>
      <c r="D96" s="5">
        <v>177149.81</v>
      </c>
      <c r="E96" t="s">
        <v>1631</v>
      </c>
      <c r="F96" t="s">
        <v>9</v>
      </c>
      <c r="G96" t="s">
        <v>1612</v>
      </c>
      <c r="H96" t="s">
        <v>336</v>
      </c>
      <c r="I96" s="17">
        <f t="shared" ca="1" si="2"/>
        <v>8</v>
      </c>
      <c r="J96" t="str">
        <f t="shared" ca="1" si="3"/>
        <v>On Track</v>
      </c>
    </row>
    <row r="97" spans="1:10">
      <c r="A97" t="s">
        <v>1716</v>
      </c>
      <c r="B97" t="s">
        <v>118</v>
      </c>
      <c r="C97" s="4">
        <v>46081</v>
      </c>
      <c r="D97" s="5">
        <v>149313.59</v>
      </c>
      <c r="E97" t="s">
        <v>1614</v>
      </c>
      <c r="F97" t="s">
        <v>9</v>
      </c>
      <c r="G97" t="s">
        <v>1621</v>
      </c>
      <c r="H97" t="s">
        <v>327</v>
      </c>
      <c r="I97" s="17">
        <f t="shared" ca="1" si="2"/>
        <v>69</v>
      </c>
      <c r="J97" t="str">
        <f t="shared" ca="1" si="3"/>
        <v>Delayed</v>
      </c>
    </row>
    <row r="98" spans="1:10">
      <c r="A98" t="s">
        <v>1717</v>
      </c>
      <c r="B98" t="s">
        <v>162</v>
      </c>
      <c r="C98" s="4">
        <v>46029</v>
      </c>
      <c r="D98" s="5">
        <v>15775.36</v>
      </c>
      <c r="E98" t="s">
        <v>1631</v>
      </c>
      <c r="F98" t="s">
        <v>9</v>
      </c>
      <c r="G98" t="s">
        <v>1621</v>
      </c>
      <c r="H98" t="s">
        <v>336</v>
      </c>
      <c r="I98" s="17">
        <f t="shared" ca="1" si="2"/>
        <v>121</v>
      </c>
      <c r="J98" t="str">
        <f t="shared" ca="1" si="3"/>
        <v>Delayed</v>
      </c>
    </row>
    <row r="99" spans="1:10">
      <c r="A99" t="s">
        <v>1718</v>
      </c>
      <c r="B99" t="s">
        <v>69</v>
      </c>
      <c r="C99" s="4">
        <v>45931</v>
      </c>
      <c r="D99" s="5">
        <v>165875.62</v>
      </c>
      <c r="E99" t="s">
        <v>1624</v>
      </c>
      <c r="F99" t="s">
        <v>12</v>
      </c>
      <c r="G99" t="s">
        <v>1619</v>
      </c>
      <c r="H99" t="s">
        <v>327</v>
      </c>
      <c r="I99" s="17">
        <f t="shared" ca="1" si="2"/>
        <v>219</v>
      </c>
      <c r="J99" t="str">
        <f t="shared" ca="1" si="3"/>
        <v>Delayed</v>
      </c>
    </row>
    <row r="100" spans="1:10">
      <c r="A100" t="s">
        <v>1719</v>
      </c>
      <c r="B100" t="s">
        <v>73</v>
      </c>
      <c r="C100" s="4">
        <v>45874</v>
      </c>
      <c r="D100" s="5">
        <v>37046.949999999997</v>
      </c>
      <c r="E100" t="s">
        <v>1624</v>
      </c>
      <c r="F100" t="s">
        <v>9</v>
      </c>
      <c r="G100" t="s">
        <v>1621</v>
      </c>
      <c r="H100" t="s">
        <v>327</v>
      </c>
      <c r="I100" s="17">
        <f t="shared" ca="1" si="2"/>
        <v>276</v>
      </c>
      <c r="J100" t="str">
        <f t="shared" ca="1" si="3"/>
        <v>Delayed</v>
      </c>
    </row>
    <row r="101" spans="1:10">
      <c r="A101" t="s">
        <v>1720</v>
      </c>
      <c r="B101" t="s">
        <v>219</v>
      </c>
      <c r="C101" s="4">
        <v>45914</v>
      </c>
      <c r="D101" s="5">
        <v>51997.29</v>
      </c>
      <c r="E101" t="s">
        <v>1624</v>
      </c>
      <c r="F101" t="s">
        <v>9</v>
      </c>
      <c r="G101" t="s">
        <v>1615</v>
      </c>
      <c r="H101" t="s">
        <v>327</v>
      </c>
      <c r="I101" s="17">
        <f t="shared" ca="1" si="2"/>
        <v>236</v>
      </c>
      <c r="J101" t="str">
        <f t="shared" ca="1" si="3"/>
        <v>Delayed</v>
      </c>
    </row>
    <row r="102" spans="1:10">
      <c r="A102" t="s">
        <v>1721</v>
      </c>
      <c r="B102" t="s">
        <v>56</v>
      </c>
      <c r="C102" s="4">
        <v>45895</v>
      </c>
      <c r="D102" s="5">
        <v>42543.94</v>
      </c>
      <c r="E102" t="s">
        <v>1629</v>
      </c>
      <c r="F102" t="s">
        <v>12</v>
      </c>
      <c r="G102" t="s">
        <v>1612</v>
      </c>
      <c r="H102" t="s">
        <v>327</v>
      </c>
      <c r="I102" s="17">
        <f t="shared" ca="1" si="2"/>
        <v>255</v>
      </c>
      <c r="J102" t="str">
        <f t="shared" ca="1" si="3"/>
        <v>Delayed</v>
      </c>
    </row>
    <row r="103" spans="1:10">
      <c r="A103" t="s">
        <v>1722</v>
      </c>
      <c r="B103" t="s">
        <v>196</v>
      </c>
      <c r="C103" s="4">
        <v>45907</v>
      </c>
      <c r="D103" s="5">
        <v>21409.599999999999</v>
      </c>
      <c r="E103" t="s">
        <v>1618</v>
      </c>
      <c r="F103" t="s">
        <v>9</v>
      </c>
      <c r="G103" t="s">
        <v>1621</v>
      </c>
      <c r="H103" t="s">
        <v>336</v>
      </c>
      <c r="I103" s="17">
        <f t="shared" ca="1" si="2"/>
        <v>243</v>
      </c>
      <c r="J103" t="str">
        <f t="shared" ca="1" si="3"/>
        <v>On Track</v>
      </c>
    </row>
    <row r="104" spans="1:10">
      <c r="A104" t="s">
        <v>1723</v>
      </c>
      <c r="B104" t="s">
        <v>232</v>
      </c>
      <c r="C104" s="4">
        <v>45956</v>
      </c>
      <c r="D104" s="5">
        <v>43411.040000000001</v>
      </c>
      <c r="E104" t="s">
        <v>1618</v>
      </c>
      <c r="F104" t="s">
        <v>12</v>
      </c>
      <c r="G104" t="s">
        <v>1632</v>
      </c>
      <c r="H104" t="s">
        <v>327</v>
      </c>
      <c r="I104" s="17">
        <f t="shared" ca="1" si="2"/>
        <v>194</v>
      </c>
      <c r="J104" t="str">
        <f t="shared" ca="1" si="3"/>
        <v>On Track</v>
      </c>
    </row>
    <row r="105" spans="1:10">
      <c r="A105" t="s">
        <v>1724</v>
      </c>
      <c r="B105" t="s">
        <v>124</v>
      </c>
      <c r="C105" s="4">
        <v>46168</v>
      </c>
      <c r="D105" s="5">
        <v>31519.119999999999</v>
      </c>
      <c r="E105" t="s">
        <v>1624</v>
      </c>
      <c r="F105" t="s">
        <v>9</v>
      </c>
      <c r="G105" t="s">
        <v>1621</v>
      </c>
      <c r="H105" t="s">
        <v>322</v>
      </c>
      <c r="I105" s="17">
        <f t="shared" ca="1" si="2"/>
        <v>-18</v>
      </c>
      <c r="J105" t="str">
        <f t="shared" ca="1" si="3"/>
        <v>On Track</v>
      </c>
    </row>
    <row r="106" spans="1:10">
      <c r="A106" t="s">
        <v>1725</v>
      </c>
      <c r="B106" t="s">
        <v>121</v>
      </c>
      <c r="C106" s="4">
        <v>46136</v>
      </c>
      <c r="D106" s="5">
        <v>104297.25</v>
      </c>
      <c r="E106" t="s">
        <v>1618</v>
      </c>
      <c r="F106" t="s">
        <v>9</v>
      </c>
      <c r="G106" t="s">
        <v>1632</v>
      </c>
      <c r="H106" t="s">
        <v>336</v>
      </c>
      <c r="I106" s="17">
        <f t="shared" ca="1" si="2"/>
        <v>14</v>
      </c>
      <c r="J106" t="str">
        <f t="shared" ca="1" si="3"/>
        <v>On Track</v>
      </c>
    </row>
    <row r="107" spans="1:10">
      <c r="A107" t="s">
        <v>1726</v>
      </c>
      <c r="B107" t="s">
        <v>269</v>
      </c>
      <c r="C107" s="4">
        <v>46116</v>
      </c>
      <c r="D107" s="5">
        <v>76413.08</v>
      </c>
      <c r="E107" t="s">
        <v>1614</v>
      </c>
      <c r="F107" t="s">
        <v>9</v>
      </c>
      <c r="G107" t="s">
        <v>1612</v>
      </c>
      <c r="H107" t="s">
        <v>336</v>
      </c>
      <c r="I107" s="17">
        <f t="shared" ca="1" si="2"/>
        <v>34</v>
      </c>
      <c r="J107" t="str">
        <f t="shared" ca="1" si="3"/>
        <v>Delayed</v>
      </c>
    </row>
    <row r="108" spans="1:10">
      <c r="A108" t="s">
        <v>1727</v>
      </c>
      <c r="B108" t="s">
        <v>162</v>
      </c>
      <c r="C108" s="4">
        <v>45993</v>
      </c>
      <c r="D108" s="5">
        <v>19732.12</v>
      </c>
      <c r="E108" t="s">
        <v>1618</v>
      </c>
      <c r="F108" t="s">
        <v>9</v>
      </c>
      <c r="G108" t="s">
        <v>1612</v>
      </c>
      <c r="H108" t="s">
        <v>327</v>
      </c>
      <c r="I108" s="17">
        <f t="shared" ca="1" si="2"/>
        <v>157</v>
      </c>
      <c r="J108" t="str">
        <f t="shared" ca="1" si="3"/>
        <v>On Track</v>
      </c>
    </row>
    <row r="109" spans="1:10">
      <c r="A109" t="s">
        <v>1728</v>
      </c>
      <c r="B109" t="s">
        <v>87</v>
      </c>
      <c r="C109" s="4">
        <v>45899</v>
      </c>
      <c r="D109" s="5">
        <v>30811.06</v>
      </c>
      <c r="E109" t="s">
        <v>1618</v>
      </c>
      <c r="F109" t="s">
        <v>9</v>
      </c>
      <c r="G109" t="s">
        <v>1621</v>
      </c>
      <c r="H109" t="s">
        <v>327</v>
      </c>
      <c r="I109" s="17">
        <f t="shared" ca="1" si="2"/>
        <v>251</v>
      </c>
      <c r="J109" t="str">
        <f t="shared" ca="1" si="3"/>
        <v>On Track</v>
      </c>
    </row>
    <row r="110" spans="1:10">
      <c r="A110" t="s">
        <v>1729</v>
      </c>
      <c r="B110" t="s">
        <v>194</v>
      </c>
      <c r="C110" s="4">
        <v>45922</v>
      </c>
      <c r="D110" s="5">
        <v>105526.34</v>
      </c>
      <c r="E110" t="s">
        <v>1629</v>
      </c>
      <c r="F110" t="s">
        <v>12</v>
      </c>
      <c r="G110" t="s">
        <v>1615</v>
      </c>
      <c r="H110" t="s">
        <v>322</v>
      </c>
      <c r="I110" s="17">
        <f t="shared" ca="1" si="2"/>
        <v>228</v>
      </c>
      <c r="J110" t="str">
        <f t="shared" ca="1" si="3"/>
        <v>Delayed</v>
      </c>
    </row>
    <row r="111" spans="1:10">
      <c r="A111" t="s">
        <v>1730</v>
      </c>
      <c r="B111" t="s">
        <v>204</v>
      </c>
      <c r="C111" s="4">
        <v>46029</v>
      </c>
      <c r="D111" s="5">
        <v>140178.82999999999</v>
      </c>
      <c r="E111" t="s">
        <v>1611</v>
      </c>
      <c r="F111" t="s">
        <v>9</v>
      </c>
      <c r="G111" t="s">
        <v>1619</v>
      </c>
      <c r="H111" t="s">
        <v>322</v>
      </c>
      <c r="I111" s="17">
        <f t="shared" ca="1" si="2"/>
        <v>121</v>
      </c>
      <c r="J111" t="str">
        <f t="shared" ca="1" si="3"/>
        <v>Delayed</v>
      </c>
    </row>
    <row r="112" spans="1:10">
      <c r="A112" t="s">
        <v>1731</v>
      </c>
      <c r="B112" t="s">
        <v>99</v>
      </c>
      <c r="C112" s="4">
        <v>45935</v>
      </c>
      <c r="D112" s="5">
        <v>75206.98</v>
      </c>
      <c r="E112" t="s">
        <v>1611</v>
      </c>
      <c r="F112" t="s">
        <v>9</v>
      </c>
      <c r="G112" t="s">
        <v>1615</v>
      </c>
      <c r="H112" t="s">
        <v>322</v>
      </c>
      <c r="I112" s="17">
        <f t="shared" ca="1" si="2"/>
        <v>215</v>
      </c>
      <c r="J112" t="str">
        <f t="shared" ca="1" si="3"/>
        <v>Delayed</v>
      </c>
    </row>
    <row r="113" spans="1:10">
      <c r="A113" t="s">
        <v>1732</v>
      </c>
      <c r="B113" t="s">
        <v>32</v>
      </c>
      <c r="C113" s="4">
        <v>46073</v>
      </c>
      <c r="D113" s="5">
        <v>42182.81</v>
      </c>
      <c r="E113" t="s">
        <v>1614</v>
      </c>
      <c r="F113" t="s">
        <v>9</v>
      </c>
      <c r="G113" t="s">
        <v>1632</v>
      </c>
      <c r="H113" t="s">
        <v>322</v>
      </c>
      <c r="I113" s="17">
        <f t="shared" ca="1" si="2"/>
        <v>77</v>
      </c>
      <c r="J113" t="str">
        <f t="shared" ca="1" si="3"/>
        <v>Delayed</v>
      </c>
    </row>
    <row r="114" spans="1:10">
      <c r="A114" t="s">
        <v>1733</v>
      </c>
      <c r="B114" t="s">
        <v>34</v>
      </c>
      <c r="C114" s="4">
        <v>45921</v>
      </c>
      <c r="D114" s="5">
        <v>10809.93</v>
      </c>
      <c r="E114" t="s">
        <v>1629</v>
      </c>
      <c r="F114" t="s">
        <v>12</v>
      </c>
      <c r="G114" t="s">
        <v>1612</v>
      </c>
      <c r="H114" t="s">
        <v>327</v>
      </c>
      <c r="I114" s="17">
        <f t="shared" ca="1" si="2"/>
        <v>229</v>
      </c>
      <c r="J114" t="str">
        <f t="shared" ca="1" si="3"/>
        <v>Delayed</v>
      </c>
    </row>
    <row r="115" spans="1:10">
      <c r="A115" t="s">
        <v>1734</v>
      </c>
      <c r="B115" t="s">
        <v>116</v>
      </c>
      <c r="C115" s="4">
        <v>46104</v>
      </c>
      <c r="D115" s="5">
        <v>33605.120000000003</v>
      </c>
      <c r="E115" t="s">
        <v>1631</v>
      </c>
      <c r="F115" t="s">
        <v>9</v>
      </c>
      <c r="G115" t="s">
        <v>1621</v>
      </c>
      <c r="H115" t="s">
        <v>336</v>
      </c>
      <c r="I115" s="17">
        <f t="shared" ca="1" si="2"/>
        <v>46</v>
      </c>
      <c r="J115" t="str">
        <f t="shared" ca="1" si="3"/>
        <v>Delayed</v>
      </c>
    </row>
    <row r="116" spans="1:10">
      <c r="A116" t="s">
        <v>1735</v>
      </c>
      <c r="B116" t="s">
        <v>23</v>
      </c>
      <c r="C116" s="4">
        <v>45929</v>
      </c>
      <c r="D116" s="5">
        <v>92903.58</v>
      </c>
      <c r="E116" t="s">
        <v>1631</v>
      </c>
      <c r="F116" t="s">
        <v>9</v>
      </c>
      <c r="G116" t="s">
        <v>1619</v>
      </c>
      <c r="H116" t="s">
        <v>336</v>
      </c>
      <c r="I116" s="17">
        <f t="shared" ca="1" si="2"/>
        <v>221</v>
      </c>
      <c r="J116" t="str">
        <f t="shared" ca="1" si="3"/>
        <v>Delayed</v>
      </c>
    </row>
    <row r="117" spans="1:10">
      <c r="A117" t="s">
        <v>1736</v>
      </c>
      <c r="B117" t="s">
        <v>25</v>
      </c>
      <c r="C117" s="4">
        <v>46089</v>
      </c>
      <c r="D117" s="5">
        <v>152321.66</v>
      </c>
      <c r="E117" t="s">
        <v>1631</v>
      </c>
      <c r="F117" t="s">
        <v>9</v>
      </c>
      <c r="G117" t="s">
        <v>1612</v>
      </c>
      <c r="H117" t="s">
        <v>327</v>
      </c>
      <c r="I117" s="17">
        <f t="shared" ca="1" si="2"/>
        <v>61</v>
      </c>
      <c r="J117" t="str">
        <f t="shared" ca="1" si="3"/>
        <v>Delayed</v>
      </c>
    </row>
    <row r="118" spans="1:10">
      <c r="A118" t="s">
        <v>1737</v>
      </c>
      <c r="B118" t="s">
        <v>173</v>
      </c>
      <c r="C118" s="4">
        <v>46064</v>
      </c>
      <c r="D118" s="5">
        <v>133437.41</v>
      </c>
      <c r="E118" t="s">
        <v>1611</v>
      </c>
      <c r="F118" t="s">
        <v>9</v>
      </c>
      <c r="G118" t="s">
        <v>1621</v>
      </c>
      <c r="H118" t="s">
        <v>327</v>
      </c>
      <c r="I118" s="17">
        <f t="shared" ca="1" si="2"/>
        <v>86</v>
      </c>
      <c r="J118" t="str">
        <f t="shared" ca="1" si="3"/>
        <v>Delayed</v>
      </c>
    </row>
    <row r="119" spans="1:10">
      <c r="A119" t="s">
        <v>1738</v>
      </c>
      <c r="B119" t="s">
        <v>108</v>
      </c>
      <c r="C119" s="4">
        <v>46010</v>
      </c>
      <c r="D119" s="5">
        <v>150104.63</v>
      </c>
      <c r="E119" t="s">
        <v>1618</v>
      </c>
      <c r="F119" t="s">
        <v>9</v>
      </c>
      <c r="G119" t="s">
        <v>1612</v>
      </c>
      <c r="H119" t="s">
        <v>322</v>
      </c>
      <c r="I119" s="17">
        <f t="shared" ca="1" si="2"/>
        <v>140</v>
      </c>
      <c r="J119" t="str">
        <f t="shared" ca="1" si="3"/>
        <v>On Track</v>
      </c>
    </row>
    <row r="120" spans="1:10">
      <c r="A120" t="s">
        <v>1739</v>
      </c>
      <c r="B120" t="s">
        <v>186</v>
      </c>
      <c r="C120" s="4">
        <v>45925</v>
      </c>
      <c r="D120" s="5">
        <v>10303.280000000001</v>
      </c>
      <c r="E120" t="s">
        <v>1631</v>
      </c>
      <c r="F120" t="s">
        <v>12</v>
      </c>
      <c r="G120" t="s">
        <v>1632</v>
      </c>
      <c r="H120" t="s">
        <v>327</v>
      </c>
      <c r="I120" s="17">
        <f t="shared" ca="1" si="2"/>
        <v>225</v>
      </c>
      <c r="J120" t="str">
        <f t="shared" ca="1" si="3"/>
        <v>Delayed</v>
      </c>
    </row>
    <row r="121" spans="1:10">
      <c r="A121" t="s">
        <v>1740</v>
      </c>
      <c r="B121" t="s">
        <v>114</v>
      </c>
      <c r="C121" s="4">
        <v>46141</v>
      </c>
      <c r="D121" s="5">
        <v>46988.02</v>
      </c>
      <c r="E121" t="s">
        <v>1614</v>
      </c>
      <c r="F121" t="s">
        <v>9</v>
      </c>
      <c r="G121" t="s">
        <v>1621</v>
      </c>
      <c r="H121" t="s">
        <v>336</v>
      </c>
      <c r="I121" s="17">
        <f t="shared" ca="1" si="2"/>
        <v>9</v>
      </c>
      <c r="J121" t="str">
        <f t="shared" ca="1" si="3"/>
        <v>On Track</v>
      </c>
    </row>
    <row r="122" spans="1:10">
      <c r="A122" t="s">
        <v>1741</v>
      </c>
      <c r="B122" t="s">
        <v>21</v>
      </c>
      <c r="C122" s="4">
        <v>45920</v>
      </c>
      <c r="D122" s="5">
        <v>55964.5</v>
      </c>
      <c r="E122" t="s">
        <v>1629</v>
      </c>
      <c r="F122" t="s">
        <v>12</v>
      </c>
      <c r="G122" t="s">
        <v>1632</v>
      </c>
      <c r="H122" t="s">
        <v>336</v>
      </c>
      <c r="I122" s="17">
        <f t="shared" ca="1" si="2"/>
        <v>230</v>
      </c>
      <c r="J122" t="str">
        <f t="shared" ca="1" si="3"/>
        <v>Delayed</v>
      </c>
    </row>
    <row r="123" spans="1:10">
      <c r="A123" t="s">
        <v>1742</v>
      </c>
      <c r="B123" t="s">
        <v>192</v>
      </c>
      <c r="C123" s="4">
        <v>45956</v>
      </c>
      <c r="D123" s="5">
        <v>39879.42</v>
      </c>
      <c r="E123" t="s">
        <v>1611</v>
      </c>
      <c r="F123" t="s">
        <v>9</v>
      </c>
      <c r="G123" t="s">
        <v>1615</v>
      </c>
      <c r="H123" t="s">
        <v>336</v>
      </c>
      <c r="I123" s="17">
        <f t="shared" ca="1" si="2"/>
        <v>194</v>
      </c>
      <c r="J123" t="str">
        <f t="shared" ca="1" si="3"/>
        <v>Delayed</v>
      </c>
    </row>
    <row r="124" spans="1:10">
      <c r="A124" t="s">
        <v>1743</v>
      </c>
      <c r="B124" t="s">
        <v>298</v>
      </c>
      <c r="C124" s="4">
        <v>45870</v>
      </c>
      <c r="D124" s="5">
        <v>37152.949999999997</v>
      </c>
      <c r="E124" t="s">
        <v>1618</v>
      </c>
      <c r="F124" t="s">
        <v>9</v>
      </c>
      <c r="G124" t="s">
        <v>1621</v>
      </c>
      <c r="H124" t="s">
        <v>322</v>
      </c>
      <c r="I124" s="17">
        <f t="shared" ca="1" si="2"/>
        <v>280</v>
      </c>
      <c r="J124" t="str">
        <f t="shared" ca="1" si="3"/>
        <v>On Track</v>
      </c>
    </row>
    <row r="125" spans="1:10">
      <c r="A125" t="s">
        <v>1744</v>
      </c>
      <c r="B125" t="s">
        <v>295</v>
      </c>
      <c r="C125" s="4">
        <v>45991</v>
      </c>
      <c r="D125" s="5">
        <v>78578.720000000001</v>
      </c>
      <c r="E125" t="s">
        <v>1618</v>
      </c>
      <c r="F125" t="s">
        <v>9</v>
      </c>
      <c r="G125" t="s">
        <v>1632</v>
      </c>
      <c r="H125" t="s">
        <v>336</v>
      </c>
      <c r="I125" s="17">
        <f t="shared" ca="1" si="2"/>
        <v>159</v>
      </c>
      <c r="J125" t="str">
        <f t="shared" ca="1" si="3"/>
        <v>On Track</v>
      </c>
    </row>
    <row r="126" spans="1:10">
      <c r="A126" t="s">
        <v>1745</v>
      </c>
      <c r="B126" t="s">
        <v>74</v>
      </c>
      <c r="C126" s="4">
        <v>45875</v>
      </c>
      <c r="D126" s="5">
        <v>68968.13</v>
      </c>
      <c r="E126" t="s">
        <v>1611</v>
      </c>
      <c r="F126" t="s">
        <v>12</v>
      </c>
      <c r="G126" t="s">
        <v>1632</v>
      </c>
      <c r="H126" t="s">
        <v>327</v>
      </c>
      <c r="I126" s="17">
        <f t="shared" ca="1" si="2"/>
        <v>275</v>
      </c>
      <c r="J126" t="str">
        <f t="shared" ca="1" si="3"/>
        <v>Delayed</v>
      </c>
    </row>
    <row r="127" spans="1:10">
      <c r="A127" t="s">
        <v>1746</v>
      </c>
      <c r="B127" t="s">
        <v>219</v>
      </c>
      <c r="C127" s="4">
        <v>45873</v>
      </c>
      <c r="D127" s="5">
        <v>110536.49</v>
      </c>
      <c r="E127" t="s">
        <v>1624</v>
      </c>
      <c r="F127" t="s">
        <v>9</v>
      </c>
      <c r="G127" t="s">
        <v>1621</v>
      </c>
      <c r="H127" t="s">
        <v>327</v>
      </c>
      <c r="I127" s="17">
        <f t="shared" ca="1" si="2"/>
        <v>277</v>
      </c>
      <c r="J127" t="str">
        <f t="shared" ca="1" si="3"/>
        <v>Delayed</v>
      </c>
    </row>
    <row r="128" spans="1:10">
      <c r="A128" t="s">
        <v>1747</v>
      </c>
      <c r="B128" t="s">
        <v>45</v>
      </c>
      <c r="C128" s="4">
        <v>45925</v>
      </c>
      <c r="D128" s="5">
        <v>32007.43</v>
      </c>
      <c r="E128" t="s">
        <v>1631</v>
      </c>
      <c r="F128" t="s">
        <v>9</v>
      </c>
      <c r="G128" t="s">
        <v>1632</v>
      </c>
      <c r="H128" t="s">
        <v>327</v>
      </c>
      <c r="I128" s="17">
        <f t="shared" ca="1" si="2"/>
        <v>225</v>
      </c>
      <c r="J128" t="str">
        <f t="shared" ca="1" si="3"/>
        <v>Delayed</v>
      </c>
    </row>
    <row r="129" spans="1:10">
      <c r="A129" t="s">
        <v>1748</v>
      </c>
      <c r="B129" t="s">
        <v>84</v>
      </c>
      <c r="C129" s="4">
        <v>46126</v>
      </c>
      <c r="D129" s="5">
        <v>53525.46</v>
      </c>
      <c r="E129" t="s">
        <v>1614</v>
      </c>
      <c r="F129" t="s">
        <v>12</v>
      </c>
      <c r="G129" t="s">
        <v>1632</v>
      </c>
      <c r="H129" t="s">
        <v>322</v>
      </c>
      <c r="I129" s="17">
        <f t="shared" ca="1" si="2"/>
        <v>24</v>
      </c>
      <c r="J129" t="str">
        <f t="shared" ca="1" si="3"/>
        <v>On Track</v>
      </c>
    </row>
    <row r="130" spans="1:10">
      <c r="A130" t="s">
        <v>1749</v>
      </c>
      <c r="B130" t="s">
        <v>11</v>
      </c>
      <c r="C130" s="4">
        <v>46100</v>
      </c>
      <c r="D130" s="5">
        <v>117745.68</v>
      </c>
      <c r="E130" t="s">
        <v>1611</v>
      </c>
      <c r="F130" t="s">
        <v>9</v>
      </c>
      <c r="G130" t="s">
        <v>1621</v>
      </c>
      <c r="H130" t="s">
        <v>336</v>
      </c>
      <c r="I130" s="17">
        <f t="shared" ref="I130:I193" ca="1" si="4">TODAY()-C130</f>
        <v>50</v>
      </c>
      <c r="J130" t="str">
        <f t="shared" ref="J130:J193" ca="1" si="5">IF(AND(I130&gt;30,E130&lt;&gt;"Paid"),"Delayed","On Track")</f>
        <v>Delayed</v>
      </c>
    </row>
    <row r="131" spans="1:10">
      <c r="A131" t="s">
        <v>1750</v>
      </c>
      <c r="B131" t="s">
        <v>351</v>
      </c>
      <c r="C131" s="4">
        <v>46103</v>
      </c>
      <c r="D131" s="5">
        <v>23039.81</v>
      </c>
      <c r="E131" t="s">
        <v>1611</v>
      </c>
      <c r="F131" t="s">
        <v>9</v>
      </c>
      <c r="G131" t="s">
        <v>1615</v>
      </c>
      <c r="H131" t="s">
        <v>322</v>
      </c>
      <c r="I131" s="17">
        <f t="shared" ca="1" si="4"/>
        <v>47</v>
      </c>
      <c r="J131" t="str">
        <f t="shared" ca="1" si="5"/>
        <v>Delayed</v>
      </c>
    </row>
    <row r="132" spans="1:10">
      <c r="A132" t="s">
        <v>1751</v>
      </c>
      <c r="B132" t="s">
        <v>204</v>
      </c>
      <c r="C132" s="4">
        <v>46116</v>
      </c>
      <c r="D132" s="5">
        <v>42247.38</v>
      </c>
      <c r="E132" t="s">
        <v>1618</v>
      </c>
      <c r="F132" t="s">
        <v>9</v>
      </c>
      <c r="G132" t="s">
        <v>1612</v>
      </c>
      <c r="H132" t="s">
        <v>327</v>
      </c>
      <c r="I132" s="17">
        <f t="shared" ca="1" si="4"/>
        <v>34</v>
      </c>
      <c r="J132" t="str">
        <f t="shared" ca="1" si="5"/>
        <v>On Track</v>
      </c>
    </row>
    <row r="133" spans="1:10">
      <c r="A133" t="s">
        <v>1752</v>
      </c>
      <c r="B133" t="s">
        <v>281</v>
      </c>
      <c r="C133" s="4">
        <v>45981</v>
      </c>
      <c r="D133" s="5">
        <v>193221.73</v>
      </c>
      <c r="E133" t="s">
        <v>1614</v>
      </c>
      <c r="F133" t="s">
        <v>9</v>
      </c>
      <c r="G133" t="s">
        <v>1619</v>
      </c>
      <c r="H133" t="s">
        <v>322</v>
      </c>
      <c r="I133" s="17">
        <f t="shared" ca="1" si="4"/>
        <v>169</v>
      </c>
      <c r="J133" t="str">
        <f t="shared" ca="1" si="5"/>
        <v>Delayed</v>
      </c>
    </row>
    <row r="134" spans="1:10">
      <c r="A134" t="s">
        <v>1753</v>
      </c>
      <c r="B134" t="s">
        <v>228</v>
      </c>
      <c r="C134" s="4">
        <v>46089</v>
      </c>
      <c r="D134" s="5">
        <v>113241.56</v>
      </c>
      <c r="E134" t="s">
        <v>1618</v>
      </c>
      <c r="F134" t="s">
        <v>9</v>
      </c>
      <c r="G134" t="s">
        <v>1621</v>
      </c>
      <c r="H134" t="s">
        <v>322</v>
      </c>
      <c r="I134" s="17">
        <f t="shared" ca="1" si="4"/>
        <v>61</v>
      </c>
      <c r="J134" t="str">
        <f t="shared" ca="1" si="5"/>
        <v>On Track</v>
      </c>
    </row>
    <row r="135" spans="1:10">
      <c r="A135" t="s">
        <v>1754</v>
      </c>
      <c r="B135" t="s">
        <v>99</v>
      </c>
      <c r="C135" s="4">
        <v>46009</v>
      </c>
      <c r="D135" s="5">
        <v>203662.07999999999</v>
      </c>
      <c r="E135" t="s">
        <v>1618</v>
      </c>
      <c r="F135" t="s">
        <v>9</v>
      </c>
      <c r="G135" t="s">
        <v>1621</v>
      </c>
      <c r="H135" t="s">
        <v>322</v>
      </c>
      <c r="I135" s="17">
        <f t="shared" ca="1" si="4"/>
        <v>141</v>
      </c>
      <c r="J135" t="str">
        <f t="shared" ca="1" si="5"/>
        <v>On Track</v>
      </c>
    </row>
    <row r="136" spans="1:10">
      <c r="A136" t="s">
        <v>1755</v>
      </c>
      <c r="B136" t="s">
        <v>63</v>
      </c>
      <c r="C136" s="4">
        <v>46004</v>
      </c>
      <c r="D136" s="5">
        <v>86038.47</v>
      </c>
      <c r="E136" t="s">
        <v>1611</v>
      </c>
      <c r="F136" t="s">
        <v>9</v>
      </c>
      <c r="G136" t="s">
        <v>1615</v>
      </c>
      <c r="H136" t="s">
        <v>336</v>
      </c>
      <c r="I136" s="17">
        <f t="shared" ca="1" si="4"/>
        <v>146</v>
      </c>
      <c r="J136" t="str">
        <f t="shared" ca="1" si="5"/>
        <v>Delayed</v>
      </c>
    </row>
    <row r="137" spans="1:10">
      <c r="A137" t="s">
        <v>1756</v>
      </c>
      <c r="B137" t="s">
        <v>106</v>
      </c>
      <c r="C137" s="4">
        <v>46027</v>
      </c>
      <c r="D137" s="5">
        <v>3726.04</v>
      </c>
      <c r="E137" t="s">
        <v>1618</v>
      </c>
      <c r="F137" t="s">
        <v>9</v>
      </c>
      <c r="G137" t="s">
        <v>1615</v>
      </c>
      <c r="H137" t="s">
        <v>327</v>
      </c>
      <c r="I137" s="17">
        <f t="shared" ca="1" si="4"/>
        <v>123</v>
      </c>
      <c r="J137" t="str">
        <f t="shared" ca="1" si="5"/>
        <v>On Track</v>
      </c>
    </row>
    <row r="138" spans="1:10">
      <c r="A138" t="s">
        <v>1757</v>
      </c>
      <c r="B138" t="s">
        <v>286</v>
      </c>
      <c r="C138" s="4">
        <v>46101</v>
      </c>
      <c r="D138" s="5">
        <v>161357.19</v>
      </c>
      <c r="E138" t="s">
        <v>1629</v>
      </c>
      <c r="F138" t="s">
        <v>12</v>
      </c>
      <c r="G138" t="s">
        <v>1632</v>
      </c>
      <c r="H138" t="s">
        <v>336</v>
      </c>
      <c r="I138" s="17">
        <f t="shared" ca="1" si="4"/>
        <v>49</v>
      </c>
      <c r="J138" t="str">
        <f t="shared" ca="1" si="5"/>
        <v>Delayed</v>
      </c>
    </row>
    <row r="139" spans="1:10">
      <c r="A139" t="s">
        <v>1758</v>
      </c>
      <c r="B139" t="s">
        <v>36</v>
      </c>
      <c r="C139" s="4">
        <v>45873</v>
      </c>
      <c r="D139" s="5">
        <v>147427.94</v>
      </c>
      <c r="E139" t="s">
        <v>1618</v>
      </c>
      <c r="F139" t="s">
        <v>9</v>
      </c>
      <c r="G139" t="s">
        <v>1619</v>
      </c>
      <c r="H139" t="s">
        <v>322</v>
      </c>
      <c r="I139" s="17">
        <f t="shared" ca="1" si="4"/>
        <v>277</v>
      </c>
      <c r="J139" t="str">
        <f t="shared" ca="1" si="5"/>
        <v>On Track</v>
      </c>
    </row>
    <row r="140" spans="1:10">
      <c r="A140" t="s">
        <v>1759</v>
      </c>
      <c r="B140" t="s">
        <v>144</v>
      </c>
      <c r="C140" s="4">
        <v>46154</v>
      </c>
      <c r="D140" s="5">
        <v>190141.87</v>
      </c>
      <c r="E140" t="s">
        <v>1611</v>
      </c>
      <c r="F140" t="s">
        <v>9</v>
      </c>
      <c r="G140" t="s">
        <v>1632</v>
      </c>
      <c r="H140" t="s">
        <v>327</v>
      </c>
      <c r="I140" s="17">
        <f t="shared" ca="1" si="4"/>
        <v>-4</v>
      </c>
      <c r="J140" t="str">
        <f t="shared" ca="1" si="5"/>
        <v>On Track</v>
      </c>
    </row>
    <row r="141" spans="1:10">
      <c r="A141" t="s">
        <v>1760</v>
      </c>
      <c r="B141" t="s">
        <v>49</v>
      </c>
      <c r="C141" s="4">
        <v>45889</v>
      </c>
      <c r="D141" s="5">
        <v>26366.42</v>
      </c>
      <c r="E141" t="s">
        <v>1629</v>
      </c>
      <c r="F141" t="s">
        <v>12</v>
      </c>
      <c r="G141" t="s">
        <v>1612</v>
      </c>
      <c r="H141" t="s">
        <v>327</v>
      </c>
      <c r="I141" s="17">
        <f t="shared" ca="1" si="4"/>
        <v>261</v>
      </c>
      <c r="J141" t="str">
        <f t="shared" ca="1" si="5"/>
        <v>Delayed</v>
      </c>
    </row>
    <row r="142" spans="1:10">
      <c r="A142" t="s">
        <v>1761</v>
      </c>
      <c r="B142" t="s">
        <v>194</v>
      </c>
      <c r="C142" s="4">
        <v>46025</v>
      </c>
      <c r="D142" s="5">
        <v>35741.03</v>
      </c>
      <c r="E142" t="s">
        <v>1611</v>
      </c>
      <c r="F142" t="s">
        <v>9</v>
      </c>
      <c r="G142" t="s">
        <v>1612</v>
      </c>
      <c r="H142" t="s">
        <v>336</v>
      </c>
      <c r="I142" s="17">
        <f t="shared" ca="1" si="4"/>
        <v>125</v>
      </c>
      <c r="J142" t="str">
        <f t="shared" ca="1" si="5"/>
        <v>Delayed</v>
      </c>
    </row>
    <row r="143" spans="1:10">
      <c r="A143" t="s">
        <v>1762</v>
      </c>
      <c r="B143" t="s">
        <v>16</v>
      </c>
      <c r="C143" s="4">
        <v>46048</v>
      </c>
      <c r="D143" s="5">
        <v>185215.4</v>
      </c>
      <c r="E143" t="s">
        <v>1629</v>
      </c>
      <c r="F143" t="s">
        <v>12</v>
      </c>
      <c r="G143" t="s">
        <v>1615</v>
      </c>
      <c r="H143" t="s">
        <v>322</v>
      </c>
      <c r="I143" s="17">
        <f t="shared" ca="1" si="4"/>
        <v>102</v>
      </c>
      <c r="J143" t="str">
        <f t="shared" ca="1" si="5"/>
        <v>Delayed</v>
      </c>
    </row>
    <row r="144" spans="1:10">
      <c r="A144" t="s">
        <v>1763</v>
      </c>
      <c r="B144" t="s">
        <v>269</v>
      </c>
      <c r="C144" s="4">
        <v>46156</v>
      </c>
      <c r="D144" s="5">
        <v>62630.69</v>
      </c>
      <c r="E144" t="s">
        <v>1631</v>
      </c>
      <c r="F144" t="s">
        <v>9</v>
      </c>
      <c r="G144" t="s">
        <v>1619</v>
      </c>
      <c r="H144" t="s">
        <v>336</v>
      </c>
      <c r="I144" s="17">
        <f t="shared" ca="1" si="4"/>
        <v>-6</v>
      </c>
      <c r="J144" t="str">
        <f t="shared" ca="1" si="5"/>
        <v>On Track</v>
      </c>
    </row>
    <row r="145" spans="1:10">
      <c r="A145" t="s">
        <v>1764</v>
      </c>
      <c r="B145" t="s">
        <v>163</v>
      </c>
      <c r="C145" s="4">
        <v>45910</v>
      </c>
      <c r="D145" s="5">
        <v>86707.79</v>
      </c>
      <c r="E145" t="s">
        <v>1631</v>
      </c>
      <c r="F145" t="s">
        <v>9</v>
      </c>
      <c r="G145" t="s">
        <v>1619</v>
      </c>
      <c r="H145" t="s">
        <v>322</v>
      </c>
      <c r="I145" s="17">
        <f t="shared" ca="1" si="4"/>
        <v>240</v>
      </c>
      <c r="J145" t="str">
        <f t="shared" ca="1" si="5"/>
        <v>Delayed</v>
      </c>
    </row>
    <row r="146" spans="1:10">
      <c r="A146" t="s">
        <v>1765</v>
      </c>
      <c r="B146" t="s">
        <v>29</v>
      </c>
      <c r="C146" s="4">
        <v>46066</v>
      </c>
      <c r="D146" s="5">
        <v>52306.3</v>
      </c>
      <c r="E146" t="s">
        <v>1624</v>
      </c>
      <c r="F146" t="s">
        <v>12</v>
      </c>
      <c r="G146" t="s">
        <v>1632</v>
      </c>
      <c r="H146" t="s">
        <v>336</v>
      </c>
      <c r="I146" s="17">
        <f t="shared" ca="1" si="4"/>
        <v>84</v>
      </c>
      <c r="J146" t="str">
        <f t="shared" ca="1" si="5"/>
        <v>Delayed</v>
      </c>
    </row>
    <row r="147" spans="1:10">
      <c r="A147" t="s">
        <v>1766</v>
      </c>
      <c r="B147" t="s">
        <v>108</v>
      </c>
      <c r="C147" s="4">
        <v>46028</v>
      </c>
      <c r="D147" s="5">
        <v>73296.05</v>
      </c>
      <c r="E147" t="s">
        <v>1611</v>
      </c>
      <c r="F147" t="s">
        <v>9</v>
      </c>
      <c r="G147" t="s">
        <v>1615</v>
      </c>
      <c r="H147" t="s">
        <v>327</v>
      </c>
      <c r="I147" s="17">
        <f t="shared" ca="1" si="4"/>
        <v>122</v>
      </c>
      <c r="J147" t="str">
        <f t="shared" ca="1" si="5"/>
        <v>Delayed</v>
      </c>
    </row>
    <row r="148" spans="1:10">
      <c r="A148" t="s">
        <v>1767</v>
      </c>
      <c r="B148" t="s">
        <v>226</v>
      </c>
      <c r="C148" s="4">
        <v>45971</v>
      </c>
      <c r="D148" s="5">
        <v>81351.490000000005</v>
      </c>
      <c r="E148" t="s">
        <v>1611</v>
      </c>
      <c r="F148" t="s">
        <v>9</v>
      </c>
      <c r="G148" t="s">
        <v>1632</v>
      </c>
      <c r="H148" t="s">
        <v>327</v>
      </c>
      <c r="I148" s="17">
        <f t="shared" ca="1" si="4"/>
        <v>179</v>
      </c>
      <c r="J148" t="str">
        <f t="shared" ca="1" si="5"/>
        <v>Delayed</v>
      </c>
    </row>
    <row r="149" spans="1:10">
      <c r="A149" t="s">
        <v>1768</v>
      </c>
      <c r="B149" t="s">
        <v>196</v>
      </c>
      <c r="C149" s="4">
        <v>46159</v>
      </c>
      <c r="D149" s="5">
        <v>54409.48</v>
      </c>
      <c r="E149" t="s">
        <v>1611</v>
      </c>
      <c r="F149" t="s">
        <v>9</v>
      </c>
      <c r="G149" t="s">
        <v>1621</v>
      </c>
      <c r="H149" t="s">
        <v>327</v>
      </c>
      <c r="I149" s="17">
        <f t="shared" ca="1" si="4"/>
        <v>-9</v>
      </c>
      <c r="J149" t="str">
        <f t="shared" ca="1" si="5"/>
        <v>On Track</v>
      </c>
    </row>
    <row r="150" spans="1:10">
      <c r="A150" t="s">
        <v>1769</v>
      </c>
      <c r="B150" t="s">
        <v>16</v>
      </c>
      <c r="C150" s="4">
        <v>46138</v>
      </c>
      <c r="D150" s="5">
        <v>107822.24</v>
      </c>
      <c r="E150" t="s">
        <v>1611</v>
      </c>
      <c r="F150" t="s">
        <v>9</v>
      </c>
      <c r="G150" t="s">
        <v>1632</v>
      </c>
      <c r="H150" t="s">
        <v>336</v>
      </c>
      <c r="I150" s="17">
        <f t="shared" ca="1" si="4"/>
        <v>12</v>
      </c>
      <c r="J150" t="str">
        <f t="shared" ca="1" si="5"/>
        <v>On Track</v>
      </c>
    </row>
    <row r="151" spans="1:10">
      <c r="A151" t="s">
        <v>1770</v>
      </c>
      <c r="B151" t="s">
        <v>151</v>
      </c>
      <c r="C151" s="4">
        <v>46087</v>
      </c>
      <c r="D151" s="5">
        <v>160595.35</v>
      </c>
      <c r="E151" t="s">
        <v>1624</v>
      </c>
      <c r="F151" t="s">
        <v>9</v>
      </c>
      <c r="G151" t="s">
        <v>1615</v>
      </c>
      <c r="H151" t="s">
        <v>327</v>
      </c>
      <c r="I151" s="17">
        <f t="shared" ca="1" si="4"/>
        <v>63</v>
      </c>
      <c r="J151" t="str">
        <f t="shared" ca="1" si="5"/>
        <v>Delayed</v>
      </c>
    </row>
    <row r="152" spans="1:10">
      <c r="A152" t="s">
        <v>1771</v>
      </c>
      <c r="B152" t="s">
        <v>269</v>
      </c>
      <c r="C152" s="4">
        <v>46084</v>
      </c>
      <c r="D152" s="5">
        <v>49663.14</v>
      </c>
      <c r="E152" t="s">
        <v>1614</v>
      </c>
      <c r="F152" t="s">
        <v>9</v>
      </c>
      <c r="G152" t="s">
        <v>1619</v>
      </c>
      <c r="H152" t="s">
        <v>322</v>
      </c>
      <c r="I152" s="17">
        <f t="shared" ca="1" si="4"/>
        <v>66</v>
      </c>
      <c r="J152" t="str">
        <f t="shared" ca="1" si="5"/>
        <v>Delayed</v>
      </c>
    </row>
    <row r="153" spans="1:10">
      <c r="A153" t="s">
        <v>1772</v>
      </c>
      <c r="B153" t="s">
        <v>193</v>
      </c>
      <c r="C153" s="4">
        <v>46060</v>
      </c>
      <c r="D153" s="5">
        <v>40649.47</v>
      </c>
      <c r="E153" t="s">
        <v>1618</v>
      </c>
      <c r="F153" t="s">
        <v>9</v>
      </c>
      <c r="G153" t="s">
        <v>1632</v>
      </c>
      <c r="H153" t="s">
        <v>327</v>
      </c>
      <c r="I153" s="17">
        <f t="shared" ca="1" si="4"/>
        <v>90</v>
      </c>
      <c r="J153" t="str">
        <f t="shared" ca="1" si="5"/>
        <v>On Track</v>
      </c>
    </row>
    <row r="154" spans="1:10">
      <c r="A154" t="s">
        <v>1773</v>
      </c>
      <c r="B154" t="s">
        <v>124</v>
      </c>
      <c r="C154" s="4">
        <v>46070</v>
      </c>
      <c r="D154" s="5">
        <v>8746.2099999999991</v>
      </c>
      <c r="E154" t="s">
        <v>1618</v>
      </c>
      <c r="F154" t="s">
        <v>9</v>
      </c>
      <c r="G154" t="s">
        <v>1615</v>
      </c>
      <c r="H154" t="s">
        <v>336</v>
      </c>
      <c r="I154" s="17">
        <f t="shared" ca="1" si="4"/>
        <v>80</v>
      </c>
      <c r="J154" t="str">
        <f t="shared" ca="1" si="5"/>
        <v>On Track</v>
      </c>
    </row>
    <row r="155" spans="1:10">
      <c r="A155" t="s">
        <v>1774</v>
      </c>
      <c r="B155" t="s">
        <v>138</v>
      </c>
      <c r="C155" s="4">
        <v>45896</v>
      </c>
      <c r="D155" s="5">
        <v>45546.03</v>
      </c>
      <c r="E155" t="s">
        <v>1614</v>
      </c>
      <c r="F155" t="s">
        <v>9</v>
      </c>
      <c r="G155" t="s">
        <v>1612</v>
      </c>
      <c r="H155" t="s">
        <v>336</v>
      </c>
      <c r="I155" s="17">
        <f t="shared" ca="1" si="4"/>
        <v>254</v>
      </c>
      <c r="J155" t="str">
        <f t="shared" ca="1" si="5"/>
        <v>Delayed</v>
      </c>
    </row>
    <row r="156" spans="1:10">
      <c r="A156" t="s">
        <v>1775</v>
      </c>
      <c r="B156" t="s">
        <v>108</v>
      </c>
      <c r="C156" s="4">
        <v>45918</v>
      </c>
      <c r="D156" s="5">
        <v>213140.17</v>
      </c>
      <c r="E156" t="s">
        <v>1618</v>
      </c>
      <c r="F156" t="s">
        <v>9</v>
      </c>
      <c r="G156" t="s">
        <v>1612</v>
      </c>
      <c r="H156" t="s">
        <v>327</v>
      </c>
      <c r="I156" s="17">
        <f t="shared" ca="1" si="4"/>
        <v>232</v>
      </c>
      <c r="J156" t="str">
        <f t="shared" ca="1" si="5"/>
        <v>On Track</v>
      </c>
    </row>
    <row r="157" spans="1:10">
      <c r="A157" t="s">
        <v>1776</v>
      </c>
      <c r="B157" t="s">
        <v>228</v>
      </c>
      <c r="C157" s="4">
        <v>46168</v>
      </c>
      <c r="D157" s="5">
        <v>181044.67</v>
      </c>
      <c r="E157" t="s">
        <v>1618</v>
      </c>
      <c r="F157" t="s">
        <v>12</v>
      </c>
      <c r="G157" t="s">
        <v>1619</v>
      </c>
      <c r="H157" t="s">
        <v>322</v>
      </c>
      <c r="I157" s="17">
        <f t="shared" ca="1" si="4"/>
        <v>-18</v>
      </c>
      <c r="J157" t="str">
        <f t="shared" ca="1" si="5"/>
        <v>On Track</v>
      </c>
    </row>
    <row r="158" spans="1:10">
      <c r="A158" t="s">
        <v>1777</v>
      </c>
      <c r="B158" t="s">
        <v>74</v>
      </c>
      <c r="C158" s="4">
        <v>46156</v>
      </c>
      <c r="D158" s="5">
        <v>75129.7</v>
      </c>
      <c r="E158" t="s">
        <v>1618</v>
      </c>
      <c r="F158" t="s">
        <v>9</v>
      </c>
      <c r="G158" t="s">
        <v>1619</v>
      </c>
      <c r="H158" t="s">
        <v>336</v>
      </c>
      <c r="I158" s="17">
        <f t="shared" ca="1" si="4"/>
        <v>-6</v>
      </c>
      <c r="J158" t="str">
        <f t="shared" ca="1" si="5"/>
        <v>On Track</v>
      </c>
    </row>
    <row r="159" spans="1:10">
      <c r="A159" t="s">
        <v>1778</v>
      </c>
      <c r="B159" t="s">
        <v>140</v>
      </c>
      <c r="C159" s="4">
        <v>46028</v>
      </c>
      <c r="D159" s="5">
        <v>165432.75</v>
      </c>
      <c r="E159" t="s">
        <v>1624</v>
      </c>
      <c r="F159" t="s">
        <v>9</v>
      </c>
      <c r="G159" t="s">
        <v>1615</v>
      </c>
      <c r="H159" t="s">
        <v>322</v>
      </c>
      <c r="I159" s="17">
        <f t="shared" ca="1" si="4"/>
        <v>122</v>
      </c>
      <c r="J159" t="str">
        <f t="shared" ca="1" si="5"/>
        <v>Delayed</v>
      </c>
    </row>
    <row r="160" spans="1:10">
      <c r="A160" t="s">
        <v>1779</v>
      </c>
      <c r="B160" t="s">
        <v>32</v>
      </c>
      <c r="C160" s="4">
        <v>45927</v>
      </c>
      <c r="D160" s="5">
        <v>27812.04</v>
      </c>
      <c r="E160" t="s">
        <v>1614</v>
      </c>
      <c r="F160" t="s">
        <v>9</v>
      </c>
      <c r="G160" t="s">
        <v>1615</v>
      </c>
      <c r="H160" t="s">
        <v>327</v>
      </c>
      <c r="I160" s="17">
        <f t="shared" ca="1" si="4"/>
        <v>223</v>
      </c>
      <c r="J160" t="str">
        <f t="shared" ca="1" si="5"/>
        <v>Delayed</v>
      </c>
    </row>
    <row r="161" spans="1:10">
      <c r="A161" t="s">
        <v>1780</v>
      </c>
      <c r="B161" t="s">
        <v>186</v>
      </c>
      <c r="C161" s="4">
        <v>45973</v>
      </c>
      <c r="D161" s="5">
        <v>7209.66</v>
      </c>
      <c r="E161" t="s">
        <v>1631</v>
      </c>
      <c r="F161" t="s">
        <v>9</v>
      </c>
      <c r="G161" t="s">
        <v>1621</v>
      </c>
      <c r="H161" t="s">
        <v>327</v>
      </c>
      <c r="I161" s="17">
        <f t="shared" ca="1" si="4"/>
        <v>177</v>
      </c>
      <c r="J161" t="str">
        <f t="shared" ca="1" si="5"/>
        <v>Delayed</v>
      </c>
    </row>
    <row r="162" spans="1:10">
      <c r="A162" t="s">
        <v>1781</v>
      </c>
      <c r="B162" t="s">
        <v>129</v>
      </c>
      <c r="C162" s="4">
        <v>45931</v>
      </c>
      <c r="D162" s="5">
        <v>17948.57</v>
      </c>
      <c r="E162" t="s">
        <v>1618</v>
      </c>
      <c r="F162" t="s">
        <v>9</v>
      </c>
      <c r="G162" t="s">
        <v>1619</v>
      </c>
      <c r="H162" t="s">
        <v>322</v>
      </c>
      <c r="I162" s="17">
        <f t="shared" ca="1" si="4"/>
        <v>219</v>
      </c>
      <c r="J162" t="str">
        <f t="shared" ca="1" si="5"/>
        <v>On Track</v>
      </c>
    </row>
    <row r="163" spans="1:10">
      <c r="A163" t="s">
        <v>1782</v>
      </c>
      <c r="B163" t="s">
        <v>23</v>
      </c>
      <c r="C163" s="4">
        <v>46093</v>
      </c>
      <c r="D163" s="5">
        <v>87159.61</v>
      </c>
      <c r="E163" t="s">
        <v>1618</v>
      </c>
      <c r="F163" t="s">
        <v>9</v>
      </c>
      <c r="G163" t="s">
        <v>1612</v>
      </c>
      <c r="H163" t="s">
        <v>327</v>
      </c>
      <c r="I163" s="17">
        <f t="shared" ca="1" si="4"/>
        <v>57</v>
      </c>
      <c r="J163" t="str">
        <f t="shared" ca="1" si="5"/>
        <v>On Track</v>
      </c>
    </row>
    <row r="164" spans="1:10">
      <c r="A164" t="s">
        <v>1783</v>
      </c>
      <c r="B164" t="s">
        <v>74</v>
      </c>
      <c r="C164" s="4">
        <v>45992</v>
      </c>
      <c r="D164" s="5">
        <v>27948.61</v>
      </c>
      <c r="E164" t="s">
        <v>1618</v>
      </c>
      <c r="F164" t="s">
        <v>9</v>
      </c>
      <c r="G164" t="s">
        <v>1621</v>
      </c>
      <c r="H164" t="s">
        <v>336</v>
      </c>
      <c r="I164" s="17">
        <f t="shared" ca="1" si="4"/>
        <v>158</v>
      </c>
      <c r="J164" t="str">
        <f t="shared" ca="1" si="5"/>
        <v>On Track</v>
      </c>
    </row>
    <row r="165" spans="1:10">
      <c r="A165" t="s">
        <v>1784</v>
      </c>
      <c r="B165" t="s">
        <v>144</v>
      </c>
      <c r="C165" s="4">
        <v>46017</v>
      </c>
      <c r="D165" s="5">
        <v>190877.56</v>
      </c>
      <c r="E165" t="s">
        <v>1624</v>
      </c>
      <c r="F165" t="s">
        <v>9</v>
      </c>
      <c r="G165" t="s">
        <v>1632</v>
      </c>
      <c r="H165" t="s">
        <v>336</v>
      </c>
      <c r="I165" s="17">
        <f t="shared" ca="1" si="4"/>
        <v>133</v>
      </c>
      <c r="J165" t="str">
        <f t="shared" ca="1" si="5"/>
        <v>Delayed</v>
      </c>
    </row>
    <row r="166" spans="1:10">
      <c r="A166" t="s">
        <v>1785</v>
      </c>
      <c r="B166" t="s">
        <v>159</v>
      </c>
      <c r="C166" s="4">
        <v>45923</v>
      </c>
      <c r="D166" s="5">
        <v>40153.69</v>
      </c>
      <c r="E166" t="s">
        <v>1629</v>
      </c>
      <c r="F166" t="s">
        <v>12</v>
      </c>
      <c r="G166" t="s">
        <v>1619</v>
      </c>
      <c r="H166" t="s">
        <v>327</v>
      </c>
      <c r="I166" s="17">
        <f t="shared" ca="1" si="4"/>
        <v>227</v>
      </c>
      <c r="J166" t="str">
        <f t="shared" ca="1" si="5"/>
        <v>Delayed</v>
      </c>
    </row>
    <row r="167" spans="1:10">
      <c r="A167" t="s">
        <v>1786</v>
      </c>
      <c r="B167" t="s">
        <v>225</v>
      </c>
      <c r="C167" s="4">
        <v>46103</v>
      </c>
      <c r="D167" s="5">
        <v>33637.57</v>
      </c>
      <c r="E167" t="s">
        <v>1611</v>
      </c>
      <c r="F167" t="s">
        <v>9</v>
      </c>
      <c r="G167" t="s">
        <v>1612</v>
      </c>
      <c r="H167" t="s">
        <v>322</v>
      </c>
      <c r="I167" s="17">
        <f t="shared" ca="1" si="4"/>
        <v>47</v>
      </c>
      <c r="J167" t="str">
        <f t="shared" ca="1" si="5"/>
        <v>Delayed</v>
      </c>
    </row>
    <row r="168" spans="1:10">
      <c r="A168" t="s">
        <v>1787</v>
      </c>
      <c r="B168" t="s">
        <v>173</v>
      </c>
      <c r="C168" s="4">
        <v>46096</v>
      </c>
      <c r="D168" s="5">
        <v>31077.37</v>
      </c>
      <c r="E168" t="s">
        <v>1624</v>
      </c>
      <c r="F168" t="s">
        <v>9</v>
      </c>
      <c r="G168" t="s">
        <v>1621</v>
      </c>
      <c r="H168" t="s">
        <v>322</v>
      </c>
      <c r="I168" s="17">
        <f t="shared" ca="1" si="4"/>
        <v>54</v>
      </c>
      <c r="J168" t="str">
        <f t="shared" ca="1" si="5"/>
        <v>Delayed</v>
      </c>
    </row>
    <row r="169" spans="1:10">
      <c r="A169" t="s">
        <v>1788</v>
      </c>
      <c r="B169" t="s">
        <v>49</v>
      </c>
      <c r="C169" s="4">
        <v>46010</v>
      </c>
      <c r="D169" s="5">
        <v>12070.22</v>
      </c>
      <c r="E169" t="s">
        <v>1614</v>
      </c>
      <c r="F169" t="s">
        <v>9</v>
      </c>
      <c r="G169" t="s">
        <v>1615</v>
      </c>
      <c r="H169" t="s">
        <v>327</v>
      </c>
      <c r="I169" s="17">
        <f t="shared" ca="1" si="4"/>
        <v>140</v>
      </c>
      <c r="J169" t="str">
        <f t="shared" ca="1" si="5"/>
        <v>Delayed</v>
      </c>
    </row>
    <row r="170" spans="1:10">
      <c r="A170" t="s">
        <v>1789</v>
      </c>
      <c r="B170" t="s">
        <v>253</v>
      </c>
      <c r="C170" s="4">
        <v>46137</v>
      </c>
      <c r="D170" s="5">
        <v>75421.03</v>
      </c>
      <c r="E170" t="s">
        <v>1631</v>
      </c>
      <c r="F170" t="s">
        <v>9</v>
      </c>
      <c r="G170" t="s">
        <v>1632</v>
      </c>
      <c r="H170" t="s">
        <v>322</v>
      </c>
      <c r="I170" s="17">
        <f t="shared" ca="1" si="4"/>
        <v>13</v>
      </c>
      <c r="J170" t="str">
        <f t="shared" ca="1" si="5"/>
        <v>On Track</v>
      </c>
    </row>
    <row r="171" spans="1:10">
      <c r="A171" t="s">
        <v>1790</v>
      </c>
      <c r="B171" t="s">
        <v>170</v>
      </c>
      <c r="C171" s="4">
        <v>46157</v>
      </c>
      <c r="D171" s="5">
        <v>100296.51</v>
      </c>
      <c r="E171" t="s">
        <v>1618</v>
      </c>
      <c r="F171" t="s">
        <v>9</v>
      </c>
      <c r="G171" t="s">
        <v>1632</v>
      </c>
      <c r="H171" t="s">
        <v>322</v>
      </c>
      <c r="I171" s="17">
        <f t="shared" ca="1" si="4"/>
        <v>-7</v>
      </c>
      <c r="J171" t="str">
        <f t="shared" ca="1" si="5"/>
        <v>On Track</v>
      </c>
    </row>
    <row r="172" spans="1:10">
      <c r="A172" t="s">
        <v>1791</v>
      </c>
      <c r="B172" t="s">
        <v>196</v>
      </c>
      <c r="C172" s="4">
        <v>46070</v>
      </c>
      <c r="D172" s="5">
        <v>11683.76</v>
      </c>
      <c r="E172" t="s">
        <v>1629</v>
      </c>
      <c r="F172" t="s">
        <v>12</v>
      </c>
      <c r="G172" t="s">
        <v>1621</v>
      </c>
      <c r="H172" t="s">
        <v>336</v>
      </c>
      <c r="I172" s="17">
        <f t="shared" ca="1" si="4"/>
        <v>80</v>
      </c>
      <c r="J172" t="str">
        <f t="shared" ca="1" si="5"/>
        <v>Delayed</v>
      </c>
    </row>
    <row r="173" spans="1:10">
      <c r="A173" t="s">
        <v>1792</v>
      </c>
      <c r="B173" t="s">
        <v>45</v>
      </c>
      <c r="C173" s="4">
        <v>45961</v>
      </c>
      <c r="D173" s="5">
        <v>112215.54</v>
      </c>
      <c r="E173" t="s">
        <v>1624</v>
      </c>
      <c r="F173" t="s">
        <v>9</v>
      </c>
      <c r="G173" t="s">
        <v>1615</v>
      </c>
      <c r="H173" t="s">
        <v>336</v>
      </c>
      <c r="I173" s="17">
        <f t="shared" ca="1" si="4"/>
        <v>189</v>
      </c>
      <c r="J173" t="str">
        <f t="shared" ca="1" si="5"/>
        <v>Delayed</v>
      </c>
    </row>
    <row r="174" spans="1:10">
      <c r="A174" t="s">
        <v>1793</v>
      </c>
      <c r="B174" t="s">
        <v>53</v>
      </c>
      <c r="C174" s="4">
        <v>46034</v>
      </c>
      <c r="D174" s="5">
        <v>154278.59</v>
      </c>
      <c r="E174" t="s">
        <v>1618</v>
      </c>
      <c r="F174" t="s">
        <v>9</v>
      </c>
      <c r="G174" t="s">
        <v>1621</v>
      </c>
      <c r="H174" t="s">
        <v>327</v>
      </c>
      <c r="I174" s="17">
        <f t="shared" ca="1" si="4"/>
        <v>116</v>
      </c>
      <c r="J174" t="str">
        <f t="shared" ca="1" si="5"/>
        <v>On Track</v>
      </c>
    </row>
    <row r="175" spans="1:10">
      <c r="A175" t="s">
        <v>1794</v>
      </c>
      <c r="B175" t="s">
        <v>273</v>
      </c>
      <c r="C175" s="4">
        <v>45884</v>
      </c>
      <c r="D175" s="5">
        <v>209090.59</v>
      </c>
      <c r="E175" t="s">
        <v>1614</v>
      </c>
      <c r="F175" t="s">
        <v>12</v>
      </c>
      <c r="G175" t="s">
        <v>1612</v>
      </c>
      <c r="H175" t="s">
        <v>336</v>
      </c>
      <c r="I175" s="17">
        <f t="shared" ca="1" si="4"/>
        <v>266</v>
      </c>
      <c r="J175" t="str">
        <f t="shared" ca="1" si="5"/>
        <v>Delayed</v>
      </c>
    </row>
    <row r="176" spans="1:10">
      <c r="A176" t="s">
        <v>1795</v>
      </c>
      <c r="B176" t="s">
        <v>56</v>
      </c>
      <c r="C176" s="4">
        <v>46112</v>
      </c>
      <c r="D176" s="5">
        <v>48927.38</v>
      </c>
      <c r="E176" t="s">
        <v>1614</v>
      </c>
      <c r="F176" t="s">
        <v>9</v>
      </c>
      <c r="G176" t="s">
        <v>1619</v>
      </c>
      <c r="H176" t="s">
        <v>327</v>
      </c>
      <c r="I176" s="17">
        <f t="shared" ca="1" si="4"/>
        <v>38</v>
      </c>
      <c r="J176" t="str">
        <f t="shared" ca="1" si="5"/>
        <v>Delayed</v>
      </c>
    </row>
    <row r="177" spans="1:10">
      <c r="A177" t="s">
        <v>1796</v>
      </c>
      <c r="B177" t="s">
        <v>38</v>
      </c>
      <c r="C177" s="4">
        <v>45958</v>
      </c>
      <c r="D177" s="5">
        <v>34778.9</v>
      </c>
      <c r="E177" t="s">
        <v>1611</v>
      </c>
      <c r="F177" t="s">
        <v>9</v>
      </c>
      <c r="G177" t="s">
        <v>1612</v>
      </c>
      <c r="H177" t="s">
        <v>327</v>
      </c>
      <c r="I177" s="17">
        <f t="shared" ca="1" si="4"/>
        <v>192</v>
      </c>
      <c r="J177" t="str">
        <f t="shared" ca="1" si="5"/>
        <v>Delayed</v>
      </c>
    </row>
    <row r="178" spans="1:10">
      <c r="A178" t="s">
        <v>1797</v>
      </c>
      <c r="B178" t="s">
        <v>245</v>
      </c>
      <c r="C178" s="4">
        <v>45997</v>
      </c>
      <c r="D178" s="5">
        <v>59634.44</v>
      </c>
      <c r="E178" t="s">
        <v>1629</v>
      </c>
      <c r="F178" t="s">
        <v>12</v>
      </c>
      <c r="G178" t="s">
        <v>1612</v>
      </c>
      <c r="H178" t="s">
        <v>336</v>
      </c>
      <c r="I178" s="17">
        <f t="shared" ca="1" si="4"/>
        <v>153</v>
      </c>
      <c r="J178" t="str">
        <f t="shared" ca="1" si="5"/>
        <v>Delayed</v>
      </c>
    </row>
    <row r="179" spans="1:10">
      <c r="A179" t="s">
        <v>1798</v>
      </c>
      <c r="B179" t="s">
        <v>96</v>
      </c>
      <c r="C179" s="4">
        <v>46060</v>
      </c>
      <c r="D179" s="5">
        <v>163321.64000000001</v>
      </c>
      <c r="E179" t="s">
        <v>1629</v>
      </c>
      <c r="F179" t="s">
        <v>12</v>
      </c>
      <c r="G179" t="s">
        <v>1619</v>
      </c>
      <c r="H179" t="s">
        <v>336</v>
      </c>
      <c r="I179" s="17">
        <f t="shared" ca="1" si="4"/>
        <v>90</v>
      </c>
      <c r="J179" t="str">
        <f t="shared" ca="1" si="5"/>
        <v>Delayed</v>
      </c>
    </row>
    <row r="180" spans="1:10">
      <c r="A180" t="s">
        <v>1799</v>
      </c>
      <c r="B180" t="s">
        <v>99</v>
      </c>
      <c r="C180" s="4">
        <v>46099</v>
      </c>
      <c r="D180" s="5">
        <v>106199.69</v>
      </c>
      <c r="E180" t="s">
        <v>1624</v>
      </c>
      <c r="F180" t="s">
        <v>9</v>
      </c>
      <c r="G180" t="s">
        <v>1619</v>
      </c>
      <c r="H180" t="s">
        <v>327</v>
      </c>
      <c r="I180" s="17">
        <f t="shared" ca="1" si="4"/>
        <v>51</v>
      </c>
      <c r="J180" t="str">
        <f t="shared" ca="1" si="5"/>
        <v>Delayed</v>
      </c>
    </row>
    <row r="181" spans="1:10">
      <c r="A181" t="s">
        <v>1800</v>
      </c>
      <c r="B181" t="s">
        <v>262</v>
      </c>
      <c r="C181" s="4">
        <v>46120</v>
      </c>
      <c r="D181" s="5">
        <v>19757.099999999999</v>
      </c>
      <c r="E181" t="s">
        <v>1611</v>
      </c>
      <c r="F181" t="s">
        <v>9</v>
      </c>
      <c r="G181" t="s">
        <v>1619</v>
      </c>
      <c r="H181" t="s">
        <v>336</v>
      </c>
      <c r="I181" s="17">
        <f t="shared" ca="1" si="4"/>
        <v>30</v>
      </c>
      <c r="J181" t="str">
        <f t="shared" ca="1" si="5"/>
        <v>On Track</v>
      </c>
    </row>
    <row r="182" spans="1:10">
      <c r="A182" t="s">
        <v>1801</v>
      </c>
      <c r="B182" t="s">
        <v>211</v>
      </c>
      <c r="C182" s="4">
        <v>46139</v>
      </c>
      <c r="D182" s="5">
        <v>42881.36</v>
      </c>
      <c r="E182" t="s">
        <v>1614</v>
      </c>
      <c r="F182" t="s">
        <v>9</v>
      </c>
      <c r="G182" t="s">
        <v>1612</v>
      </c>
      <c r="H182" t="s">
        <v>327</v>
      </c>
      <c r="I182" s="17">
        <f t="shared" ca="1" si="4"/>
        <v>11</v>
      </c>
      <c r="J182" t="str">
        <f t="shared" ca="1" si="5"/>
        <v>On Track</v>
      </c>
    </row>
    <row r="183" spans="1:10">
      <c r="A183" t="s">
        <v>1802</v>
      </c>
      <c r="B183" t="s">
        <v>57</v>
      </c>
      <c r="C183" s="4">
        <v>45940</v>
      </c>
      <c r="D183" s="5">
        <v>96149.82</v>
      </c>
      <c r="E183" t="s">
        <v>1611</v>
      </c>
      <c r="F183" t="s">
        <v>9</v>
      </c>
      <c r="G183" t="s">
        <v>1615</v>
      </c>
      <c r="H183" t="s">
        <v>327</v>
      </c>
      <c r="I183" s="17">
        <f t="shared" ca="1" si="4"/>
        <v>210</v>
      </c>
      <c r="J183" t="str">
        <f t="shared" ca="1" si="5"/>
        <v>Delayed</v>
      </c>
    </row>
    <row r="184" spans="1:10">
      <c r="A184" t="s">
        <v>1803</v>
      </c>
      <c r="B184" t="s">
        <v>217</v>
      </c>
      <c r="C184" s="4">
        <v>45963</v>
      </c>
      <c r="D184" s="5">
        <v>103759.02</v>
      </c>
      <c r="E184" t="s">
        <v>1624</v>
      </c>
      <c r="F184" t="s">
        <v>9</v>
      </c>
      <c r="G184" t="s">
        <v>1615</v>
      </c>
      <c r="H184" t="s">
        <v>336</v>
      </c>
      <c r="I184" s="17">
        <f t="shared" ca="1" si="4"/>
        <v>187</v>
      </c>
      <c r="J184" t="str">
        <f t="shared" ca="1" si="5"/>
        <v>Delayed</v>
      </c>
    </row>
    <row r="185" spans="1:10">
      <c r="A185" t="s">
        <v>1804</v>
      </c>
      <c r="B185" t="s">
        <v>202</v>
      </c>
      <c r="C185" s="4">
        <v>45975</v>
      </c>
      <c r="D185" s="5">
        <v>139123.28</v>
      </c>
      <c r="E185" t="s">
        <v>1611</v>
      </c>
      <c r="F185" t="s">
        <v>9</v>
      </c>
      <c r="G185" t="s">
        <v>1615</v>
      </c>
      <c r="H185" t="s">
        <v>322</v>
      </c>
      <c r="I185" s="17">
        <f t="shared" ca="1" si="4"/>
        <v>175</v>
      </c>
      <c r="J185" t="str">
        <f t="shared" ca="1" si="5"/>
        <v>Delayed</v>
      </c>
    </row>
    <row r="186" spans="1:10">
      <c r="A186" t="s">
        <v>1805</v>
      </c>
      <c r="B186" t="s">
        <v>204</v>
      </c>
      <c r="C186" s="4">
        <v>45939</v>
      </c>
      <c r="D186" s="5">
        <v>146394.04</v>
      </c>
      <c r="E186" t="s">
        <v>1611</v>
      </c>
      <c r="F186" t="s">
        <v>9</v>
      </c>
      <c r="G186" t="s">
        <v>1612</v>
      </c>
      <c r="H186" t="s">
        <v>322</v>
      </c>
      <c r="I186" s="17">
        <f t="shared" ca="1" si="4"/>
        <v>211</v>
      </c>
      <c r="J186" t="str">
        <f t="shared" ca="1" si="5"/>
        <v>Delayed</v>
      </c>
    </row>
    <row r="187" spans="1:10">
      <c r="A187" t="s">
        <v>1806</v>
      </c>
      <c r="B187" t="s">
        <v>105</v>
      </c>
      <c r="C187" s="4">
        <v>45934</v>
      </c>
      <c r="D187" s="5">
        <v>221448.56</v>
      </c>
      <c r="E187" t="s">
        <v>1611</v>
      </c>
      <c r="F187" t="s">
        <v>12</v>
      </c>
      <c r="G187" t="s">
        <v>1619</v>
      </c>
      <c r="H187" t="s">
        <v>327</v>
      </c>
      <c r="I187" s="17">
        <f t="shared" ca="1" si="4"/>
        <v>216</v>
      </c>
      <c r="J187" t="str">
        <f t="shared" ca="1" si="5"/>
        <v>Delayed</v>
      </c>
    </row>
    <row r="188" spans="1:10">
      <c r="A188" t="s">
        <v>1807</v>
      </c>
      <c r="B188" t="s">
        <v>108</v>
      </c>
      <c r="C188" s="4">
        <v>46145</v>
      </c>
      <c r="D188" s="5">
        <v>107277.9</v>
      </c>
      <c r="E188" t="s">
        <v>1614</v>
      </c>
      <c r="F188" t="s">
        <v>9</v>
      </c>
      <c r="G188" t="s">
        <v>1632</v>
      </c>
      <c r="H188" t="s">
        <v>336</v>
      </c>
      <c r="I188" s="17">
        <f t="shared" ca="1" si="4"/>
        <v>5</v>
      </c>
      <c r="J188" t="str">
        <f t="shared" ca="1" si="5"/>
        <v>On Track</v>
      </c>
    </row>
    <row r="189" spans="1:10">
      <c r="A189" t="s">
        <v>1808</v>
      </c>
      <c r="B189" t="s">
        <v>101</v>
      </c>
      <c r="C189" s="4">
        <v>46052</v>
      </c>
      <c r="D189" s="5">
        <v>20393.740000000002</v>
      </c>
      <c r="E189" t="s">
        <v>1629</v>
      </c>
      <c r="F189" t="s">
        <v>12</v>
      </c>
      <c r="G189" t="s">
        <v>1632</v>
      </c>
      <c r="H189" t="s">
        <v>327</v>
      </c>
      <c r="I189" s="17">
        <f t="shared" ca="1" si="4"/>
        <v>98</v>
      </c>
      <c r="J189" t="str">
        <f t="shared" ca="1" si="5"/>
        <v>Delayed</v>
      </c>
    </row>
    <row r="190" spans="1:10">
      <c r="A190" t="s">
        <v>1809</v>
      </c>
      <c r="B190" t="s">
        <v>59</v>
      </c>
      <c r="C190" s="4">
        <v>46163</v>
      </c>
      <c r="D190" s="5">
        <v>82937.14</v>
      </c>
      <c r="E190" t="s">
        <v>1618</v>
      </c>
      <c r="F190" t="s">
        <v>9</v>
      </c>
      <c r="G190" t="s">
        <v>1632</v>
      </c>
      <c r="H190" t="s">
        <v>336</v>
      </c>
      <c r="I190" s="17">
        <f t="shared" ca="1" si="4"/>
        <v>-13</v>
      </c>
      <c r="J190" t="str">
        <f t="shared" ca="1" si="5"/>
        <v>On Track</v>
      </c>
    </row>
    <row r="191" spans="1:10">
      <c r="A191" t="s">
        <v>1810</v>
      </c>
      <c r="B191" t="s">
        <v>89</v>
      </c>
      <c r="C191" s="4">
        <v>45898</v>
      </c>
      <c r="D191" s="5">
        <v>65510.01</v>
      </c>
      <c r="E191" t="s">
        <v>1629</v>
      </c>
      <c r="F191" t="s">
        <v>12</v>
      </c>
      <c r="G191" t="s">
        <v>1615</v>
      </c>
      <c r="H191" t="s">
        <v>336</v>
      </c>
      <c r="I191" s="17">
        <f t="shared" ca="1" si="4"/>
        <v>252</v>
      </c>
      <c r="J191" t="str">
        <f t="shared" ca="1" si="5"/>
        <v>Delayed</v>
      </c>
    </row>
    <row r="192" spans="1:10">
      <c r="A192" t="s">
        <v>1811</v>
      </c>
      <c r="B192" t="s">
        <v>56</v>
      </c>
      <c r="C192" s="4">
        <v>46003</v>
      </c>
      <c r="D192" s="5">
        <v>81813.919999999998</v>
      </c>
      <c r="E192" t="s">
        <v>1631</v>
      </c>
      <c r="F192" t="s">
        <v>9</v>
      </c>
      <c r="G192" t="s">
        <v>1619</v>
      </c>
      <c r="H192" t="s">
        <v>336</v>
      </c>
      <c r="I192" s="17">
        <f t="shared" ca="1" si="4"/>
        <v>147</v>
      </c>
      <c r="J192" t="str">
        <f t="shared" ca="1" si="5"/>
        <v>Delayed</v>
      </c>
    </row>
    <row r="193" spans="1:10">
      <c r="A193" t="s">
        <v>1812</v>
      </c>
      <c r="B193" t="s">
        <v>112</v>
      </c>
      <c r="C193" s="4">
        <v>45899</v>
      </c>
      <c r="D193" s="5">
        <v>6495.46</v>
      </c>
      <c r="E193" t="s">
        <v>1618</v>
      </c>
      <c r="F193" t="s">
        <v>9</v>
      </c>
      <c r="G193" t="s">
        <v>1612</v>
      </c>
      <c r="H193" t="s">
        <v>327</v>
      </c>
      <c r="I193" s="17">
        <f t="shared" ca="1" si="4"/>
        <v>251</v>
      </c>
      <c r="J193" t="str">
        <f t="shared" ca="1" si="5"/>
        <v>On Track</v>
      </c>
    </row>
    <row r="194" spans="1:10">
      <c r="A194" t="s">
        <v>1813</v>
      </c>
      <c r="B194" t="s">
        <v>87</v>
      </c>
      <c r="C194" s="4">
        <v>45906</v>
      </c>
      <c r="D194" s="5">
        <v>79016.490000000005</v>
      </c>
      <c r="E194" t="s">
        <v>1618</v>
      </c>
      <c r="F194" t="s">
        <v>9</v>
      </c>
      <c r="G194" t="s">
        <v>1612</v>
      </c>
      <c r="H194" t="s">
        <v>336</v>
      </c>
      <c r="I194" s="17">
        <f t="shared" ref="I194:I257" ca="1" si="6">TODAY()-C194</f>
        <v>244</v>
      </c>
      <c r="J194" t="str">
        <f t="shared" ref="J194:J257" ca="1" si="7">IF(AND(I194&gt;30,E194&lt;&gt;"Paid"),"Delayed","On Track")</f>
        <v>On Track</v>
      </c>
    </row>
    <row r="195" spans="1:10">
      <c r="A195" t="s">
        <v>1814</v>
      </c>
      <c r="B195" t="s">
        <v>188</v>
      </c>
      <c r="C195" s="4">
        <v>46082</v>
      </c>
      <c r="D195" s="5">
        <v>60842.66</v>
      </c>
      <c r="E195" t="s">
        <v>1618</v>
      </c>
      <c r="F195" t="s">
        <v>12</v>
      </c>
      <c r="G195" t="s">
        <v>1615</v>
      </c>
      <c r="H195" t="s">
        <v>336</v>
      </c>
      <c r="I195" s="17">
        <f t="shared" ca="1" si="6"/>
        <v>68</v>
      </c>
      <c r="J195" t="str">
        <f t="shared" ca="1" si="7"/>
        <v>On Track</v>
      </c>
    </row>
    <row r="196" spans="1:10">
      <c r="A196" t="s">
        <v>1815</v>
      </c>
      <c r="B196" t="s">
        <v>53</v>
      </c>
      <c r="C196" s="4">
        <v>46007</v>
      </c>
      <c r="D196" s="5">
        <v>181739.23</v>
      </c>
      <c r="E196" t="s">
        <v>1614</v>
      </c>
      <c r="F196" t="s">
        <v>9</v>
      </c>
      <c r="G196" t="s">
        <v>1619</v>
      </c>
      <c r="H196" t="s">
        <v>322</v>
      </c>
      <c r="I196" s="17">
        <f t="shared" ca="1" si="6"/>
        <v>143</v>
      </c>
      <c r="J196" t="str">
        <f t="shared" ca="1" si="7"/>
        <v>Delayed</v>
      </c>
    </row>
    <row r="197" spans="1:10">
      <c r="A197" t="s">
        <v>1816</v>
      </c>
      <c r="B197" t="s">
        <v>253</v>
      </c>
      <c r="C197" s="4">
        <v>46089</v>
      </c>
      <c r="D197" s="5">
        <v>87190.89</v>
      </c>
      <c r="E197" t="s">
        <v>1629</v>
      </c>
      <c r="F197" t="s">
        <v>12</v>
      </c>
      <c r="G197" t="s">
        <v>1619</v>
      </c>
      <c r="H197" t="s">
        <v>327</v>
      </c>
      <c r="I197" s="17">
        <f t="shared" ca="1" si="6"/>
        <v>61</v>
      </c>
      <c r="J197" t="str">
        <f t="shared" ca="1" si="7"/>
        <v>Delayed</v>
      </c>
    </row>
    <row r="198" spans="1:10">
      <c r="A198" t="s">
        <v>1817</v>
      </c>
      <c r="B198" t="s">
        <v>56</v>
      </c>
      <c r="C198" s="4">
        <v>45897</v>
      </c>
      <c r="D198" s="5">
        <v>19260.63</v>
      </c>
      <c r="E198" t="s">
        <v>1629</v>
      </c>
      <c r="F198" t="s">
        <v>12</v>
      </c>
      <c r="G198" t="s">
        <v>1619</v>
      </c>
      <c r="H198" t="s">
        <v>322</v>
      </c>
      <c r="I198" s="17">
        <f t="shared" ca="1" si="6"/>
        <v>253</v>
      </c>
      <c r="J198" t="str">
        <f t="shared" ca="1" si="7"/>
        <v>Delayed</v>
      </c>
    </row>
    <row r="199" spans="1:10">
      <c r="A199" t="s">
        <v>1818</v>
      </c>
      <c r="B199" t="s">
        <v>51</v>
      </c>
      <c r="C199" s="4">
        <v>46063</v>
      </c>
      <c r="D199" s="5">
        <v>34537.919999999998</v>
      </c>
      <c r="E199" t="s">
        <v>1618</v>
      </c>
      <c r="F199" t="s">
        <v>9</v>
      </c>
      <c r="G199" t="s">
        <v>1612</v>
      </c>
      <c r="H199" t="s">
        <v>336</v>
      </c>
      <c r="I199" s="17">
        <f t="shared" ca="1" si="6"/>
        <v>87</v>
      </c>
      <c r="J199" t="str">
        <f t="shared" ca="1" si="7"/>
        <v>On Track</v>
      </c>
    </row>
    <row r="200" spans="1:10">
      <c r="A200" t="s">
        <v>1819</v>
      </c>
      <c r="B200" t="s">
        <v>269</v>
      </c>
      <c r="C200" s="4">
        <v>46062</v>
      </c>
      <c r="D200" s="5">
        <v>167838.82</v>
      </c>
      <c r="E200" t="s">
        <v>1611</v>
      </c>
      <c r="F200" t="s">
        <v>9</v>
      </c>
      <c r="G200" t="s">
        <v>1619</v>
      </c>
      <c r="H200" t="s">
        <v>327</v>
      </c>
      <c r="I200" s="17">
        <f t="shared" ca="1" si="6"/>
        <v>88</v>
      </c>
      <c r="J200" t="str">
        <f t="shared" ca="1" si="7"/>
        <v>Delayed</v>
      </c>
    </row>
    <row r="201" spans="1:10">
      <c r="A201" t="s">
        <v>1820</v>
      </c>
      <c r="B201" t="s">
        <v>142</v>
      </c>
      <c r="C201" s="4">
        <v>45929</v>
      </c>
      <c r="D201" s="5">
        <v>120148.15</v>
      </c>
      <c r="E201" t="s">
        <v>1624</v>
      </c>
      <c r="F201" t="s">
        <v>9</v>
      </c>
      <c r="G201" t="s">
        <v>1619</v>
      </c>
      <c r="H201" t="s">
        <v>336</v>
      </c>
      <c r="I201" s="17">
        <f t="shared" ca="1" si="6"/>
        <v>221</v>
      </c>
      <c r="J201" t="str">
        <f t="shared" ca="1" si="7"/>
        <v>Delayed</v>
      </c>
    </row>
    <row r="202" spans="1:10">
      <c r="A202" t="s">
        <v>1821</v>
      </c>
      <c r="B202" t="s">
        <v>286</v>
      </c>
      <c r="C202" s="4">
        <v>45898</v>
      </c>
      <c r="D202" s="5">
        <v>89077.8</v>
      </c>
      <c r="E202" t="s">
        <v>1631</v>
      </c>
      <c r="F202" t="s">
        <v>12</v>
      </c>
      <c r="G202" t="s">
        <v>1621</v>
      </c>
      <c r="H202" t="s">
        <v>322</v>
      </c>
      <c r="I202" s="17">
        <f t="shared" ca="1" si="6"/>
        <v>252</v>
      </c>
      <c r="J202" t="str">
        <f t="shared" ca="1" si="7"/>
        <v>Delayed</v>
      </c>
    </row>
    <row r="203" spans="1:10">
      <c r="A203" t="s">
        <v>1822</v>
      </c>
      <c r="B203" t="s">
        <v>124</v>
      </c>
      <c r="C203" s="4">
        <v>46143</v>
      </c>
      <c r="D203" s="5">
        <v>21961.45</v>
      </c>
      <c r="E203" t="s">
        <v>1624</v>
      </c>
      <c r="F203" t="s">
        <v>12</v>
      </c>
      <c r="G203" t="s">
        <v>1619</v>
      </c>
      <c r="H203" t="s">
        <v>327</v>
      </c>
      <c r="I203" s="17">
        <f t="shared" ca="1" si="6"/>
        <v>7</v>
      </c>
      <c r="J203" t="str">
        <f t="shared" ca="1" si="7"/>
        <v>On Track</v>
      </c>
    </row>
    <row r="204" spans="1:10">
      <c r="A204" t="s">
        <v>1823</v>
      </c>
      <c r="B204" t="s">
        <v>188</v>
      </c>
      <c r="C204" s="4">
        <v>45898</v>
      </c>
      <c r="D204" s="5">
        <v>23339.23</v>
      </c>
      <c r="E204" t="s">
        <v>1614</v>
      </c>
      <c r="F204" t="s">
        <v>12</v>
      </c>
      <c r="G204" t="s">
        <v>1632</v>
      </c>
      <c r="H204" t="s">
        <v>322</v>
      </c>
      <c r="I204" s="17">
        <f t="shared" ca="1" si="6"/>
        <v>252</v>
      </c>
      <c r="J204" t="str">
        <f t="shared" ca="1" si="7"/>
        <v>Delayed</v>
      </c>
    </row>
    <row r="205" spans="1:10">
      <c r="A205" t="s">
        <v>1824</v>
      </c>
      <c r="B205" t="s">
        <v>173</v>
      </c>
      <c r="C205" s="4">
        <v>45994</v>
      </c>
      <c r="D205" s="5">
        <v>172946.97</v>
      </c>
      <c r="E205" t="s">
        <v>1614</v>
      </c>
      <c r="F205" t="s">
        <v>9</v>
      </c>
      <c r="G205" t="s">
        <v>1612</v>
      </c>
      <c r="H205" t="s">
        <v>322</v>
      </c>
      <c r="I205" s="17">
        <f t="shared" ca="1" si="6"/>
        <v>156</v>
      </c>
      <c r="J205" t="str">
        <f t="shared" ca="1" si="7"/>
        <v>Delayed</v>
      </c>
    </row>
    <row r="206" spans="1:10">
      <c r="A206" t="s">
        <v>1825</v>
      </c>
      <c r="B206" t="s">
        <v>188</v>
      </c>
      <c r="C206" s="4">
        <v>45908</v>
      </c>
      <c r="D206" s="5">
        <v>33162.57</v>
      </c>
      <c r="E206" t="s">
        <v>1618</v>
      </c>
      <c r="F206" t="s">
        <v>9</v>
      </c>
      <c r="G206" t="s">
        <v>1632</v>
      </c>
      <c r="H206" t="s">
        <v>327</v>
      </c>
      <c r="I206" s="17">
        <f t="shared" ca="1" si="6"/>
        <v>242</v>
      </c>
      <c r="J206" t="str">
        <f t="shared" ca="1" si="7"/>
        <v>On Track</v>
      </c>
    </row>
    <row r="207" spans="1:10">
      <c r="A207" t="s">
        <v>1826</v>
      </c>
      <c r="B207" t="s">
        <v>142</v>
      </c>
      <c r="C207" s="4">
        <v>46023</v>
      </c>
      <c r="D207" s="5">
        <v>125149.21</v>
      </c>
      <c r="E207" t="s">
        <v>1629</v>
      </c>
      <c r="F207" t="s">
        <v>12</v>
      </c>
      <c r="G207" t="s">
        <v>1632</v>
      </c>
      <c r="H207" t="s">
        <v>322</v>
      </c>
      <c r="I207" s="17">
        <f t="shared" ca="1" si="6"/>
        <v>127</v>
      </c>
      <c r="J207" t="str">
        <f t="shared" ca="1" si="7"/>
        <v>Delayed</v>
      </c>
    </row>
    <row r="208" spans="1:10">
      <c r="A208" t="s">
        <v>1827</v>
      </c>
      <c r="B208" t="s">
        <v>186</v>
      </c>
      <c r="C208" s="4">
        <v>46138</v>
      </c>
      <c r="D208" s="5">
        <v>28266.46</v>
      </c>
      <c r="E208" t="s">
        <v>1611</v>
      </c>
      <c r="F208" t="s">
        <v>9</v>
      </c>
      <c r="G208" t="s">
        <v>1612</v>
      </c>
      <c r="H208" t="s">
        <v>327</v>
      </c>
      <c r="I208" s="17">
        <f t="shared" ca="1" si="6"/>
        <v>12</v>
      </c>
      <c r="J208" t="str">
        <f t="shared" ca="1" si="7"/>
        <v>On Track</v>
      </c>
    </row>
    <row r="209" spans="1:10">
      <c r="A209" t="s">
        <v>1828</v>
      </c>
      <c r="B209" t="s">
        <v>253</v>
      </c>
      <c r="C209" s="4">
        <v>46079</v>
      </c>
      <c r="D209" s="5">
        <v>118034.99</v>
      </c>
      <c r="E209" t="s">
        <v>1618</v>
      </c>
      <c r="F209" t="s">
        <v>9</v>
      </c>
      <c r="G209" t="s">
        <v>1619</v>
      </c>
      <c r="H209" t="s">
        <v>327</v>
      </c>
      <c r="I209" s="17">
        <f t="shared" ca="1" si="6"/>
        <v>71</v>
      </c>
      <c r="J209" t="str">
        <f t="shared" ca="1" si="7"/>
        <v>On Track</v>
      </c>
    </row>
    <row r="210" spans="1:10">
      <c r="A210" t="s">
        <v>1829</v>
      </c>
      <c r="B210" t="s">
        <v>138</v>
      </c>
      <c r="C210" s="4">
        <v>46135</v>
      </c>
      <c r="D210" s="5">
        <v>71982.289999999994</v>
      </c>
      <c r="E210" t="s">
        <v>1618</v>
      </c>
      <c r="F210" t="s">
        <v>9</v>
      </c>
      <c r="G210" t="s">
        <v>1632</v>
      </c>
      <c r="H210" t="s">
        <v>322</v>
      </c>
      <c r="I210" s="17">
        <f t="shared" ca="1" si="6"/>
        <v>15</v>
      </c>
      <c r="J210" t="str">
        <f t="shared" ca="1" si="7"/>
        <v>On Track</v>
      </c>
    </row>
    <row r="211" spans="1:10">
      <c r="A211" t="s">
        <v>1830</v>
      </c>
      <c r="B211" t="s">
        <v>211</v>
      </c>
      <c r="C211" s="4">
        <v>45941</v>
      </c>
      <c r="D211" s="5">
        <v>8904.5400000000009</v>
      </c>
      <c r="E211" t="s">
        <v>1614</v>
      </c>
      <c r="F211" t="s">
        <v>9</v>
      </c>
      <c r="G211" t="s">
        <v>1621</v>
      </c>
      <c r="H211" t="s">
        <v>327</v>
      </c>
      <c r="I211" s="17">
        <f t="shared" ca="1" si="6"/>
        <v>209</v>
      </c>
      <c r="J211" t="str">
        <f t="shared" ca="1" si="7"/>
        <v>Delayed</v>
      </c>
    </row>
    <row r="212" spans="1:10">
      <c r="A212" t="s">
        <v>1831</v>
      </c>
      <c r="B212" t="s">
        <v>116</v>
      </c>
      <c r="C212" s="4">
        <v>46124</v>
      </c>
      <c r="D212" s="5">
        <v>95295.46</v>
      </c>
      <c r="E212" t="s">
        <v>1614</v>
      </c>
      <c r="F212" t="s">
        <v>9</v>
      </c>
      <c r="G212" t="s">
        <v>1632</v>
      </c>
      <c r="H212" t="s">
        <v>327</v>
      </c>
      <c r="I212" s="17">
        <f t="shared" ca="1" si="6"/>
        <v>26</v>
      </c>
      <c r="J212" t="str">
        <f t="shared" ca="1" si="7"/>
        <v>On Track</v>
      </c>
    </row>
    <row r="213" spans="1:10">
      <c r="A213" t="s">
        <v>1832</v>
      </c>
      <c r="B213" t="s">
        <v>43</v>
      </c>
      <c r="C213" s="4">
        <v>46011</v>
      </c>
      <c r="D213" s="5">
        <v>59912.63</v>
      </c>
      <c r="E213" t="s">
        <v>1611</v>
      </c>
      <c r="F213" t="s">
        <v>12</v>
      </c>
      <c r="G213" t="s">
        <v>1621</v>
      </c>
      <c r="H213" t="s">
        <v>336</v>
      </c>
      <c r="I213" s="17">
        <f t="shared" ca="1" si="6"/>
        <v>139</v>
      </c>
      <c r="J213" t="str">
        <f t="shared" ca="1" si="7"/>
        <v>Delayed</v>
      </c>
    </row>
    <row r="214" spans="1:10">
      <c r="A214" t="s">
        <v>1833</v>
      </c>
      <c r="B214" t="s">
        <v>142</v>
      </c>
      <c r="C214" s="4">
        <v>45891</v>
      </c>
      <c r="D214" s="5">
        <v>44172.93</v>
      </c>
      <c r="E214" t="s">
        <v>1611</v>
      </c>
      <c r="F214" t="s">
        <v>9</v>
      </c>
      <c r="G214" t="s">
        <v>1615</v>
      </c>
      <c r="H214" t="s">
        <v>327</v>
      </c>
      <c r="I214" s="17">
        <f t="shared" ca="1" si="6"/>
        <v>259</v>
      </c>
      <c r="J214" t="str">
        <f t="shared" ca="1" si="7"/>
        <v>Delayed</v>
      </c>
    </row>
    <row r="215" spans="1:10">
      <c r="A215" t="s">
        <v>1834</v>
      </c>
      <c r="B215" t="s">
        <v>249</v>
      </c>
      <c r="C215" s="4">
        <v>46025</v>
      </c>
      <c r="D215" s="5">
        <v>24466.17</v>
      </c>
      <c r="E215" t="s">
        <v>1618</v>
      </c>
      <c r="F215" t="s">
        <v>9</v>
      </c>
      <c r="G215" t="s">
        <v>1615</v>
      </c>
      <c r="H215" t="s">
        <v>336</v>
      </c>
      <c r="I215" s="17">
        <f t="shared" ca="1" si="6"/>
        <v>125</v>
      </c>
      <c r="J215" t="str">
        <f t="shared" ca="1" si="7"/>
        <v>On Track</v>
      </c>
    </row>
    <row r="216" spans="1:10">
      <c r="A216" t="s">
        <v>1835</v>
      </c>
      <c r="B216" t="s">
        <v>129</v>
      </c>
      <c r="C216" s="4">
        <v>46003</v>
      </c>
      <c r="D216" s="5">
        <v>37579.300000000003</v>
      </c>
      <c r="E216" t="s">
        <v>1618</v>
      </c>
      <c r="F216" t="s">
        <v>9</v>
      </c>
      <c r="G216" t="s">
        <v>1632</v>
      </c>
      <c r="H216" t="s">
        <v>322</v>
      </c>
      <c r="I216" s="17">
        <f t="shared" ca="1" si="6"/>
        <v>147</v>
      </c>
      <c r="J216" t="str">
        <f t="shared" ca="1" si="7"/>
        <v>On Track</v>
      </c>
    </row>
    <row r="217" spans="1:10">
      <c r="A217" t="s">
        <v>1836</v>
      </c>
      <c r="B217" t="s">
        <v>190</v>
      </c>
      <c r="C217" s="4">
        <v>46091</v>
      </c>
      <c r="D217" s="5">
        <v>150029.04999999999</v>
      </c>
      <c r="E217" t="s">
        <v>1629</v>
      </c>
      <c r="F217" t="s">
        <v>12</v>
      </c>
      <c r="G217" t="s">
        <v>1612</v>
      </c>
      <c r="H217" t="s">
        <v>327</v>
      </c>
      <c r="I217" s="17">
        <f t="shared" ca="1" si="6"/>
        <v>59</v>
      </c>
      <c r="J217" t="str">
        <f t="shared" ca="1" si="7"/>
        <v>Delayed</v>
      </c>
    </row>
    <row r="218" spans="1:10">
      <c r="A218" t="s">
        <v>1837</v>
      </c>
      <c r="B218" t="s">
        <v>180</v>
      </c>
      <c r="C218" s="4">
        <v>46067</v>
      </c>
      <c r="D218" s="5">
        <v>276385.23</v>
      </c>
      <c r="E218" t="s">
        <v>1624</v>
      </c>
      <c r="F218" t="s">
        <v>9</v>
      </c>
      <c r="G218" t="s">
        <v>1615</v>
      </c>
      <c r="H218" t="s">
        <v>336</v>
      </c>
      <c r="I218" s="17">
        <f t="shared" ca="1" si="6"/>
        <v>83</v>
      </c>
      <c r="J218" t="str">
        <f t="shared" ca="1" si="7"/>
        <v>Delayed</v>
      </c>
    </row>
    <row r="219" spans="1:10">
      <c r="A219" t="s">
        <v>1838</v>
      </c>
      <c r="B219" t="s">
        <v>208</v>
      </c>
      <c r="C219" s="4">
        <v>46162</v>
      </c>
      <c r="D219" s="5">
        <v>119807.34</v>
      </c>
      <c r="E219" t="s">
        <v>1618</v>
      </c>
      <c r="F219" t="s">
        <v>9</v>
      </c>
      <c r="G219" t="s">
        <v>1621</v>
      </c>
      <c r="H219" t="s">
        <v>336</v>
      </c>
      <c r="I219" s="17">
        <f t="shared" ca="1" si="6"/>
        <v>-12</v>
      </c>
      <c r="J219" t="str">
        <f t="shared" ca="1" si="7"/>
        <v>On Track</v>
      </c>
    </row>
    <row r="220" spans="1:10">
      <c r="A220" t="s">
        <v>1839</v>
      </c>
      <c r="B220" t="s">
        <v>260</v>
      </c>
      <c r="C220" s="4">
        <v>45990</v>
      </c>
      <c r="D220" s="5">
        <v>66979.520000000004</v>
      </c>
      <c r="E220" t="s">
        <v>1631</v>
      </c>
      <c r="F220" t="s">
        <v>9</v>
      </c>
      <c r="G220" t="s">
        <v>1632</v>
      </c>
      <c r="H220" t="s">
        <v>327</v>
      </c>
      <c r="I220" s="17">
        <f t="shared" ca="1" si="6"/>
        <v>160</v>
      </c>
      <c r="J220" t="str">
        <f t="shared" ca="1" si="7"/>
        <v>Delayed</v>
      </c>
    </row>
    <row r="221" spans="1:10">
      <c r="A221" t="s">
        <v>1840</v>
      </c>
      <c r="B221" t="s">
        <v>186</v>
      </c>
      <c r="C221" s="4">
        <v>46146</v>
      </c>
      <c r="D221" s="5">
        <v>12337.15</v>
      </c>
      <c r="E221" t="s">
        <v>1618</v>
      </c>
      <c r="F221" t="s">
        <v>12</v>
      </c>
      <c r="G221" t="s">
        <v>1632</v>
      </c>
      <c r="H221" t="s">
        <v>336</v>
      </c>
      <c r="I221" s="17">
        <f t="shared" ca="1" si="6"/>
        <v>4</v>
      </c>
      <c r="J221" t="str">
        <f t="shared" ca="1" si="7"/>
        <v>On Track</v>
      </c>
    </row>
    <row r="222" spans="1:10">
      <c r="A222" t="s">
        <v>1841</v>
      </c>
      <c r="B222" t="s">
        <v>131</v>
      </c>
      <c r="C222" s="4">
        <v>45997</v>
      </c>
      <c r="D222" s="5">
        <v>78379.89</v>
      </c>
      <c r="E222" t="s">
        <v>1629</v>
      </c>
      <c r="F222" t="s">
        <v>12</v>
      </c>
      <c r="G222" t="s">
        <v>1615</v>
      </c>
      <c r="H222" t="s">
        <v>327</v>
      </c>
      <c r="I222" s="17">
        <f t="shared" ca="1" si="6"/>
        <v>153</v>
      </c>
      <c r="J222" t="str">
        <f t="shared" ca="1" si="7"/>
        <v>Delayed</v>
      </c>
    </row>
    <row r="223" spans="1:10">
      <c r="A223" t="s">
        <v>1842</v>
      </c>
      <c r="B223" t="s">
        <v>121</v>
      </c>
      <c r="C223" s="4">
        <v>46026</v>
      </c>
      <c r="D223" s="5">
        <v>110434.43</v>
      </c>
      <c r="E223" t="s">
        <v>1611</v>
      </c>
      <c r="F223" t="s">
        <v>9</v>
      </c>
      <c r="G223" t="s">
        <v>1619</v>
      </c>
      <c r="H223" t="s">
        <v>336</v>
      </c>
      <c r="I223" s="17">
        <f t="shared" ca="1" si="6"/>
        <v>124</v>
      </c>
      <c r="J223" t="str">
        <f t="shared" ca="1" si="7"/>
        <v>Delayed</v>
      </c>
    </row>
    <row r="224" spans="1:10">
      <c r="A224" t="s">
        <v>1843</v>
      </c>
      <c r="B224" t="s">
        <v>223</v>
      </c>
      <c r="C224" s="4">
        <v>45877</v>
      </c>
      <c r="D224" s="5">
        <v>153081.32999999999</v>
      </c>
      <c r="E224" t="s">
        <v>1611</v>
      </c>
      <c r="F224" t="s">
        <v>9</v>
      </c>
      <c r="G224" t="s">
        <v>1621</v>
      </c>
      <c r="H224" t="s">
        <v>322</v>
      </c>
      <c r="I224" s="17">
        <f t="shared" ca="1" si="6"/>
        <v>273</v>
      </c>
      <c r="J224" t="str">
        <f t="shared" ca="1" si="7"/>
        <v>Delayed</v>
      </c>
    </row>
    <row r="225" spans="1:10">
      <c r="A225" t="s">
        <v>1844</v>
      </c>
      <c r="B225" t="s">
        <v>69</v>
      </c>
      <c r="C225" s="4">
        <v>46153</v>
      </c>
      <c r="D225" s="5">
        <v>63165.32</v>
      </c>
      <c r="E225" t="s">
        <v>1631</v>
      </c>
      <c r="F225" t="s">
        <v>9</v>
      </c>
      <c r="G225" t="s">
        <v>1632</v>
      </c>
      <c r="H225" t="s">
        <v>322</v>
      </c>
      <c r="I225" s="17">
        <f t="shared" ca="1" si="6"/>
        <v>-3</v>
      </c>
      <c r="J225" t="str">
        <f t="shared" ca="1" si="7"/>
        <v>On Track</v>
      </c>
    </row>
    <row r="226" spans="1:10">
      <c r="A226" t="s">
        <v>1845</v>
      </c>
      <c r="B226" t="s">
        <v>180</v>
      </c>
      <c r="C226" s="4">
        <v>46029</v>
      </c>
      <c r="D226" s="5">
        <v>276587.65999999997</v>
      </c>
      <c r="E226" t="s">
        <v>1611</v>
      </c>
      <c r="F226" t="s">
        <v>9</v>
      </c>
      <c r="G226" t="s">
        <v>1632</v>
      </c>
      <c r="H226" t="s">
        <v>336</v>
      </c>
      <c r="I226" s="17">
        <f t="shared" ca="1" si="6"/>
        <v>121</v>
      </c>
      <c r="J226" t="str">
        <f t="shared" ca="1" si="7"/>
        <v>Delayed</v>
      </c>
    </row>
    <row r="227" spans="1:10">
      <c r="A227" t="s">
        <v>1846</v>
      </c>
      <c r="B227" t="s">
        <v>227</v>
      </c>
      <c r="C227" s="4">
        <v>46122</v>
      </c>
      <c r="D227" s="5">
        <v>55817.75</v>
      </c>
      <c r="E227" t="s">
        <v>1618</v>
      </c>
      <c r="F227" t="s">
        <v>12</v>
      </c>
      <c r="G227" t="s">
        <v>1615</v>
      </c>
      <c r="H227" t="s">
        <v>322</v>
      </c>
      <c r="I227" s="17">
        <f t="shared" ca="1" si="6"/>
        <v>28</v>
      </c>
      <c r="J227" t="str">
        <f t="shared" ca="1" si="7"/>
        <v>On Track</v>
      </c>
    </row>
    <row r="228" spans="1:10">
      <c r="A228" t="s">
        <v>1847</v>
      </c>
      <c r="B228" t="s">
        <v>197</v>
      </c>
      <c r="C228" s="4">
        <v>45988</v>
      </c>
      <c r="D228" s="5">
        <v>9164.32</v>
      </c>
      <c r="E228" t="s">
        <v>1631</v>
      </c>
      <c r="F228" t="s">
        <v>9</v>
      </c>
      <c r="G228" t="s">
        <v>1621</v>
      </c>
      <c r="H228" t="s">
        <v>322</v>
      </c>
      <c r="I228" s="17">
        <f t="shared" ca="1" si="6"/>
        <v>162</v>
      </c>
      <c r="J228" t="str">
        <f t="shared" ca="1" si="7"/>
        <v>Delayed</v>
      </c>
    </row>
    <row r="229" spans="1:10">
      <c r="A229" t="s">
        <v>1848</v>
      </c>
      <c r="B229" t="s">
        <v>199</v>
      </c>
      <c r="C229" s="4">
        <v>45890</v>
      </c>
      <c r="D229" s="5">
        <v>26307.41</v>
      </c>
      <c r="E229" t="s">
        <v>1614</v>
      </c>
      <c r="F229" t="s">
        <v>9</v>
      </c>
      <c r="G229" t="s">
        <v>1632</v>
      </c>
      <c r="H229" t="s">
        <v>336</v>
      </c>
      <c r="I229" s="17">
        <f t="shared" ca="1" si="6"/>
        <v>260</v>
      </c>
      <c r="J229" t="str">
        <f t="shared" ca="1" si="7"/>
        <v>Delayed</v>
      </c>
    </row>
    <row r="230" spans="1:10">
      <c r="A230" t="s">
        <v>1849</v>
      </c>
      <c r="B230" t="s">
        <v>116</v>
      </c>
      <c r="C230" s="4">
        <v>46049</v>
      </c>
      <c r="D230" s="5">
        <v>67183.179999999993</v>
      </c>
      <c r="E230" t="s">
        <v>1631</v>
      </c>
      <c r="F230" t="s">
        <v>9</v>
      </c>
      <c r="G230" t="s">
        <v>1612</v>
      </c>
      <c r="H230" t="s">
        <v>327</v>
      </c>
      <c r="I230" s="17">
        <f t="shared" ca="1" si="6"/>
        <v>101</v>
      </c>
      <c r="J230" t="str">
        <f t="shared" ca="1" si="7"/>
        <v>Delayed</v>
      </c>
    </row>
    <row r="231" spans="1:10">
      <c r="A231" t="s">
        <v>1850</v>
      </c>
      <c r="B231" t="s">
        <v>25</v>
      </c>
      <c r="C231" s="4">
        <v>46096</v>
      </c>
      <c r="D231" s="5">
        <v>63189.31</v>
      </c>
      <c r="E231" t="s">
        <v>1631</v>
      </c>
      <c r="F231" t="s">
        <v>9</v>
      </c>
      <c r="G231" t="s">
        <v>1615</v>
      </c>
      <c r="H231" t="s">
        <v>336</v>
      </c>
      <c r="I231" s="17">
        <f t="shared" ca="1" si="6"/>
        <v>54</v>
      </c>
      <c r="J231" t="str">
        <f t="shared" ca="1" si="7"/>
        <v>Delayed</v>
      </c>
    </row>
    <row r="232" spans="1:10">
      <c r="A232" t="s">
        <v>1851</v>
      </c>
      <c r="B232" t="s">
        <v>190</v>
      </c>
      <c r="C232" s="4">
        <v>46081</v>
      </c>
      <c r="D232" s="5">
        <v>34594.71</v>
      </c>
      <c r="E232" t="s">
        <v>1611</v>
      </c>
      <c r="F232" t="s">
        <v>9</v>
      </c>
      <c r="G232" t="s">
        <v>1612</v>
      </c>
      <c r="H232" t="s">
        <v>336</v>
      </c>
      <c r="I232" s="17">
        <f t="shared" ca="1" si="6"/>
        <v>69</v>
      </c>
      <c r="J232" t="str">
        <f t="shared" ca="1" si="7"/>
        <v>Delayed</v>
      </c>
    </row>
    <row r="233" spans="1:10">
      <c r="A233" t="s">
        <v>1852</v>
      </c>
      <c r="B233" t="s">
        <v>51</v>
      </c>
      <c r="C233" s="4">
        <v>46053</v>
      </c>
      <c r="D233" s="5">
        <v>20417</v>
      </c>
      <c r="E233" t="s">
        <v>1611</v>
      </c>
      <c r="F233" t="s">
        <v>9</v>
      </c>
      <c r="G233" t="s">
        <v>1621</v>
      </c>
      <c r="H233" t="s">
        <v>336</v>
      </c>
      <c r="I233" s="17">
        <f t="shared" ca="1" si="6"/>
        <v>97</v>
      </c>
      <c r="J233" t="str">
        <f t="shared" ca="1" si="7"/>
        <v>Delayed</v>
      </c>
    </row>
    <row r="234" spans="1:10">
      <c r="A234" t="s">
        <v>1853</v>
      </c>
      <c r="B234" t="s">
        <v>89</v>
      </c>
      <c r="C234" s="4">
        <v>45884</v>
      </c>
      <c r="D234" s="5">
        <v>30059.19</v>
      </c>
      <c r="E234" t="s">
        <v>1631</v>
      </c>
      <c r="F234" t="s">
        <v>9</v>
      </c>
      <c r="G234" t="s">
        <v>1615</v>
      </c>
      <c r="H234" t="s">
        <v>327</v>
      </c>
      <c r="I234" s="17">
        <f t="shared" ca="1" si="6"/>
        <v>266</v>
      </c>
      <c r="J234" t="str">
        <f t="shared" ca="1" si="7"/>
        <v>Delayed</v>
      </c>
    </row>
    <row r="235" spans="1:10">
      <c r="A235" t="s">
        <v>1854</v>
      </c>
      <c r="B235" t="s">
        <v>99</v>
      </c>
      <c r="C235" s="4">
        <v>45977</v>
      </c>
      <c r="D235" s="5">
        <v>190177.79</v>
      </c>
      <c r="E235" t="s">
        <v>1618</v>
      </c>
      <c r="F235" t="s">
        <v>9</v>
      </c>
      <c r="G235" t="s">
        <v>1615</v>
      </c>
      <c r="H235" t="s">
        <v>322</v>
      </c>
      <c r="I235" s="17">
        <f t="shared" ca="1" si="6"/>
        <v>173</v>
      </c>
      <c r="J235" t="str">
        <f t="shared" ca="1" si="7"/>
        <v>On Track</v>
      </c>
    </row>
    <row r="236" spans="1:10">
      <c r="A236" t="s">
        <v>1855</v>
      </c>
      <c r="B236" t="s">
        <v>294</v>
      </c>
      <c r="C236" s="4">
        <v>46045</v>
      </c>
      <c r="D236" s="5">
        <v>61116.88</v>
      </c>
      <c r="E236" t="s">
        <v>1611</v>
      </c>
      <c r="F236" t="s">
        <v>9</v>
      </c>
      <c r="G236" t="s">
        <v>1619</v>
      </c>
      <c r="H236" t="s">
        <v>336</v>
      </c>
      <c r="I236" s="17">
        <f t="shared" ca="1" si="6"/>
        <v>105</v>
      </c>
      <c r="J236" t="str">
        <f t="shared" ca="1" si="7"/>
        <v>Delayed</v>
      </c>
    </row>
    <row r="237" spans="1:10">
      <c r="A237" t="s">
        <v>1856</v>
      </c>
      <c r="B237" t="s">
        <v>96</v>
      </c>
      <c r="C237" s="4">
        <v>45909</v>
      </c>
      <c r="D237" s="5">
        <v>236965.51</v>
      </c>
      <c r="E237" t="s">
        <v>1624</v>
      </c>
      <c r="F237" t="s">
        <v>9</v>
      </c>
      <c r="G237" t="s">
        <v>1615</v>
      </c>
      <c r="H237" t="s">
        <v>322</v>
      </c>
      <c r="I237" s="17">
        <f t="shared" ca="1" si="6"/>
        <v>241</v>
      </c>
      <c r="J237" t="str">
        <f t="shared" ca="1" si="7"/>
        <v>Delayed</v>
      </c>
    </row>
    <row r="238" spans="1:10">
      <c r="A238" t="s">
        <v>1857</v>
      </c>
      <c r="B238" t="s">
        <v>66</v>
      </c>
      <c r="C238" s="4">
        <v>46149</v>
      </c>
      <c r="D238" s="5">
        <v>224024.2</v>
      </c>
      <c r="E238" t="s">
        <v>1618</v>
      </c>
      <c r="F238" t="s">
        <v>12</v>
      </c>
      <c r="G238" t="s">
        <v>1615</v>
      </c>
      <c r="H238" t="s">
        <v>327</v>
      </c>
      <c r="I238" s="17">
        <f t="shared" ca="1" si="6"/>
        <v>1</v>
      </c>
      <c r="J238" t="str">
        <f t="shared" ca="1" si="7"/>
        <v>On Track</v>
      </c>
    </row>
    <row r="239" spans="1:10">
      <c r="A239" t="s">
        <v>1858</v>
      </c>
      <c r="B239" t="s">
        <v>51</v>
      </c>
      <c r="C239" s="4">
        <v>46110</v>
      </c>
      <c r="D239" s="5">
        <v>33612.269999999997</v>
      </c>
      <c r="E239" t="s">
        <v>1618</v>
      </c>
      <c r="F239" t="s">
        <v>9</v>
      </c>
      <c r="G239" t="s">
        <v>1619</v>
      </c>
      <c r="H239" t="s">
        <v>322</v>
      </c>
      <c r="I239" s="17">
        <f t="shared" ca="1" si="6"/>
        <v>40</v>
      </c>
      <c r="J239" t="str">
        <f t="shared" ca="1" si="7"/>
        <v>On Track</v>
      </c>
    </row>
    <row r="240" spans="1:10">
      <c r="A240" t="s">
        <v>1859</v>
      </c>
      <c r="B240" t="s">
        <v>144</v>
      </c>
      <c r="C240" s="4">
        <v>45993</v>
      </c>
      <c r="D240" s="5">
        <v>113343.53</v>
      </c>
      <c r="E240" t="s">
        <v>1629</v>
      </c>
      <c r="F240" t="s">
        <v>12</v>
      </c>
      <c r="G240" t="s">
        <v>1632</v>
      </c>
      <c r="H240" t="s">
        <v>327</v>
      </c>
      <c r="I240" s="17">
        <f t="shared" ca="1" si="6"/>
        <v>157</v>
      </c>
      <c r="J240" t="str">
        <f t="shared" ca="1" si="7"/>
        <v>Delayed</v>
      </c>
    </row>
    <row r="241" spans="1:10">
      <c r="A241" t="s">
        <v>1860</v>
      </c>
      <c r="B241" t="s">
        <v>49</v>
      </c>
      <c r="C241" s="4">
        <v>46030</v>
      </c>
      <c r="D241" s="5">
        <v>62817.599999999999</v>
      </c>
      <c r="E241" t="s">
        <v>1614</v>
      </c>
      <c r="F241" t="s">
        <v>9</v>
      </c>
      <c r="G241" t="s">
        <v>1621</v>
      </c>
      <c r="H241" t="s">
        <v>336</v>
      </c>
      <c r="I241" s="17">
        <f t="shared" ca="1" si="6"/>
        <v>120</v>
      </c>
      <c r="J241" t="str">
        <f t="shared" ca="1" si="7"/>
        <v>Delayed</v>
      </c>
    </row>
    <row r="242" spans="1:10">
      <c r="A242" t="s">
        <v>1861</v>
      </c>
      <c r="B242" t="s">
        <v>105</v>
      </c>
      <c r="C242" s="4">
        <v>46049</v>
      </c>
      <c r="D242" s="5">
        <v>169664.23</v>
      </c>
      <c r="E242" t="s">
        <v>1631</v>
      </c>
      <c r="F242" t="s">
        <v>9</v>
      </c>
      <c r="G242" t="s">
        <v>1621</v>
      </c>
      <c r="H242" t="s">
        <v>322</v>
      </c>
      <c r="I242" s="17">
        <f t="shared" ca="1" si="6"/>
        <v>101</v>
      </c>
      <c r="J242" t="str">
        <f t="shared" ca="1" si="7"/>
        <v>Delayed</v>
      </c>
    </row>
    <row r="243" spans="1:10">
      <c r="A243" t="s">
        <v>1862</v>
      </c>
      <c r="B243" t="s">
        <v>80</v>
      </c>
      <c r="C243" s="4">
        <v>46098</v>
      </c>
      <c r="D243" s="5">
        <v>24724.73</v>
      </c>
      <c r="E243" t="s">
        <v>1614</v>
      </c>
      <c r="F243" t="s">
        <v>9</v>
      </c>
      <c r="G243" t="s">
        <v>1619</v>
      </c>
      <c r="H243" t="s">
        <v>322</v>
      </c>
      <c r="I243" s="17">
        <f t="shared" ca="1" si="6"/>
        <v>52</v>
      </c>
      <c r="J243" t="str">
        <f t="shared" ca="1" si="7"/>
        <v>Delayed</v>
      </c>
    </row>
    <row r="244" spans="1:10">
      <c r="A244" t="s">
        <v>1863</v>
      </c>
      <c r="B244" t="s">
        <v>186</v>
      </c>
      <c r="C244" s="4">
        <v>46077</v>
      </c>
      <c r="D244" s="5">
        <v>22427.919999999998</v>
      </c>
      <c r="E244" t="s">
        <v>1618</v>
      </c>
      <c r="F244" t="s">
        <v>9</v>
      </c>
      <c r="G244" t="s">
        <v>1632</v>
      </c>
      <c r="H244" t="s">
        <v>336</v>
      </c>
      <c r="I244" s="17">
        <f t="shared" ca="1" si="6"/>
        <v>73</v>
      </c>
      <c r="J244" t="str">
        <f t="shared" ca="1" si="7"/>
        <v>On Track</v>
      </c>
    </row>
    <row r="245" spans="1:10">
      <c r="A245" t="s">
        <v>1864</v>
      </c>
      <c r="B245" t="s">
        <v>199</v>
      </c>
      <c r="C245" s="4">
        <v>45929</v>
      </c>
      <c r="D245" s="5">
        <v>9066.81</v>
      </c>
      <c r="E245" t="s">
        <v>1611</v>
      </c>
      <c r="F245" t="s">
        <v>9</v>
      </c>
      <c r="G245" t="s">
        <v>1615</v>
      </c>
      <c r="H245" t="s">
        <v>336</v>
      </c>
      <c r="I245" s="17">
        <f t="shared" ca="1" si="6"/>
        <v>221</v>
      </c>
      <c r="J245" t="str">
        <f t="shared" ca="1" si="7"/>
        <v>Delayed</v>
      </c>
    </row>
    <row r="246" spans="1:10">
      <c r="A246" t="s">
        <v>1865</v>
      </c>
      <c r="B246" t="s">
        <v>140</v>
      </c>
      <c r="C246" s="4">
        <v>45970</v>
      </c>
      <c r="D246" s="5">
        <v>199185.78</v>
      </c>
      <c r="E246" t="s">
        <v>1629</v>
      </c>
      <c r="F246" t="s">
        <v>12</v>
      </c>
      <c r="G246" t="s">
        <v>1612</v>
      </c>
      <c r="H246" t="s">
        <v>327</v>
      </c>
      <c r="I246" s="17">
        <f t="shared" ca="1" si="6"/>
        <v>180</v>
      </c>
      <c r="J246" t="str">
        <f t="shared" ca="1" si="7"/>
        <v>Delayed</v>
      </c>
    </row>
    <row r="247" spans="1:10">
      <c r="A247" t="s">
        <v>1866</v>
      </c>
      <c r="B247" t="s">
        <v>121</v>
      </c>
      <c r="C247" s="4">
        <v>46083</v>
      </c>
      <c r="D247" s="5">
        <v>64604.86</v>
      </c>
      <c r="E247" t="s">
        <v>1618</v>
      </c>
      <c r="F247" t="s">
        <v>9</v>
      </c>
      <c r="G247" t="s">
        <v>1612</v>
      </c>
      <c r="H247" t="s">
        <v>327</v>
      </c>
      <c r="I247" s="17">
        <f t="shared" ca="1" si="6"/>
        <v>67</v>
      </c>
      <c r="J247" t="str">
        <f t="shared" ca="1" si="7"/>
        <v>On Track</v>
      </c>
    </row>
    <row r="248" spans="1:10">
      <c r="A248" t="s">
        <v>1867</v>
      </c>
      <c r="B248" t="s">
        <v>227</v>
      </c>
      <c r="C248" s="4">
        <v>45886</v>
      </c>
      <c r="D248" s="5">
        <v>190027.66</v>
      </c>
      <c r="E248" t="s">
        <v>1631</v>
      </c>
      <c r="F248" t="s">
        <v>9</v>
      </c>
      <c r="G248" t="s">
        <v>1612</v>
      </c>
      <c r="H248" t="s">
        <v>327</v>
      </c>
      <c r="I248" s="17">
        <f t="shared" ca="1" si="6"/>
        <v>264</v>
      </c>
      <c r="J248" t="str">
        <f t="shared" ca="1" si="7"/>
        <v>Delayed</v>
      </c>
    </row>
    <row r="249" spans="1:10">
      <c r="A249" t="s">
        <v>1868</v>
      </c>
      <c r="B249" t="s">
        <v>193</v>
      </c>
      <c r="C249" s="4">
        <v>46140</v>
      </c>
      <c r="D249" s="5">
        <v>150085.79</v>
      </c>
      <c r="E249" t="s">
        <v>1624</v>
      </c>
      <c r="F249" t="s">
        <v>9</v>
      </c>
      <c r="G249" t="s">
        <v>1621</v>
      </c>
      <c r="H249" t="s">
        <v>322</v>
      </c>
      <c r="I249" s="17">
        <f t="shared" ca="1" si="6"/>
        <v>10</v>
      </c>
      <c r="J249" t="str">
        <f t="shared" ca="1" si="7"/>
        <v>On Track</v>
      </c>
    </row>
    <row r="250" spans="1:10">
      <c r="A250" t="s">
        <v>1869</v>
      </c>
      <c r="B250" t="s">
        <v>162</v>
      </c>
      <c r="C250" s="4">
        <v>45992</v>
      </c>
      <c r="D250" s="5">
        <v>20986.12</v>
      </c>
      <c r="E250" t="s">
        <v>1614</v>
      </c>
      <c r="F250" t="s">
        <v>9</v>
      </c>
      <c r="G250" t="s">
        <v>1632</v>
      </c>
      <c r="H250" t="s">
        <v>322</v>
      </c>
      <c r="I250" s="17">
        <f t="shared" ca="1" si="6"/>
        <v>158</v>
      </c>
      <c r="J250" t="str">
        <f t="shared" ca="1" si="7"/>
        <v>Delayed</v>
      </c>
    </row>
    <row r="251" spans="1:10">
      <c r="A251" t="s">
        <v>1870</v>
      </c>
      <c r="B251" t="s">
        <v>51</v>
      </c>
      <c r="C251" s="4">
        <v>45924</v>
      </c>
      <c r="D251" s="5">
        <v>47244.01</v>
      </c>
      <c r="E251" t="s">
        <v>1631</v>
      </c>
      <c r="F251" t="s">
        <v>9</v>
      </c>
      <c r="G251" t="s">
        <v>1632</v>
      </c>
      <c r="H251" t="s">
        <v>336</v>
      </c>
      <c r="I251" s="17">
        <f t="shared" ca="1" si="6"/>
        <v>226</v>
      </c>
      <c r="J251" t="str">
        <f t="shared" ca="1" si="7"/>
        <v>Delayed</v>
      </c>
    </row>
    <row r="252" spans="1:10">
      <c r="A252" t="s">
        <v>1871</v>
      </c>
      <c r="B252" t="s">
        <v>14</v>
      </c>
      <c r="C252" s="4">
        <v>46078</v>
      </c>
      <c r="D252" s="5">
        <v>90916.52</v>
      </c>
      <c r="E252" t="s">
        <v>1618</v>
      </c>
      <c r="F252" t="s">
        <v>9</v>
      </c>
      <c r="G252" t="s">
        <v>1621</v>
      </c>
      <c r="H252" t="s">
        <v>322</v>
      </c>
      <c r="I252" s="17">
        <f t="shared" ca="1" si="6"/>
        <v>72</v>
      </c>
      <c r="J252" t="str">
        <f t="shared" ca="1" si="7"/>
        <v>On Track</v>
      </c>
    </row>
    <row r="253" spans="1:10">
      <c r="A253" t="s">
        <v>1872</v>
      </c>
      <c r="B253" t="s">
        <v>16</v>
      </c>
      <c r="C253" s="4">
        <v>45962</v>
      </c>
      <c r="D253" s="5">
        <v>157750.88</v>
      </c>
      <c r="E253" t="s">
        <v>1618</v>
      </c>
      <c r="F253" t="s">
        <v>9</v>
      </c>
      <c r="G253" t="s">
        <v>1615</v>
      </c>
      <c r="H253" t="s">
        <v>327</v>
      </c>
      <c r="I253" s="17">
        <f t="shared" ca="1" si="6"/>
        <v>188</v>
      </c>
      <c r="J253" t="str">
        <f t="shared" ca="1" si="7"/>
        <v>On Track</v>
      </c>
    </row>
    <row r="254" spans="1:10">
      <c r="A254" t="s">
        <v>1873</v>
      </c>
      <c r="B254" t="s">
        <v>18</v>
      </c>
      <c r="C254" s="4">
        <v>45872</v>
      </c>
      <c r="D254" s="5">
        <v>188846.62</v>
      </c>
      <c r="E254" t="s">
        <v>1611</v>
      </c>
      <c r="F254" t="s">
        <v>9</v>
      </c>
      <c r="G254" t="s">
        <v>1621</v>
      </c>
      <c r="H254" t="s">
        <v>336</v>
      </c>
      <c r="I254" s="17">
        <f t="shared" ca="1" si="6"/>
        <v>278</v>
      </c>
      <c r="J254" t="str">
        <f t="shared" ca="1" si="7"/>
        <v>Delayed</v>
      </c>
    </row>
    <row r="255" spans="1:10">
      <c r="A255" t="s">
        <v>1874</v>
      </c>
      <c r="B255" t="s">
        <v>142</v>
      </c>
      <c r="C255" s="4">
        <v>45959</v>
      </c>
      <c r="D255" s="5">
        <v>76272.88</v>
      </c>
      <c r="E255" t="s">
        <v>1618</v>
      </c>
      <c r="F255" t="s">
        <v>9</v>
      </c>
      <c r="G255" t="s">
        <v>1612</v>
      </c>
      <c r="H255" t="s">
        <v>327</v>
      </c>
      <c r="I255" s="17">
        <f t="shared" ca="1" si="6"/>
        <v>191</v>
      </c>
      <c r="J255" t="str">
        <f t="shared" ca="1" si="7"/>
        <v>On Track</v>
      </c>
    </row>
    <row r="256" spans="1:10">
      <c r="A256" t="s">
        <v>1875</v>
      </c>
      <c r="B256" t="s">
        <v>196</v>
      </c>
      <c r="C256" s="4">
        <v>46121</v>
      </c>
      <c r="D256" s="5">
        <v>25259.3</v>
      </c>
      <c r="E256" t="s">
        <v>1618</v>
      </c>
      <c r="F256" t="s">
        <v>9</v>
      </c>
      <c r="G256" t="s">
        <v>1615</v>
      </c>
      <c r="H256" t="s">
        <v>322</v>
      </c>
      <c r="I256" s="17">
        <f t="shared" ca="1" si="6"/>
        <v>29</v>
      </c>
      <c r="J256" t="str">
        <f t="shared" ca="1" si="7"/>
        <v>On Track</v>
      </c>
    </row>
    <row r="257" spans="1:10">
      <c r="A257" t="s">
        <v>1876</v>
      </c>
      <c r="B257" t="s">
        <v>69</v>
      </c>
      <c r="C257" s="4">
        <v>46087</v>
      </c>
      <c r="D257" s="5">
        <v>74239.88</v>
      </c>
      <c r="E257" t="s">
        <v>1611</v>
      </c>
      <c r="F257" t="s">
        <v>9</v>
      </c>
      <c r="G257" t="s">
        <v>1619</v>
      </c>
      <c r="H257" t="s">
        <v>327</v>
      </c>
      <c r="I257" s="17">
        <f t="shared" ca="1" si="6"/>
        <v>63</v>
      </c>
      <c r="J257" t="str">
        <f t="shared" ca="1" si="7"/>
        <v>Delayed</v>
      </c>
    </row>
    <row r="258" spans="1:10">
      <c r="A258" t="s">
        <v>1877</v>
      </c>
      <c r="B258" t="s">
        <v>211</v>
      </c>
      <c r="C258" s="4">
        <v>45976</v>
      </c>
      <c r="D258" s="5">
        <v>26256.45</v>
      </c>
      <c r="E258" t="s">
        <v>1614</v>
      </c>
      <c r="F258" t="s">
        <v>9</v>
      </c>
      <c r="G258" t="s">
        <v>1632</v>
      </c>
      <c r="H258" t="s">
        <v>327</v>
      </c>
      <c r="I258" s="17">
        <f t="shared" ref="I258:I281" ca="1" si="8">TODAY()-C258</f>
        <v>174</v>
      </c>
      <c r="J258" t="str">
        <f t="shared" ref="J258:J281" ca="1" si="9">IF(AND(I258&gt;30,E258&lt;&gt;"Paid"),"Delayed","On Track")</f>
        <v>Delayed</v>
      </c>
    </row>
    <row r="259" spans="1:10">
      <c r="A259" t="s">
        <v>1878</v>
      </c>
      <c r="B259" t="s">
        <v>253</v>
      </c>
      <c r="C259" s="4">
        <v>46014</v>
      </c>
      <c r="D259" s="5">
        <v>44966.33</v>
      </c>
      <c r="E259" t="s">
        <v>1611</v>
      </c>
      <c r="F259" t="s">
        <v>9</v>
      </c>
      <c r="G259" t="s">
        <v>1619</v>
      </c>
      <c r="H259" t="s">
        <v>327</v>
      </c>
      <c r="I259" s="17">
        <f t="shared" ca="1" si="8"/>
        <v>136</v>
      </c>
      <c r="J259" t="str">
        <f t="shared" ca="1" si="9"/>
        <v>Delayed</v>
      </c>
    </row>
    <row r="260" spans="1:10">
      <c r="A260" t="s">
        <v>1879</v>
      </c>
      <c r="B260" t="s">
        <v>225</v>
      </c>
      <c r="C260" s="4">
        <v>46001</v>
      </c>
      <c r="D260" s="5">
        <v>135523.72</v>
      </c>
      <c r="E260" t="s">
        <v>1618</v>
      </c>
      <c r="F260" t="s">
        <v>9</v>
      </c>
      <c r="G260" t="s">
        <v>1632</v>
      </c>
      <c r="H260" t="s">
        <v>327</v>
      </c>
      <c r="I260" s="17">
        <f t="shared" ca="1" si="8"/>
        <v>149</v>
      </c>
      <c r="J260" t="str">
        <f t="shared" ca="1" si="9"/>
        <v>On Track</v>
      </c>
    </row>
    <row r="261" spans="1:10">
      <c r="A261" t="s">
        <v>1880</v>
      </c>
      <c r="B261" t="s">
        <v>118</v>
      </c>
      <c r="C261" s="4">
        <v>45974</v>
      </c>
      <c r="D261" s="5">
        <v>120607.54</v>
      </c>
      <c r="E261" t="s">
        <v>1618</v>
      </c>
      <c r="F261" t="s">
        <v>9</v>
      </c>
      <c r="G261" t="s">
        <v>1615</v>
      </c>
      <c r="H261" t="s">
        <v>327</v>
      </c>
      <c r="I261" s="17">
        <f t="shared" ca="1" si="8"/>
        <v>176</v>
      </c>
      <c r="J261" t="str">
        <f t="shared" ca="1" si="9"/>
        <v>On Track</v>
      </c>
    </row>
    <row r="262" spans="1:10">
      <c r="A262" t="s">
        <v>1881</v>
      </c>
      <c r="B262" t="s">
        <v>155</v>
      </c>
      <c r="C262" s="4">
        <v>46145</v>
      </c>
      <c r="D262" s="5">
        <v>115070.1</v>
      </c>
      <c r="E262" t="s">
        <v>1614</v>
      </c>
      <c r="F262" t="s">
        <v>9</v>
      </c>
      <c r="G262" t="s">
        <v>1612</v>
      </c>
      <c r="H262" t="s">
        <v>336</v>
      </c>
      <c r="I262" s="17">
        <f t="shared" ca="1" si="8"/>
        <v>5</v>
      </c>
      <c r="J262" t="str">
        <f t="shared" ca="1" si="9"/>
        <v>On Track</v>
      </c>
    </row>
    <row r="263" spans="1:10">
      <c r="A263" t="s">
        <v>1882</v>
      </c>
      <c r="B263" t="s">
        <v>192</v>
      </c>
      <c r="C263" s="4">
        <v>46013</v>
      </c>
      <c r="D263" s="5">
        <v>46414.85</v>
      </c>
      <c r="E263" t="s">
        <v>1618</v>
      </c>
      <c r="F263" t="s">
        <v>9</v>
      </c>
      <c r="G263" t="s">
        <v>1615</v>
      </c>
      <c r="H263" t="s">
        <v>327</v>
      </c>
      <c r="I263" s="17">
        <f t="shared" ca="1" si="8"/>
        <v>137</v>
      </c>
      <c r="J263" t="str">
        <f t="shared" ca="1" si="9"/>
        <v>On Track</v>
      </c>
    </row>
    <row r="264" spans="1:10">
      <c r="A264" t="s">
        <v>1883</v>
      </c>
      <c r="B264" t="s">
        <v>190</v>
      </c>
      <c r="C264" s="4">
        <v>46101</v>
      </c>
      <c r="D264" s="5">
        <v>67080.63</v>
      </c>
      <c r="E264" t="s">
        <v>1614</v>
      </c>
      <c r="F264" t="s">
        <v>9</v>
      </c>
      <c r="G264" t="s">
        <v>1612</v>
      </c>
      <c r="H264" t="s">
        <v>336</v>
      </c>
      <c r="I264" s="17">
        <f t="shared" ca="1" si="8"/>
        <v>49</v>
      </c>
      <c r="J264" t="str">
        <f t="shared" ca="1" si="9"/>
        <v>Delayed</v>
      </c>
    </row>
    <row r="265" spans="1:10">
      <c r="A265" t="s">
        <v>1884</v>
      </c>
      <c r="B265" t="s">
        <v>112</v>
      </c>
      <c r="C265" s="4">
        <v>46090</v>
      </c>
      <c r="D265" s="5">
        <v>14010.21</v>
      </c>
      <c r="E265" t="s">
        <v>1631</v>
      </c>
      <c r="F265" t="s">
        <v>12</v>
      </c>
      <c r="G265" t="s">
        <v>1632</v>
      </c>
      <c r="H265" t="s">
        <v>322</v>
      </c>
      <c r="I265" s="17">
        <f t="shared" ca="1" si="8"/>
        <v>60</v>
      </c>
      <c r="J265" t="str">
        <f t="shared" ca="1" si="9"/>
        <v>Delayed</v>
      </c>
    </row>
    <row r="266" spans="1:10">
      <c r="A266" t="s">
        <v>1885</v>
      </c>
      <c r="B266" t="s">
        <v>147</v>
      </c>
      <c r="C266" s="4">
        <v>45928</v>
      </c>
      <c r="D266" s="5">
        <v>105250.23</v>
      </c>
      <c r="E266" t="s">
        <v>1629</v>
      </c>
      <c r="F266" t="s">
        <v>12</v>
      </c>
      <c r="G266" t="s">
        <v>1619</v>
      </c>
      <c r="H266" t="s">
        <v>322</v>
      </c>
      <c r="I266" s="17">
        <f t="shared" ca="1" si="8"/>
        <v>222</v>
      </c>
      <c r="J266" t="str">
        <f t="shared" ca="1" si="9"/>
        <v>Delayed</v>
      </c>
    </row>
    <row r="267" spans="1:10">
      <c r="A267" t="s">
        <v>1886</v>
      </c>
      <c r="B267" t="s">
        <v>188</v>
      </c>
      <c r="C267" s="4">
        <v>46036</v>
      </c>
      <c r="D267" s="5">
        <v>25726.69</v>
      </c>
      <c r="E267" t="s">
        <v>1611</v>
      </c>
      <c r="F267" t="s">
        <v>9</v>
      </c>
      <c r="G267" t="s">
        <v>1615</v>
      </c>
      <c r="H267" t="s">
        <v>322</v>
      </c>
      <c r="I267" s="17">
        <f t="shared" ca="1" si="8"/>
        <v>114</v>
      </c>
      <c r="J267" t="str">
        <f t="shared" ca="1" si="9"/>
        <v>Delayed</v>
      </c>
    </row>
    <row r="268" spans="1:10">
      <c r="A268" t="s">
        <v>1887</v>
      </c>
      <c r="B268" t="s">
        <v>40</v>
      </c>
      <c r="C268" s="4">
        <v>45906</v>
      </c>
      <c r="D268" s="5">
        <v>154922.67000000001</v>
      </c>
      <c r="E268" t="s">
        <v>1611</v>
      </c>
      <c r="F268" t="s">
        <v>9</v>
      </c>
      <c r="G268" t="s">
        <v>1621</v>
      </c>
      <c r="H268" t="s">
        <v>327</v>
      </c>
      <c r="I268" s="17">
        <f t="shared" ca="1" si="8"/>
        <v>244</v>
      </c>
      <c r="J268" t="str">
        <f t="shared" ca="1" si="9"/>
        <v>Delayed</v>
      </c>
    </row>
    <row r="269" spans="1:10">
      <c r="A269" t="s">
        <v>1888</v>
      </c>
      <c r="B269" t="s">
        <v>56</v>
      </c>
      <c r="C269" s="4">
        <v>46135</v>
      </c>
      <c r="D269" s="5">
        <v>48315.48</v>
      </c>
      <c r="E269" t="s">
        <v>1629</v>
      </c>
      <c r="F269" t="s">
        <v>12</v>
      </c>
      <c r="G269" t="s">
        <v>1612</v>
      </c>
      <c r="H269" t="s">
        <v>322</v>
      </c>
      <c r="I269" s="17">
        <f t="shared" ca="1" si="8"/>
        <v>15</v>
      </c>
      <c r="J269" t="str">
        <f t="shared" ca="1" si="9"/>
        <v>On Track</v>
      </c>
    </row>
    <row r="270" spans="1:10">
      <c r="A270" t="s">
        <v>1889</v>
      </c>
      <c r="B270" t="s">
        <v>140</v>
      </c>
      <c r="C270" s="4">
        <v>45873</v>
      </c>
      <c r="D270" s="5">
        <v>77053.100000000006</v>
      </c>
      <c r="E270" t="s">
        <v>1618</v>
      </c>
      <c r="F270" t="s">
        <v>9</v>
      </c>
      <c r="G270" t="s">
        <v>1619</v>
      </c>
      <c r="H270" t="s">
        <v>322</v>
      </c>
      <c r="I270" s="17">
        <f t="shared" ca="1" si="8"/>
        <v>277</v>
      </c>
      <c r="J270" t="str">
        <f t="shared" ca="1" si="9"/>
        <v>On Track</v>
      </c>
    </row>
    <row r="271" spans="1:10">
      <c r="A271" t="s">
        <v>1890</v>
      </c>
      <c r="B271" t="s">
        <v>32</v>
      </c>
      <c r="C271" s="4">
        <v>46004</v>
      </c>
      <c r="D271" s="5">
        <v>75746.570000000007</v>
      </c>
      <c r="E271" t="s">
        <v>1618</v>
      </c>
      <c r="F271" t="s">
        <v>9</v>
      </c>
      <c r="G271" t="s">
        <v>1621</v>
      </c>
      <c r="H271" t="s">
        <v>336</v>
      </c>
      <c r="I271" s="17">
        <f t="shared" ca="1" si="8"/>
        <v>146</v>
      </c>
      <c r="J271" t="str">
        <f t="shared" ca="1" si="9"/>
        <v>On Track</v>
      </c>
    </row>
    <row r="272" spans="1:10">
      <c r="A272" t="s">
        <v>1891</v>
      </c>
      <c r="B272" t="s">
        <v>53</v>
      </c>
      <c r="C272" s="4">
        <v>45970</v>
      </c>
      <c r="D272" s="5">
        <v>163655.69</v>
      </c>
      <c r="E272" t="s">
        <v>1631</v>
      </c>
      <c r="F272" t="s">
        <v>9</v>
      </c>
      <c r="G272" t="s">
        <v>1619</v>
      </c>
      <c r="H272" t="s">
        <v>327</v>
      </c>
      <c r="I272" s="17">
        <f t="shared" ca="1" si="8"/>
        <v>180</v>
      </c>
      <c r="J272" t="str">
        <f t="shared" ca="1" si="9"/>
        <v>Delayed</v>
      </c>
    </row>
    <row r="273" spans="1:10">
      <c r="A273" t="s">
        <v>1892</v>
      </c>
      <c r="B273" t="s">
        <v>286</v>
      </c>
      <c r="C273" s="4">
        <v>45903</v>
      </c>
      <c r="D273" s="5">
        <v>144640.94</v>
      </c>
      <c r="E273" t="s">
        <v>1618</v>
      </c>
      <c r="F273" t="s">
        <v>9</v>
      </c>
      <c r="G273" t="s">
        <v>1612</v>
      </c>
      <c r="H273" t="s">
        <v>336</v>
      </c>
      <c r="I273" s="17">
        <f t="shared" ca="1" si="8"/>
        <v>247</v>
      </c>
      <c r="J273" t="str">
        <f t="shared" ca="1" si="9"/>
        <v>On Track</v>
      </c>
    </row>
    <row r="274" spans="1:10">
      <c r="A274" t="s">
        <v>1893</v>
      </c>
      <c r="B274" t="s">
        <v>27</v>
      </c>
      <c r="C274" s="4">
        <v>46003</v>
      </c>
      <c r="D274" s="5">
        <v>179584.51</v>
      </c>
      <c r="E274" t="s">
        <v>1618</v>
      </c>
      <c r="F274" t="s">
        <v>9</v>
      </c>
      <c r="G274" t="s">
        <v>1632</v>
      </c>
      <c r="H274" t="s">
        <v>336</v>
      </c>
      <c r="I274" s="17">
        <f t="shared" ca="1" si="8"/>
        <v>147</v>
      </c>
      <c r="J274" t="str">
        <f t="shared" ca="1" si="9"/>
        <v>On Track</v>
      </c>
    </row>
    <row r="275" spans="1:10">
      <c r="A275" t="s">
        <v>1894</v>
      </c>
      <c r="B275" t="s">
        <v>84</v>
      </c>
      <c r="C275" s="4">
        <v>45961</v>
      </c>
      <c r="D275" s="5">
        <v>167410.62</v>
      </c>
      <c r="E275" t="s">
        <v>1629</v>
      </c>
      <c r="F275" t="s">
        <v>12</v>
      </c>
      <c r="G275" t="s">
        <v>1632</v>
      </c>
      <c r="H275" t="s">
        <v>322</v>
      </c>
      <c r="I275" s="17">
        <f t="shared" ca="1" si="8"/>
        <v>189</v>
      </c>
      <c r="J275" t="str">
        <f t="shared" ca="1" si="9"/>
        <v>Delayed</v>
      </c>
    </row>
    <row r="276" spans="1:10">
      <c r="A276" t="s">
        <v>1895</v>
      </c>
      <c r="B276" t="s">
        <v>194</v>
      </c>
      <c r="C276" s="4">
        <v>46119</v>
      </c>
      <c r="D276" s="5">
        <v>200477.35</v>
      </c>
      <c r="E276" t="s">
        <v>1611</v>
      </c>
      <c r="F276" t="s">
        <v>9</v>
      </c>
      <c r="G276" t="s">
        <v>1621</v>
      </c>
      <c r="H276" t="s">
        <v>336</v>
      </c>
      <c r="I276" s="17">
        <f t="shared" ca="1" si="8"/>
        <v>31</v>
      </c>
      <c r="J276" t="str">
        <f t="shared" ca="1" si="9"/>
        <v>Delayed</v>
      </c>
    </row>
    <row r="277" spans="1:10">
      <c r="A277" t="s">
        <v>1896</v>
      </c>
      <c r="B277" t="s">
        <v>118</v>
      </c>
      <c r="C277" s="4">
        <v>45981</v>
      </c>
      <c r="D277" s="5">
        <v>46817.2</v>
      </c>
      <c r="E277" t="s">
        <v>1629</v>
      </c>
      <c r="F277" t="s">
        <v>12</v>
      </c>
      <c r="G277" t="s">
        <v>1632</v>
      </c>
      <c r="H277" t="s">
        <v>336</v>
      </c>
      <c r="I277" s="17">
        <f t="shared" ca="1" si="8"/>
        <v>169</v>
      </c>
      <c r="J277" t="str">
        <f t="shared" ca="1" si="9"/>
        <v>Delayed</v>
      </c>
    </row>
    <row r="278" spans="1:10">
      <c r="A278" t="s">
        <v>1897</v>
      </c>
      <c r="B278" t="s">
        <v>103</v>
      </c>
      <c r="C278" s="4">
        <v>46035</v>
      </c>
      <c r="D278" s="5">
        <v>6286.84</v>
      </c>
      <c r="E278" t="s">
        <v>1611</v>
      </c>
      <c r="F278" t="s">
        <v>9</v>
      </c>
      <c r="G278" t="s">
        <v>1632</v>
      </c>
      <c r="H278" t="s">
        <v>322</v>
      </c>
      <c r="I278" s="17">
        <f t="shared" ca="1" si="8"/>
        <v>115</v>
      </c>
      <c r="J278" t="str">
        <f t="shared" ca="1" si="9"/>
        <v>Delayed</v>
      </c>
    </row>
    <row r="279" spans="1:10">
      <c r="A279" t="s">
        <v>1898</v>
      </c>
      <c r="B279" t="s">
        <v>36</v>
      </c>
      <c r="C279" s="4">
        <v>46046</v>
      </c>
      <c r="D279" s="5">
        <v>191293.83</v>
      </c>
      <c r="E279" t="s">
        <v>1618</v>
      </c>
      <c r="F279" t="s">
        <v>9</v>
      </c>
      <c r="G279" t="s">
        <v>1621</v>
      </c>
      <c r="H279" t="s">
        <v>336</v>
      </c>
      <c r="I279" s="17">
        <f t="shared" ca="1" si="8"/>
        <v>104</v>
      </c>
      <c r="J279" t="str">
        <f t="shared" ca="1" si="9"/>
        <v>On Track</v>
      </c>
    </row>
    <row r="280" spans="1:10">
      <c r="A280" t="s">
        <v>1899</v>
      </c>
      <c r="B280" t="s">
        <v>108</v>
      </c>
      <c r="C280" s="4">
        <v>46079</v>
      </c>
      <c r="D280" s="5">
        <v>184095.39</v>
      </c>
      <c r="E280" t="s">
        <v>1631</v>
      </c>
      <c r="F280" t="s">
        <v>9</v>
      </c>
      <c r="G280" t="s">
        <v>1619</v>
      </c>
      <c r="H280" t="s">
        <v>336</v>
      </c>
      <c r="I280" s="17">
        <f t="shared" ca="1" si="8"/>
        <v>71</v>
      </c>
      <c r="J280" t="str">
        <f t="shared" ca="1" si="9"/>
        <v>Delayed</v>
      </c>
    </row>
    <row r="281" spans="1:10">
      <c r="A281" t="s">
        <v>1900</v>
      </c>
      <c r="B281" t="s">
        <v>43</v>
      </c>
      <c r="C281" s="4">
        <v>46156</v>
      </c>
      <c r="D281" s="5">
        <v>55056.480000000003</v>
      </c>
      <c r="E281" t="s">
        <v>1614</v>
      </c>
      <c r="F281" t="s">
        <v>9</v>
      </c>
      <c r="G281" t="s">
        <v>1621</v>
      </c>
      <c r="H281" t="s">
        <v>336</v>
      </c>
      <c r="I281" s="17">
        <f t="shared" ca="1" si="8"/>
        <v>-6</v>
      </c>
      <c r="J281" t="str">
        <f t="shared" ca="1" si="9"/>
        <v>On Track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1"/>
  <sheetViews>
    <sheetView workbookViewId="0"/>
  </sheetViews>
  <sheetFormatPr baseColWidth="10" defaultColWidth="8.83203125" defaultRowHeight="15"/>
  <cols>
    <col min="1" max="1" width="8.5" customWidth="1"/>
    <col min="2" max="2" width="9.1640625" customWidth="1"/>
    <col min="3" max="3" width="12" customWidth="1"/>
    <col min="4" max="4" width="10.5" customWidth="1"/>
    <col min="5" max="5" width="8.6640625" customWidth="1"/>
    <col min="6" max="6" width="12.5" customWidth="1"/>
    <col min="7" max="7" width="10.5" customWidth="1"/>
    <col min="8" max="8" width="18.83203125" customWidth="1"/>
  </cols>
  <sheetData>
    <row r="1" spans="1:8" ht="15" customHeight="1">
      <c r="A1" s="3" t="s">
        <v>1901</v>
      </c>
      <c r="B1" s="3" t="s">
        <v>1</v>
      </c>
      <c r="C1" s="3" t="s">
        <v>1902</v>
      </c>
      <c r="D1" s="3" t="s">
        <v>1903</v>
      </c>
      <c r="E1" s="3" t="s">
        <v>1604</v>
      </c>
      <c r="F1" s="3" t="s">
        <v>1904</v>
      </c>
      <c r="G1" s="3" t="s">
        <v>1905</v>
      </c>
      <c r="H1" s="3" t="s">
        <v>1906</v>
      </c>
    </row>
    <row r="2" spans="1:8">
      <c r="A2" t="s">
        <v>1907</v>
      </c>
      <c r="B2" t="s">
        <v>208</v>
      </c>
      <c r="C2" t="s">
        <v>1908</v>
      </c>
      <c r="D2" s="4">
        <v>46053</v>
      </c>
      <c r="E2" s="5">
        <v>32023.23</v>
      </c>
      <c r="F2" t="s">
        <v>1909</v>
      </c>
      <c r="G2" s="4">
        <v>46061</v>
      </c>
      <c r="H2" t="s">
        <v>1910</v>
      </c>
    </row>
    <row r="3" spans="1:8">
      <c r="A3" t="s">
        <v>1911</v>
      </c>
      <c r="B3" t="s">
        <v>29</v>
      </c>
      <c r="C3" t="s">
        <v>1908</v>
      </c>
      <c r="D3" s="4">
        <v>45872</v>
      </c>
      <c r="E3" s="5">
        <v>37712.769999999997</v>
      </c>
      <c r="F3" t="s">
        <v>1912</v>
      </c>
      <c r="G3" s="4">
        <v>45882</v>
      </c>
      <c r="H3" t="s">
        <v>1913</v>
      </c>
    </row>
    <row r="4" spans="1:8">
      <c r="A4" t="s">
        <v>1914</v>
      </c>
      <c r="B4" t="s">
        <v>40</v>
      </c>
      <c r="C4" t="s">
        <v>1908</v>
      </c>
      <c r="D4" s="4">
        <v>45905</v>
      </c>
      <c r="E4" s="5">
        <v>113797.46</v>
      </c>
      <c r="F4" t="s">
        <v>1912</v>
      </c>
      <c r="G4" s="4">
        <v>45911</v>
      </c>
      <c r="H4" t="s">
        <v>1915</v>
      </c>
    </row>
    <row r="5" spans="1:8">
      <c r="A5" t="s">
        <v>1916</v>
      </c>
      <c r="B5" t="s">
        <v>170</v>
      </c>
      <c r="C5" t="s">
        <v>1917</v>
      </c>
      <c r="D5" s="4">
        <v>45859</v>
      </c>
      <c r="E5" s="5">
        <v>96487.13</v>
      </c>
      <c r="F5" t="s">
        <v>1909</v>
      </c>
      <c r="G5" s="4">
        <v>45865</v>
      </c>
      <c r="H5" t="s">
        <v>1915</v>
      </c>
    </row>
    <row r="6" spans="1:8">
      <c r="A6" t="s">
        <v>1918</v>
      </c>
      <c r="B6" t="s">
        <v>173</v>
      </c>
      <c r="C6" t="s">
        <v>1908</v>
      </c>
      <c r="D6" s="4">
        <v>45874</v>
      </c>
      <c r="E6" s="5">
        <v>62719.23</v>
      </c>
      <c r="F6" t="s">
        <v>1919</v>
      </c>
      <c r="G6" s="4"/>
      <c r="H6" t="s">
        <v>1913</v>
      </c>
    </row>
    <row r="7" spans="1:8">
      <c r="A7" t="s">
        <v>1920</v>
      </c>
      <c r="B7" t="s">
        <v>138</v>
      </c>
      <c r="C7" t="s">
        <v>1908</v>
      </c>
      <c r="D7" s="4">
        <v>46123</v>
      </c>
      <c r="E7" s="5">
        <v>48067.63</v>
      </c>
      <c r="F7" t="s">
        <v>1912</v>
      </c>
      <c r="G7" s="4">
        <v>46128</v>
      </c>
      <c r="H7" t="s">
        <v>1910</v>
      </c>
    </row>
    <row r="8" spans="1:8">
      <c r="A8" t="s">
        <v>1921</v>
      </c>
      <c r="B8" t="s">
        <v>11</v>
      </c>
      <c r="C8" t="s">
        <v>1922</v>
      </c>
      <c r="D8" s="4">
        <v>46060</v>
      </c>
      <c r="E8" s="5">
        <v>26658.2</v>
      </c>
      <c r="F8" t="s">
        <v>1912</v>
      </c>
      <c r="G8" s="4">
        <v>46061</v>
      </c>
      <c r="H8" t="s">
        <v>1915</v>
      </c>
    </row>
    <row r="9" spans="1:8">
      <c r="A9" t="s">
        <v>1923</v>
      </c>
      <c r="B9" t="s">
        <v>124</v>
      </c>
      <c r="C9" t="s">
        <v>1924</v>
      </c>
      <c r="D9" s="4">
        <v>46118</v>
      </c>
      <c r="E9" s="5">
        <v>13199.97</v>
      </c>
      <c r="F9" t="s">
        <v>1919</v>
      </c>
      <c r="G9" s="4"/>
      <c r="H9" t="s">
        <v>1915</v>
      </c>
    </row>
    <row r="10" spans="1:8">
      <c r="A10" t="s">
        <v>1925</v>
      </c>
      <c r="B10" t="s">
        <v>285</v>
      </c>
      <c r="C10" t="s">
        <v>1908</v>
      </c>
      <c r="D10" s="4">
        <v>45993</v>
      </c>
      <c r="E10" s="5">
        <v>36874.51</v>
      </c>
      <c r="F10" t="s">
        <v>1919</v>
      </c>
      <c r="G10" s="4"/>
      <c r="H10" t="s">
        <v>1915</v>
      </c>
    </row>
    <row r="11" spans="1:8">
      <c r="A11" t="s">
        <v>1926</v>
      </c>
      <c r="B11" t="s">
        <v>131</v>
      </c>
      <c r="C11" t="s">
        <v>1924</v>
      </c>
      <c r="D11" s="4">
        <v>45912</v>
      </c>
      <c r="E11" s="5">
        <v>97746.51</v>
      </c>
      <c r="F11" t="s">
        <v>1919</v>
      </c>
      <c r="G11" s="4"/>
      <c r="H11" t="s">
        <v>1913</v>
      </c>
    </row>
    <row r="12" spans="1:8">
      <c r="A12" t="s">
        <v>1927</v>
      </c>
      <c r="B12" t="s">
        <v>211</v>
      </c>
      <c r="C12" t="s">
        <v>1924</v>
      </c>
      <c r="D12" s="4">
        <v>45987</v>
      </c>
      <c r="E12" s="5">
        <v>103576.06</v>
      </c>
      <c r="F12" t="s">
        <v>1909</v>
      </c>
      <c r="G12" s="4">
        <v>45996</v>
      </c>
      <c r="H12" t="s">
        <v>1915</v>
      </c>
    </row>
    <row r="13" spans="1:8">
      <c r="A13" t="s">
        <v>1928</v>
      </c>
      <c r="B13" t="s">
        <v>97</v>
      </c>
      <c r="C13" t="s">
        <v>318</v>
      </c>
      <c r="D13" s="4">
        <v>46126</v>
      </c>
      <c r="E13" s="5">
        <v>72979.75</v>
      </c>
      <c r="F13" t="s">
        <v>1919</v>
      </c>
      <c r="G13" s="4"/>
      <c r="H13" t="s">
        <v>1929</v>
      </c>
    </row>
    <row r="14" spans="1:8">
      <c r="A14" t="s">
        <v>1930</v>
      </c>
      <c r="B14" t="s">
        <v>202</v>
      </c>
      <c r="C14" t="s">
        <v>318</v>
      </c>
      <c r="D14" s="4">
        <v>46159</v>
      </c>
      <c r="E14" s="5">
        <v>103257.06</v>
      </c>
      <c r="F14" t="s">
        <v>1912</v>
      </c>
      <c r="G14" s="4">
        <v>46166</v>
      </c>
      <c r="H14" t="s">
        <v>1915</v>
      </c>
    </row>
    <row r="15" spans="1:8">
      <c r="A15" t="s">
        <v>1931</v>
      </c>
      <c r="B15" t="s">
        <v>196</v>
      </c>
      <c r="C15" t="s">
        <v>1924</v>
      </c>
      <c r="D15" s="4">
        <v>45989</v>
      </c>
      <c r="E15" s="5">
        <v>55609.77</v>
      </c>
      <c r="F15" t="s">
        <v>1909</v>
      </c>
      <c r="G15" s="4">
        <v>45999</v>
      </c>
      <c r="H15" t="s">
        <v>1929</v>
      </c>
    </row>
    <row r="16" spans="1:8">
      <c r="A16" t="s">
        <v>1932</v>
      </c>
      <c r="B16" t="s">
        <v>144</v>
      </c>
      <c r="C16" t="s">
        <v>318</v>
      </c>
      <c r="D16" s="4">
        <v>46068</v>
      </c>
      <c r="E16" s="5">
        <v>12074.43</v>
      </c>
      <c r="F16" t="s">
        <v>1933</v>
      </c>
      <c r="G16" s="4"/>
      <c r="H16" t="s">
        <v>1910</v>
      </c>
    </row>
    <row r="17" spans="1:8">
      <c r="A17" t="s">
        <v>1934</v>
      </c>
      <c r="B17" t="s">
        <v>212</v>
      </c>
      <c r="C17" t="s">
        <v>1924</v>
      </c>
      <c r="D17" s="4">
        <v>45994</v>
      </c>
      <c r="E17" s="5">
        <v>109012.23</v>
      </c>
      <c r="F17" t="s">
        <v>1912</v>
      </c>
      <c r="G17" s="4">
        <v>45998</v>
      </c>
      <c r="H17" t="s">
        <v>1915</v>
      </c>
    </row>
    <row r="18" spans="1:8">
      <c r="A18" t="s">
        <v>1935</v>
      </c>
      <c r="B18" t="s">
        <v>87</v>
      </c>
      <c r="C18" t="s">
        <v>1924</v>
      </c>
      <c r="D18" s="4">
        <v>46050</v>
      </c>
      <c r="E18" s="5">
        <v>114223.43</v>
      </c>
      <c r="F18" t="s">
        <v>1912</v>
      </c>
      <c r="G18" s="4">
        <v>46052</v>
      </c>
      <c r="H18" t="s">
        <v>1913</v>
      </c>
    </row>
    <row r="19" spans="1:8">
      <c r="A19" t="s">
        <v>1936</v>
      </c>
      <c r="B19" t="s">
        <v>66</v>
      </c>
      <c r="C19" t="s">
        <v>1917</v>
      </c>
      <c r="D19" s="4">
        <v>45861</v>
      </c>
      <c r="E19" s="5">
        <v>48284.49</v>
      </c>
      <c r="F19" t="s">
        <v>1919</v>
      </c>
      <c r="G19" s="4"/>
      <c r="H19" t="s">
        <v>1929</v>
      </c>
    </row>
    <row r="20" spans="1:8">
      <c r="A20" t="s">
        <v>1937</v>
      </c>
      <c r="B20" t="s">
        <v>71</v>
      </c>
      <c r="C20" t="s">
        <v>1922</v>
      </c>
      <c r="D20" s="4">
        <v>45904</v>
      </c>
      <c r="E20" s="5">
        <v>77495.41</v>
      </c>
      <c r="F20" t="s">
        <v>1919</v>
      </c>
      <c r="G20" s="4"/>
      <c r="H20" t="s">
        <v>1915</v>
      </c>
    </row>
    <row r="21" spans="1:8">
      <c r="A21" t="s">
        <v>1938</v>
      </c>
      <c r="B21" t="s">
        <v>162</v>
      </c>
      <c r="C21" t="s">
        <v>318</v>
      </c>
      <c r="D21" s="4">
        <v>45935</v>
      </c>
      <c r="E21" s="5">
        <v>25714.14</v>
      </c>
      <c r="F21" t="s">
        <v>1933</v>
      </c>
      <c r="G21" s="4"/>
      <c r="H21" t="s">
        <v>1913</v>
      </c>
    </row>
    <row r="22" spans="1:8">
      <c r="A22" t="s">
        <v>1939</v>
      </c>
      <c r="B22" t="s">
        <v>105</v>
      </c>
      <c r="C22" t="s">
        <v>318</v>
      </c>
      <c r="D22" s="4">
        <v>45921</v>
      </c>
      <c r="E22" s="5">
        <v>48980.21</v>
      </c>
      <c r="F22" t="s">
        <v>1912</v>
      </c>
      <c r="G22" s="4">
        <v>45930</v>
      </c>
      <c r="H22" t="s">
        <v>1913</v>
      </c>
    </row>
    <row r="23" spans="1:8">
      <c r="A23" t="s">
        <v>1940</v>
      </c>
      <c r="B23" t="s">
        <v>43</v>
      </c>
      <c r="C23" t="s">
        <v>1917</v>
      </c>
      <c r="D23" s="4">
        <v>46101</v>
      </c>
      <c r="E23" s="5">
        <v>30990.84</v>
      </c>
      <c r="F23" t="s">
        <v>1919</v>
      </c>
      <c r="G23" s="4"/>
      <c r="H23" t="s">
        <v>1913</v>
      </c>
    </row>
    <row r="24" spans="1:8">
      <c r="A24" t="s">
        <v>1941</v>
      </c>
      <c r="B24" t="s">
        <v>57</v>
      </c>
      <c r="C24" t="s">
        <v>1917</v>
      </c>
      <c r="D24" s="4">
        <v>46013</v>
      </c>
      <c r="E24" s="5">
        <v>82990.710000000006</v>
      </c>
      <c r="F24" t="s">
        <v>1912</v>
      </c>
      <c r="G24" s="4">
        <v>46014</v>
      </c>
      <c r="H24" t="s">
        <v>1913</v>
      </c>
    </row>
    <row r="25" spans="1:8">
      <c r="A25" t="s">
        <v>1942</v>
      </c>
      <c r="B25" t="s">
        <v>124</v>
      </c>
      <c r="C25" t="s">
        <v>1908</v>
      </c>
      <c r="D25" s="4">
        <v>46136</v>
      </c>
      <c r="E25" s="5">
        <v>95568.8</v>
      </c>
      <c r="F25" t="s">
        <v>1912</v>
      </c>
      <c r="G25" s="4">
        <v>46142</v>
      </c>
      <c r="H25" t="s">
        <v>1910</v>
      </c>
    </row>
    <row r="26" spans="1:8">
      <c r="A26" t="s">
        <v>1943</v>
      </c>
      <c r="B26" t="s">
        <v>223</v>
      </c>
      <c r="C26" t="s">
        <v>1922</v>
      </c>
      <c r="D26" s="4">
        <v>46096</v>
      </c>
      <c r="E26" s="5">
        <v>62217.3</v>
      </c>
      <c r="F26" t="s">
        <v>1912</v>
      </c>
      <c r="G26" s="4">
        <v>46098</v>
      </c>
      <c r="H26" t="s">
        <v>1929</v>
      </c>
    </row>
    <row r="27" spans="1:8">
      <c r="A27" t="s">
        <v>1944</v>
      </c>
      <c r="B27" t="s">
        <v>232</v>
      </c>
      <c r="C27" t="s">
        <v>318</v>
      </c>
      <c r="D27" s="4">
        <v>45888</v>
      </c>
      <c r="E27" s="5">
        <v>45706.64</v>
      </c>
      <c r="F27" t="s">
        <v>1912</v>
      </c>
      <c r="G27" s="4">
        <v>45891</v>
      </c>
      <c r="H27" t="s">
        <v>1915</v>
      </c>
    </row>
    <row r="28" spans="1:8">
      <c r="A28" t="s">
        <v>1945</v>
      </c>
      <c r="B28" t="s">
        <v>219</v>
      </c>
      <c r="C28" t="s">
        <v>1922</v>
      </c>
      <c r="D28" s="4">
        <v>45950</v>
      </c>
      <c r="E28" s="5">
        <v>53074.55</v>
      </c>
      <c r="F28" t="s">
        <v>1933</v>
      </c>
      <c r="G28" s="4"/>
      <c r="H28" t="s">
        <v>1929</v>
      </c>
    </row>
    <row r="29" spans="1:8">
      <c r="A29" t="s">
        <v>1946</v>
      </c>
      <c r="B29" t="s">
        <v>87</v>
      </c>
      <c r="C29" t="s">
        <v>318</v>
      </c>
      <c r="D29" s="4">
        <v>45936</v>
      </c>
      <c r="E29" s="5">
        <v>75513.62</v>
      </c>
      <c r="F29" t="s">
        <v>1912</v>
      </c>
      <c r="G29" s="4">
        <v>45939</v>
      </c>
      <c r="H29" t="s">
        <v>1929</v>
      </c>
    </row>
    <row r="30" spans="1:8">
      <c r="A30" t="s">
        <v>1947</v>
      </c>
      <c r="B30" t="s">
        <v>110</v>
      </c>
      <c r="C30" t="s">
        <v>1917</v>
      </c>
      <c r="D30" s="4">
        <v>45853</v>
      </c>
      <c r="E30" s="5">
        <v>36313.370000000003</v>
      </c>
      <c r="F30" t="s">
        <v>1912</v>
      </c>
      <c r="G30" s="4">
        <v>45858</v>
      </c>
      <c r="H30" t="s">
        <v>1910</v>
      </c>
    </row>
    <row r="31" spans="1:8">
      <c r="A31" t="s">
        <v>1948</v>
      </c>
      <c r="B31" t="s">
        <v>245</v>
      </c>
      <c r="C31" t="s">
        <v>1917</v>
      </c>
      <c r="D31" s="4">
        <v>46039</v>
      </c>
      <c r="E31" s="5">
        <v>68093.440000000002</v>
      </c>
      <c r="F31" t="s">
        <v>1919</v>
      </c>
      <c r="G31" s="4"/>
      <c r="H31" t="s">
        <v>1913</v>
      </c>
    </row>
    <row r="32" spans="1:8">
      <c r="A32" t="s">
        <v>1949</v>
      </c>
      <c r="B32" t="s">
        <v>183</v>
      </c>
      <c r="C32" t="s">
        <v>1924</v>
      </c>
      <c r="D32" s="4">
        <v>46039</v>
      </c>
      <c r="E32" s="5">
        <v>62806.19</v>
      </c>
      <c r="F32" t="s">
        <v>1919</v>
      </c>
      <c r="G32" s="4"/>
      <c r="H32" t="s">
        <v>1913</v>
      </c>
    </row>
    <row r="33" spans="1:8">
      <c r="A33" t="s">
        <v>1950</v>
      </c>
      <c r="B33" t="s">
        <v>56</v>
      </c>
      <c r="C33" t="s">
        <v>1908</v>
      </c>
      <c r="D33" s="4">
        <v>46018</v>
      </c>
      <c r="E33" s="5">
        <v>111322.47</v>
      </c>
      <c r="F33" t="s">
        <v>1912</v>
      </c>
      <c r="G33" s="4">
        <v>46021</v>
      </c>
      <c r="H33" t="s">
        <v>1929</v>
      </c>
    </row>
    <row r="34" spans="1:8">
      <c r="A34" t="s">
        <v>1951</v>
      </c>
      <c r="B34" t="s">
        <v>97</v>
      </c>
      <c r="C34" t="s">
        <v>1922</v>
      </c>
      <c r="D34" s="4">
        <v>46011</v>
      </c>
      <c r="E34" s="5">
        <v>50540.05</v>
      </c>
      <c r="F34" t="s">
        <v>1919</v>
      </c>
      <c r="G34" s="4"/>
      <c r="H34" t="s">
        <v>1915</v>
      </c>
    </row>
    <row r="35" spans="1:8">
      <c r="A35" t="s">
        <v>1952</v>
      </c>
      <c r="B35" t="s">
        <v>295</v>
      </c>
      <c r="C35" t="s">
        <v>1917</v>
      </c>
      <c r="D35" s="4">
        <v>45945</v>
      </c>
      <c r="E35" s="5">
        <v>24712.85</v>
      </c>
      <c r="F35" t="s">
        <v>1909</v>
      </c>
      <c r="G35" s="4">
        <v>45953</v>
      </c>
      <c r="H35" t="s">
        <v>1915</v>
      </c>
    </row>
    <row r="36" spans="1:8">
      <c r="A36" t="s">
        <v>1953</v>
      </c>
      <c r="B36" t="s">
        <v>43</v>
      </c>
      <c r="C36" t="s">
        <v>1908</v>
      </c>
      <c r="D36" s="4">
        <v>46088</v>
      </c>
      <c r="E36" s="5">
        <v>71740.08</v>
      </c>
      <c r="F36" t="s">
        <v>1909</v>
      </c>
      <c r="G36" s="4">
        <v>46097</v>
      </c>
      <c r="H36" t="s">
        <v>1910</v>
      </c>
    </row>
    <row r="37" spans="1:8">
      <c r="A37" t="s">
        <v>1954</v>
      </c>
      <c r="B37" t="s">
        <v>140</v>
      </c>
      <c r="C37" t="s">
        <v>1924</v>
      </c>
      <c r="D37" s="4">
        <v>45856</v>
      </c>
      <c r="E37" s="5">
        <v>111417.66</v>
      </c>
      <c r="F37" t="s">
        <v>1919</v>
      </c>
      <c r="G37" s="4"/>
      <c r="H37" t="s">
        <v>1910</v>
      </c>
    </row>
    <row r="38" spans="1:8">
      <c r="A38" t="s">
        <v>1955</v>
      </c>
      <c r="B38" t="s">
        <v>91</v>
      </c>
      <c r="C38" t="s">
        <v>1922</v>
      </c>
      <c r="D38" s="4">
        <v>46055</v>
      </c>
      <c r="E38" s="5">
        <v>112182.64</v>
      </c>
      <c r="F38" t="s">
        <v>1912</v>
      </c>
      <c r="G38" s="4">
        <v>46059</v>
      </c>
      <c r="H38" t="s">
        <v>1913</v>
      </c>
    </row>
    <row r="39" spans="1:8">
      <c r="A39" t="s">
        <v>1956</v>
      </c>
      <c r="B39" t="s">
        <v>99</v>
      </c>
      <c r="C39" t="s">
        <v>1922</v>
      </c>
      <c r="D39" s="4">
        <v>45959</v>
      </c>
      <c r="E39" s="5">
        <v>34318.28</v>
      </c>
      <c r="F39" t="s">
        <v>1919</v>
      </c>
      <c r="G39" s="4"/>
      <c r="H39" t="s">
        <v>1913</v>
      </c>
    </row>
    <row r="40" spans="1:8">
      <c r="A40" t="s">
        <v>1957</v>
      </c>
      <c r="B40" t="s">
        <v>183</v>
      </c>
      <c r="C40" t="s">
        <v>318</v>
      </c>
      <c r="D40" s="4">
        <v>46116</v>
      </c>
      <c r="E40" s="5">
        <v>70890.73</v>
      </c>
      <c r="F40" t="s">
        <v>1912</v>
      </c>
      <c r="G40" s="4">
        <v>46122</v>
      </c>
      <c r="H40" t="s">
        <v>1910</v>
      </c>
    </row>
    <row r="41" spans="1:8">
      <c r="A41" t="s">
        <v>1958</v>
      </c>
      <c r="B41" t="s">
        <v>61</v>
      </c>
      <c r="C41" t="s">
        <v>1908</v>
      </c>
      <c r="D41" s="4">
        <v>46091</v>
      </c>
      <c r="E41" s="5">
        <v>25907.5</v>
      </c>
      <c r="F41" t="s">
        <v>1909</v>
      </c>
      <c r="G41" s="4">
        <v>46095</v>
      </c>
      <c r="H41" t="s">
        <v>1915</v>
      </c>
    </row>
    <row r="42" spans="1:8">
      <c r="A42" t="s">
        <v>1959</v>
      </c>
      <c r="B42" t="s">
        <v>129</v>
      </c>
      <c r="C42" t="s">
        <v>1917</v>
      </c>
      <c r="D42" s="4">
        <v>45924</v>
      </c>
      <c r="E42" s="5">
        <v>18056.669999999998</v>
      </c>
      <c r="F42" t="s">
        <v>1912</v>
      </c>
      <c r="G42" s="4">
        <v>45925</v>
      </c>
      <c r="H42" t="s">
        <v>1915</v>
      </c>
    </row>
    <row r="43" spans="1:8">
      <c r="A43" t="s">
        <v>1960</v>
      </c>
      <c r="B43" t="s">
        <v>155</v>
      </c>
      <c r="C43" t="s">
        <v>1924</v>
      </c>
      <c r="D43" s="4">
        <v>45875</v>
      </c>
      <c r="E43" s="5">
        <v>17300.02</v>
      </c>
      <c r="F43" t="s">
        <v>1912</v>
      </c>
      <c r="G43" s="4">
        <v>45882</v>
      </c>
      <c r="H43" t="s">
        <v>1910</v>
      </c>
    </row>
    <row r="44" spans="1:8">
      <c r="A44" t="s">
        <v>1961</v>
      </c>
      <c r="B44" t="s">
        <v>196</v>
      </c>
      <c r="C44" t="s">
        <v>1924</v>
      </c>
      <c r="D44" s="4">
        <v>46105</v>
      </c>
      <c r="E44" s="5">
        <v>91440.88</v>
      </c>
      <c r="F44" t="s">
        <v>1919</v>
      </c>
      <c r="G44" s="4"/>
      <c r="H44" t="s">
        <v>1929</v>
      </c>
    </row>
    <row r="45" spans="1:8">
      <c r="A45" t="s">
        <v>1962</v>
      </c>
      <c r="B45" t="s">
        <v>40</v>
      </c>
      <c r="C45" t="s">
        <v>318</v>
      </c>
      <c r="D45" s="4">
        <v>46046</v>
      </c>
      <c r="E45" s="5">
        <v>85043.11</v>
      </c>
      <c r="F45" t="s">
        <v>1919</v>
      </c>
      <c r="G45" s="4"/>
      <c r="H45" t="s">
        <v>1910</v>
      </c>
    </row>
    <row r="46" spans="1:8">
      <c r="A46" t="s">
        <v>1963</v>
      </c>
      <c r="B46" t="s">
        <v>84</v>
      </c>
      <c r="C46" t="s">
        <v>1917</v>
      </c>
      <c r="D46" s="4">
        <v>45889</v>
      </c>
      <c r="E46" s="5">
        <v>106110.99</v>
      </c>
      <c r="F46" t="s">
        <v>1912</v>
      </c>
      <c r="G46" s="4">
        <v>45892</v>
      </c>
      <c r="H46" t="s">
        <v>1913</v>
      </c>
    </row>
    <row r="47" spans="1:8">
      <c r="A47" t="s">
        <v>1964</v>
      </c>
      <c r="B47" t="s">
        <v>138</v>
      </c>
      <c r="C47" t="s">
        <v>1922</v>
      </c>
      <c r="D47" s="4">
        <v>46072</v>
      </c>
      <c r="E47" s="5">
        <v>67697.820000000007</v>
      </c>
      <c r="F47" t="s">
        <v>1912</v>
      </c>
      <c r="G47" s="4">
        <v>46077</v>
      </c>
      <c r="H47" t="s">
        <v>1929</v>
      </c>
    </row>
    <row r="48" spans="1:8">
      <c r="A48" t="s">
        <v>1965</v>
      </c>
      <c r="B48" t="s">
        <v>173</v>
      </c>
      <c r="C48" t="s">
        <v>1917</v>
      </c>
      <c r="D48" s="4">
        <v>46027</v>
      </c>
      <c r="E48" s="5">
        <v>22183.48</v>
      </c>
      <c r="F48" t="s">
        <v>1912</v>
      </c>
      <c r="G48" s="4">
        <v>46035</v>
      </c>
      <c r="H48" t="s">
        <v>1929</v>
      </c>
    </row>
    <row r="49" spans="1:8">
      <c r="A49" t="s">
        <v>1966</v>
      </c>
      <c r="B49" t="s">
        <v>301</v>
      </c>
      <c r="C49" t="s">
        <v>1908</v>
      </c>
      <c r="D49" s="4">
        <v>46135</v>
      </c>
      <c r="E49" s="5">
        <v>105279.09</v>
      </c>
      <c r="F49" t="s">
        <v>1933</v>
      </c>
      <c r="G49" s="4"/>
      <c r="H49" t="s">
        <v>1929</v>
      </c>
    </row>
    <row r="50" spans="1:8">
      <c r="A50" t="s">
        <v>1967</v>
      </c>
      <c r="B50" t="s">
        <v>91</v>
      </c>
      <c r="C50" t="s">
        <v>1908</v>
      </c>
      <c r="D50" s="4">
        <v>45940</v>
      </c>
      <c r="E50" s="5">
        <v>112049.9</v>
      </c>
      <c r="F50" t="s">
        <v>1933</v>
      </c>
      <c r="G50" s="4"/>
      <c r="H50" t="s">
        <v>1929</v>
      </c>
    </row>
    <row r="51" spans="1:8">
      <c r="A51" t="s">
        <v>1968</v>
      </c>
      <c r="B51" t="s">
        <v>351</v>
      </c>
      <c r="C51" t="s">
        <v>1922</v>
      </c>
      <c r="D51" s="4">
        <v>46118</v>
      </c>
      <c r="E51" s="5">
        <v>24191.74</v>
      </c>
      <c r="F51" t="s">
        <v>1912</v>
      </c>
      <c r="G51" s="4">
        <v>46124</v>
      </c>
      <c r="H51" t="s">
        <v>1910</v>
      </c>
    </row>
    <row r="52" spans="1:8">
      <c r="A52" t="s">
        <v>1969</v>
      </c>
      <c r="B52" t="s">
        <v>215</v>
      </c>
      <c r="C52" t="s">
        <v>1922</v>
      </c>
      <c r="D52" s="4">
        <v>45978</v>
      </c>
      <c r="E52" s="5">
        <v>60832.41</v>
      </c>
      <c r="F52" t="s">
        <v>1909</v>
      </c>
      <c r="G52" s="4">
        <v>45983</v>
      </c>
      <c r="H52" t="s">
        <v>1910</v>
      </c>
    </row>
    <row r="53" spans="1:8">
      <c r="A53" t="s">
        <v>1970</v>
      </c>
      <c r="B53" t="s">
        <v>34</v>
      </c>
      <c r="C53" t="s">
        <v>1917</v>
      </c>
      <c r="D53" s="4">
        <v>46094</v>
      </c>
      <c r="E53" s="5">
        <v>48396.99</v>
      </c>
      <c r="F53" t="s">
        <v>1933</v>
      </c>
      <c r="G53" s="4"/>
      <c r="H53" t="s">
        <v>1910</v>
      </c>
    </row>
    <row r="54" spans="1:8">
      <c r="A54" t="s">
        <v>1971</v>
      </c>
      <c r="B54" t="s">
        <v>140</v>
      </c>
      <c r="C54" t="s">
        <v>318</v>
      </c>
      <c r="D54" s="4">
        <v>45878</v>
      </c>
      <c r="E54" s="5">
        <v>116565.74</v>
      </c>
      <c r="F54" t="s">
        <v>1912</v>
      </c>
      <c r="G54" s="4">
        <v>45886</v>
      </c>
      <c r="H54" t="s">
        <v>1929</v>
      </c>
    </row>
    <row r="55" spans="1:8">
      <c r="A55" t="s">
        <v>1972</v>
      </c>
      <c r="B55" t="s">
        <v>194</v>
      </c>
      <c r="C55" t="s">
        <v>1922</v>
      </c>
      <c r="D55" s="4">
        <v>45937</v>
      </c>
      <c r="E55" s="5">
        <v>57340.36</v>
      </c>
      <c r="F55" t="s">
        <v>1912</v>
      </c>
      <c r="G55" s="4">
        <v>45946</v>
      </c>
      <c r="H55" t="s">
        <v>1915</v>
      </c>
    </row>
    <row r="56" spans="1:8">
      <c r="A56" t="s">
        <v>1973</v>
      </c>
      <c r="B56" t="s">
        <v>91</v>
      </c>
      <c r="C56" t="s">
        <v>1908</v>
      </c>
      <c r="D56" s="4">
        <v>45863</v>
      </c>
      <c r="E56" s="5">
        <v>73937.539999999994</v>
      </c>
      <c r="F56" t="s">
        <v>1912</v>
      </c>
      <c r="G56" s="4">
        <v>45866</v>
      </c>
      <c r="H56" t="s">
        <v>1915</v>
      </c>
    </row>
    <row r="57" spans="1:8">
      <c r="A57" t="s">
        <v>1974</v>
      </c>
      <c r="B57" t="s">
        <v>247</v>
      </c>
      <c r="C57" t="s">
        <v>1917</v>
      </c>
      <c r="D57" s="4">
        <v>45910</v>
      </c>
      <c r="E57" s="5">
        <v>7669.71</v>
      </c>
      <c r="F57" t="s">
        <v>1912</v>
      </c>
      <c r="G57" s="4">
        <v>45911</v>
      </c>
      <c r="H57" t="s">
        <v>1915</v>
      </c>
    </row>
    <row r="58" spans="1:8">
      <c r="A58" t="s">
        <v>1975</v>
      </c>
      <c r="B58" t="s">
        <v>204</v>
      </c>
      <c r="C58" t="s">
        <v>1922</v>
      </c>
      <c r="D58" s="4">
        <v>46127</v>
      </c>
      <c r="E58" s="5">
        <v>34019.9</v>
      </c>
      <c r="F58" t="s">
        <v>1912</v>
      </c>
      <c r="G58" s="4">
        <v>46137</v>
      </c>
      <c r="H58" t="s">
        <v>1910</v>
      </c>
    </row>
    <row r="59" spans="1:8">
      <c r="A59" t="s">
        <v>1976</v>
      </c>
      <c r="B59" t="s">
        <v>138</v>
      </c>
      <c r="C59" t="s">
        <v>318</v>
      </c>
      <c r="D59" s="4">
        <v>46011</v>
      </c>
      <c r="E59" s="5">
        <v>107830.64</v>
      </c>
      <c r="F59" t="s">
        <v>1919</v>
      </c>
      <c r="G59" s="4"/>
      <c r="H59" t="s">
        <v>1910</v>
      </c>
    </row>
    <row r="60" spans="1:8">
      <c r="A60" t="s">
        <v>1977</v>
      </c>
      <c r="B60" t="s">
        <v>248</v>
      </c>
      <c r="C60" t="s">
        <v>1922</v>
      </c>
      <c r="D60" s="4">
        <v>45856</v>
      </c>
      <c r="E60" s="5">
        <v>112924.87</v>
      </c>
      <c r="F60" t="s">
        <v>1912</v>
      </c>
      <c r="G60" s="4">
        <v>45857</v>
      </c>
      <c r="H60" t="s">
        <v>1913</v>
      </c>
    </row>
    <row r="61" spans="1:8">
      <c r="A61" t="s">
        <v>1978</v>
      </c>
      <c r="B61" t="s">
        <v>73</v>
      </c>
      <c r="C61" t="s">
        <v>1908</v>
      </c>
      <c r="D61" s="4">
        <v>46105</v>
      </c>
      <c r="E61" s="5">
        <v>18554.16</v>
      </c>
      <c r="F61" t="s">
        <v>1919</v>
      </c>
      <c r="G61" s="4"/>
      <c r="H61" t="s">
        <v>1929</v>
      </c>
    </row>
    <row r="62" spans="1:8">
      <c r="A62" t="s">
        <v>1979</v>
      </c>
      <c r="B62" t="s">
        <v>273</v>
      </c>
      <c r="C62" t="s">
        <v>1908</v>
      </c>
      <c r="D62" s="4">
        <v>45990</v>
      </c>
      <c r="E62" s="5">
        <v>73414.95</v>
      </c>
      <c r="F62" t="s">
        <v>1912</v>
      </c>
      <c r="G62" s="4">
        <v>45997</v>
      </c>
      <c r="H62" t="s">
        <v>1915</v>
      </c>
    </row>
    <row r="63" spans="1:8">
      <c r="A63" t="s">
        <v>1980</v>
      </c>
      <c r="B63" t="s">
        <v>295</v>
      </c>
      <c r="C63" t="s">
        <v>1924</v>
      </c>
      <c r="D63" s="4">
        <v>45989</v>
      </c>
      <c r="E63" s="5">
        <v>67706.570000000007</v>
      </c>
      <c r="F63" t="s">
        <v>1919</v>
      </c>
      <c r="G63" s="4"/>
      <c r="H63" t="s">
        <v>1915</v>
      </c>
    </row>
    <row r="64" spans="1:8">
      <c r="A64" t="s">
        <v>1981</v>
      </c>
      <c r="B64" t="s">
        <v>71</v>
      </c>
      <c r="C64" t="s">
        <v>1908</v>
      </c>
      <c r="D64" s="4">
        <v>46086</v>
      </c>
      <c r="E64" s="5">
        <v>11491.27</v>
      </c>
      <c r="F64" t="s">
        <v>1933</v>
      </c>
      <c r="G64" s="4"/>
      <c r="H64" t="s">
        <v>1915</v>
      </c>
    </row>
    <row r="65" spans="1:8">
      <c r="A65" t="s">
        <v>1982</v>
      </c>
      <c r="B65" t="s">
        <v>133</v>
      </c>
      <c r="C65" t="s">
        <v>1908</v>
      </c>
      <c r="D65" s="4">
        <v>46011</v>
      </c>
      <c r="E65" s="5">
        <v>71346.679999999993</v>
      </c>
      <c r="F65" t="s">
        <v>1933</v>
      </c>
      <c r="G65" s="4"/>
      <c r="H65" t="s">
        <v>1915</v>
      </c>
    </row>
    <row r="66" spans="1:8">
      <c r="A66" t="s">
        <v>1983</v>
      </c>
      <c r="B66" t="s">
        <v>301</v>
      </c>
      <c r="C66" t="s">
        <v>1917</v>
      </c>
      <c r="D66" s="4">
        <v>46040</v>
      </c>
      <c r="E66" s="5">
        <v>55781.54</v>
      </c>
      <c r="F66" t="s">
        <v>1912</v>
      </c>
      <c r="G66" s="4">
        <v>46044</v>
      </c>
      <c r="H66" t="s">
        <v>1913</v>
      </c>
    </row>
    <row r="67" spans="1:8">
      <c r="A67" t="s">
        <v>1984</v>
      </c>
      <c r="B67" t="s">
        <v>260</v>
      </c>
      <c r="C67" t="s">
        <v>1917</v>
      </c>
      <c r="D67" s="4">
        <v>45916</v>
      </c>
      <c r="E67" s="5">
        <v>37947.96</v>
      </c>
      <c r="F67" t="s">
        <v>1919</v>
      </c>
      <c r="G67" s="4"/>
      <c r="H67" t="s">
        <v>1913</v>
      </c>
    </row>
    <row r="68" spans="1:8">
      <c r="A68" t="s">
        <v>1985</v>
      </c>
      <c r="B68" t="s">
        <v>106</v>
      </c>
      <c r="C68" t="s">
        <v>1917</v>
      </c>
      <c r="D68" s="4">
        <v>45920</v>
      </c>
      <c r="E68" s="5">
        <v>68239.75</v>
      </c>
      <c r="F68" t="s">
        <v>1912</v>
      </c>
      <c r="G68" s="4">
        <v>45924</v>
      </c>
      <c r="H68" t="s">
        <v>1913</v>
      </c>
    </row>
    <row r="69" spans="1:8">
      <c r="A69" t="s">
        <v>1986</v>
      </c>
      <c r="B69" t="s">
        <v>63</v>
      </c>
      <c r="C69" t="s">
        <v>1924</v>
      </c>
      <c r="D69" s="4">
        <v>46000</v>
      </c>
      <c r="E69" s="5">
        <v>31863.14</v>
      </c>
      <c r="F69" t="s">
        <v>1912</v>
      </c>
      <c r="G69" s="4">
        <v>46002</v>
      </c>
      <c r="H69" t="s">
        <v>1910</v>
      </c>
    </row>
    <row r="70" spans="1:8">
      <c r="A70" t="s">
        <v>1987</v>
      </c>
      <c r="B70" t="s">
        <v>163</v>
      </c>
      <c r="C70" t="s">
        <v>1908</v>
      </c>
      <c r="D70" s="4">
        <v>46035</v>
      </c>
      <c r="E70" s="5">
        <v>42514.239999999998</v>
      </c>
      <c r="F70" t="s">
        <v>1912</v>
      </c>
      <c r="G70" s="4">
        <v>46043</v>
      </c>
      <c r="H70" t="s">
        <v>1915</v>
      </c>
    </row>
    <row r="71" spans="1:8">
      <c r="A71" t="s">
        <v>1988</v>
      </c>
      <c r="B71" t="s">
        <v>190</v>
      </c>
      <c r="C71" t="s">
        <v>1924</v>
      </c>
      <c r="D71" s="4">
        <v>46148</v>
      </c>
      <c r="E71" s="5">
        <v>46896</v>
      </c>
      <c r="F71" t="s">
        <v>1912</v>
      </c>
      <c r="G71" s="4">
        <v>46152</v>
      </c>
      <c r="H71" t="s">
        <v>1910</v>
      </c>
    </row>
    <row r="72" spans="1:8">
      <c r="A72" t="s">
        <v>1989</v>
      </c>
      <c r="B72" t="s">
        <v>34</v>
      </c>
      <c r="C72" t="s">
        <v>318</v>
      </c>
      <c r="D72" s="4">
        <v>45996</v>
      </c>
      <c r="E72" s="5">
        <v>25686.19</v>
      </c>
      <c r="F72" t="s">
        <v>1912</v>
      </c>
      <c r="G72" s="4">
        <v>46005</v>
      </c>
      <c r="H72" t="s">
        <v>1910</v>
      </c>
    </row>
    <row r="73" spans="1:8">
      <c r="A73" t="s">
        <v>1990</v>
      </c>
      <c r="B73" t="s">
        <v>283</v>
      </c>
      <c r="C73" t="s">
        <v>1924</v>
      </c>
      <c r="D73" s="4">
        <v>46111</v>
      </c>
      <c r="E73" s="5">
        <v>93035.67</v>
      </c>
      <c r="F73" t="s">
        <v>1919</v>
      </c>
      <c r="G73" s="4"/>
      <c r="H73" t="s">
        <v>1910</v>
      </c>
    </row>
    <row r="74" spans="1:8">
      <c r="A74" t="s">
        <v>1991</v>
      </c>
      <c r="B74" t="s">
        <v>57</v>
      </c>
      <c r="C74" t="s">
        <v>1908</v>
      </c>
      <c r="D74" s="4">
        <v>45908</v>
      </c>
      <c r="E74" s="5">
        <v>62526.55</v>
      </c>
      <c r="F74" t="s">
        <v>1912</v>
      </c>
      <c r="G74" s="4">
        <v>45916</v>
      </c>
      <c r="H74" t="s">
        <v>1929</v>
      </c>
    </row>
    <row r="75" spans="1:8">
      <c r="A75" t="s">
        <v>1992</v>
      </c>
      <c r="B75" t="s">
        <v>168</v>
      </c>
      <c r="C75" t="s">
        <v>318</v>
      </c>
      <c r="D75" s="4">
        <v>46014</v>
      </c>
      <c r="E75" s="5">
        <v>45301.65</v>
      </c>
      <c r="F75" t="s">
        <v>1919</v>
      </c>
      <c r="G75" s="4"/>
      <c r="H75" t="s">
        <v>1915</v>
      </c>
    </row>
    <row r="76" spans="1:8">
      <c r="A76" t="s">
        <v>1993</v>
      </c>
      <c r="B76" t="s">
        <v>171</v>
      </c>
      <c r="C76" t="s">
        <v>1908</v>
      </c>
      <c r="D76" s="4">
        <v>45902</v>
      </c>
      <c r="E76" s="5">
        <v>75907.179999999993</v>
      </c>
      <c r="F76" t="s">
        <v>1912</v>
      </c>
      <c r="G76" s="4">
        <v>45903</v>
      </c>
      <c r="H76" t="s">
        <v>1929</v>
      </c>
    </row>
    <row r="77" spans="1:8">
      <c r="A77" t="s">
        <v>1994</v>
      </c>
      <c r="B77" t="s">
        <v>45</v>
      </c>
      <c r="C77" t="s">
        <v>1908</v>
      </c>
      <c r="D77" s="4">
        <v>46020</v>
      </c>
      <c r="E77" s="5">
        <v>41063.949999999997</v>
      </c>
      <c r="F77" t="s">
        <v>1933</v>
      </c>
      <c r="G77" s="4"/>
      <c r="H77" t="s">
        <v>1910</v>
      </c>
    </row>
    <row r="78" spans="1:8">
      <c r="A78" t="s">
        <v>1995</v>
      </c>
      <c r="B78" t="s">
        <v>295</v>
      </c>
      <c r="C78" t="s">
        <v>1922</v>
      </c>
      <c r="D78" s="4">
        <v>45932</v>
      </c>
      <c r="E78" s="5">
        <v>56554.11</v>
      </c>
      <c r="F78" t="s">
        <v>1919</v>
      </c>
      <c r="G78" s="4"/>
      <c r="H78" t="s">
        <v>1929</v>
      </c>
    </row>
    <row r="79" spans="1:8">
      <c r="A79" t="s">
        <v>1996</v>
      </c>
      <c r="B79" t="s">
        <v>61</v>
      </c>
      <c r="C79" t="s">
        <v>1924</v>
      </c>
      <c r="D79" s="4">
        <v>46082</v>
      </c>
      <c r="E79" s="5">
        <v>71635.399999999994</v>
      </c>
      <c r="F79" t="s">
        <v>1912</v>
      </c>
      <c r="G79" s="4">
        <v>46089</v>
      </c>
      <c r="H79" t="s">
        <v>1913</v>
      </c>
    </row>
    <row r="80" spans="1:8">
      <c r="A80" t="s">
        <v>1997</v>
      </c>
      <c r="B80" t="s">
        <v>262</v>
      </c>
      <c r="C80" t="s">
        <v>1917</v>
      </c>
      <c r="D80" s="4">
        <v>46040</v>
      </c>
      <c r="E80" s="5">
        <v>72512.09</v>
      </c>
      <c r="F80" t="s">
        <v>1912</v>
      </c>
      <c r="G80" s="4">
        <v>46047</v>
      </c>
      <c r="H80" t="s">
        <v>1915</v>
      </c>
    </row>
    <row r="81" spans="1:8">
      <c r="A81" t="s">
        <v>1998</v>
      </c>
      <c r="B81" t="s">
        <v>129</v>
      </c>
      <c r="C81" t="s">
        <v>318</v>
      </c>
      <c r="D81" s="4">
        <v>45968</v>
      </c>
      <c r="E81" s="5">
        <v>91817.59</v>
      </c>
      <c r="F81" t="s">
        <v>1933</v>
      </c>
      <c r="G81" s="4"/>
      <c r="H81" t="s">
        <v>1915</v>
      </c>
    </row>
    <row r="82" spans="1:8">
      <c r="A82" t="s">
        <v>1999</v>
      </c>
      <c r="B82" t="s">
        <v>247</v>
      </c>
      <c r="C82" t="s">
        <v>1924</v>
      </c>
      <c r="D82" s="4">
        <v>46067</v>
      </c>
      <c r="E82" s="5">
        <v>93114.62</v>
      </c>
      <c r="F82" t="s">
        <v>1933</v>
      </c>
      <c r="G82" s="4"/>
      <c r="H82" t="s">
        <v>1915</v>
      </c>
    </row>
    <row r="83" spans="1:8">
      <c r="A83" t="s">
        <v>2000</v>
      </c>
      <c r="B83" t="s">
        <v>285</v>
      </c>
      <c r="C83" t="s">
        <v>318</v>
      </c>
      <c r="D83" s="4">
        <v>46111</v>
      </c>
      <c r="E83" s="5">
        <v>20799.78</v>
      </c>
      <c r="F83" t="s">
        <v>1919</v>
      </c>
      <c r="G83" s="4"/>
      <c r="H83" t="s">
        <v>1913</v>
      </c>
    </row>
    <row r="84" spans="1:8">
      <c r="A84" t="s">
        <v>2001</v>
      </c>
      <c r="B84" t="s">
        <v>71</v>
      </c>
      <c r="C84" t="s">
        <v>1922</v>
      </c>
      <c r="D84" s="4">
        <v>45920</v>
      </c>
      <c r="E84" s="5">
        <v>16457.009999999998</v>
      </c>
      <c r="F84" t="s">
        <v>1919</v>
      </c>
      <c r="G84" s="4"/>
      <c r="H84" t="s">
        <v>1915</v>
      </c>
    </row>
    <row r="85" spans="1:8">
      <c r="A85" t="s">
        <v>2002</v>
      </c>
      <c r="B85" t="s">
        <v>295</v>
      </c>
      <c r="C85" t="s">
        <v>1924</v>
      </c>
      <c r="D85" s="4">
        <v>45921</v>
      </c>
      <c r="E85" s="5">
        <v>96377.27</v>
      </c>
      <c r="F85" t="s">
        <v>1912</v>
      </c>
      <c r="G85" s="4">
        <v>45924</v>
      </c>
      <c r="H85" t="s">
        <v>1915</v>
      </c>
    </row>
    <row r="86" spans="1:8">
      <c r="A86" t="s">
        <v>2003</v>
      </c>
      <c r="B86" t="s">
        <v>249</v>
      </c>
      <c r="C86" t="s">
        <v>1917</v>
      </c>
      <c r="D86" s="4">
        <v>45924</v>
      </c>
      <c r="E86" s="5">
        <v>24848.38</v>
      </c>
      <c r="F86" t="s">
        <v>1919</v>
      </c>
      <c r="G86" s="4"/>
      <c r="H86" t="s">
        <v>1915</v>
      </c>
    </row>
    <row r="87" spans="1:8">
      <c r="A87" t="s">
        <v>2004</v>
      </c>
      <c r="B87" t="s">
        <v>133</v>
      </c>
      <c r="C87" t="s">
        <v>1908</v>
      </c>
      <c r="D87" s="4">
        <v>45969</v>
      </c>
      <c r="E87" s="5">
        <v>103073.7</v>
      </c>
      <c r="F87" t="s">
        <v>1912</v>
      </c>
      <c r="G87" s="4">
        <v>45973</v>
      </c>
      <c r="H87" t="s">
        <v>1910</v>
      </c>
    </row>
    <row r="88" spans="1:8">
      <c r="A88" t="s">
        <v>2005</v>
      </c>
      <c r="B88" t="s">
        <v>7</v>
      </c>
      <c r="C88" t="s">
        <v>1924</v>
      </c>
      <c r="D88" s="4">
        <v>46093</v>
      </c>
      <c r="E88" s="5">
        <v>19960.25</v>
      </c>
      <c r="F88" t="s">
        <v>1909</v>
      </c>
      <c r="G88" s="4">
        <v>46102</v>
      </c>
      <c r="H88" t="s">
        <v>1913</v>
      </c>
    </row>
    <row r="89" spans="1:8">
      <c r="A89" t="s">
        <v>2006</v>
      </c>
      <c r="B89" t="s">
        <v>14</v>
      </c>
      <c r="C89" t="s">
        <v>1922</v>
      </c>
      <c r="D89" s="4">
        <v>46090</v>
      </c>
      <c r="E89" s="5">
        <v>80543.990000000005</v>
      </c>
      <c r="F89" t="s">
        <v>1912</v>
      </c>
      <c r="G89" s="4">
        <v>46094</v>
      </c>
      <c r="H89" t="s">
        <v>1929</v>
      </c>
    </row>
    <row r="90" spans="1:8">
      <c r="A90" t="s">
        <v>2007</v>
      </c>
      <c r="B90" t="s">
        <v>53</v>
      </c>
      <c r="C90" t="s">
        <v>1917</v>
      </c>
      <c r="D90" s="4">
        <v>46011</v>
      </c>
      <c r="E90" s="5">
        <v>91802.27</v>
      </c>
      <c r="F90" t="s">
        <v>1919</v>
      </c>
      <c r="G90" s="4"/>
      <c r="H90" t="s">
        <v>1910</v>
      </c>
    </row>
    <row r="91" spans="1:8">
      <c r="A91" t="s">
        <v>2008</v>
      </c>
      <c r="B91" t="s">
        <v>211</v>
      </c>
      <c r="C91" t="s">
        <v>1924</v>
      </c>
      <c r="D91" s="4">
        <v>46066</v>
      </c>
      <c r="E91" s="5">
        <v>72035.73</v>
      </c>
      <c r="F91" t="s">
        <v>1912</v>
      </c>
      <c r="G91" s="4">
        <v>46072</v>
      </c>
      <c r="H91" t="s">
        <v>1915</v>
      </c>
    </row>
    <row r="92" spans="1:8">
      <c r="A92" t="s">
        <v>2009</v>
      </c>
      <c r="B92" t="s">
        <v>235</v>
      </c>
      <c r="C92" t="s">
        <v>1917</v>
      </c>
      <c r="D92" s="4">
        <v>45940</v>
      </c>
      <c r="E92" s="5">
        <v>92373.43</v>
      </c>
      <c r="F92" t="s">
        <v>1919</v>
      </c>
      <c r="G92" s="4"/>
      <c r="H92" t="s">
        <v>1915</v>
      </c>
    </row>
    <row r="93" spans="1:8">
      <c r="A93" t="s">
        <v>2010</v>
      </c>
      <c r="B93" t="s">
        <v>245</v>
      </c>
      <c r="C93" t="s">
        <v>1908</v>
      </c>
      <c r="D93" s="4">
        <v>46155</v>
      </c>
      <c r="E93" s="5">
        <v>90450.45</v>
      </c>
      <c r="F93" t="s">
        <v>1933</v>
      </c>
      <c r="G93" s="4"/>
      <c r="H93" t="s">
        <v>1913</v>
      </c>
    </row>
    <row r="94" spans="1:8">
      <c r="A94" t="s">
        <v>2011</v>
      </c>
      <c r="B94" t="s">
        <v>87</v>
      </c>
      <c r="C94" t="s">
        <v>1922</v>
      </c>
      <c r="D94" s="4">
        <v>45945</v>
      </c>
      <c r="E94" s="5">
        <v>6265.5</v>
      </c>
      <c r="F94" t="s">
        <v>1919</v>
      </c>
      <c r="G94" s="4"/>
      <c r="H94" t="s">
        <v>1910</v>
      </c>
    </row>
    <row r="95" spans="1:8">
      <c r="A95" t="s">
        <v>2012</v>
      </c>
      <c r="B95" t="s">
        <v>159</v>
      </c>
      <c r="C95" t="s">
        <v>1924</v>
      </c>
      <c r="D95" s="4">
        <v>45941</v>
      </c>
      <c r="E95" s="5">
        <v>51659.65</v>
      </c>
      <c r="F95" t="s">
        <v>1919</v>
      </c>
      <c r="G95" s="4"/>
      <c r="H95" t="s">
        <v>1929</v>
      </c>
    </row>
    <row r="96" spans="1:8">
      <c r="A96" t="s">
        <v>2013</v>
      </c>
      <c r="B96" t="s">
        <v>57</v>
      </c>
      <c r="C96" t="s">
        <v>1924</v>
      </c>
      <c r="D96" s="4">
        <v>45982</v>
      </c>
      <c r="E96" s="5">
        <v>115063.02</v>
      </c>
      <c r="F96" t="s">
        <v>1912</v>
      </c>
      <c r="G96" s="4">
        <v>45985</v>
      </c>
      <c r="H96" t="s">
        <v>1915</v>
      </c>
    </row>
    <row r="97" spans="1:8">
      <c r="A97" t="s">
        <v>2014</v>
      </c>
      <c r="B97" t="s">
        <v>223</v>
      </c>
      <c r="C97" t="s">
        <v>1922</v>
      </c>
      <c r="D97" s="4">
        <v>45891</v>
      </c>
      <c r="E97" s="5">
        <v>42208.14</v>
      </c>
      <c r="F97" t="s">
        <v>1912</v>
      </c>
      <c r="G97" s="4">
        <v>45898</v>
      </c>
      <c r="H97" t="s">
        <v>1913</v>
      </c>
    </row>
    <row r="98" spans="1:8">
      <c r="A98" t="s">
        <v>2015</v>
      </c>
      <c r="B98" t="s">
        <v>199</v>
      </c>
      <c r="C98" t="s">
        <v>1924</v>
      </c>
      <c r="D98" s="4">
        <v>45914</v>
      </c>
      <c r="E98" s="5">
        <v>69387.179999999993</v>
      </c>
      <c r="F98" t="s">
        <v>1919</v>
      </c>
      <c r="G98" s="4"/>
      <c r="H98" t="s">
        <v>1915</v>
      </c>
    </row>
    <row r="99" spans="1:8">
      <c r="A99" t="s">
        <v>2016</v>
      </c>
      <c r="B99" t="s">
        <v>194</v>
      </c>
      <c r="C99" t="s">
        <v>1917</v>
      </c>
      <c r="D99" s="4">
        <v>46054</v>
      </c>
      <c r="E99" s="5">
        <v>51272.39</v>
      </c>
      <c r="F99" t="s">
        <v>1909</v>
      </c>
      <c r="G99" s="4">
        <v>46061</v>
      </c>
      <c r="H99" t="s">
        <v>1915</v>
      </c>
    </row>
    <row r="100" spans="1:8">
      <c r="A100" t="s">
        <v>2017</v>
      </c>
      <c r="B100" t="s">
        <v>51</v>
      </c>
      <c r="C100" t="s">
        <v>318</v>
      </c>
      <c r="D100" s="4">
        <v>46079</v>
      </c>
      <c r="E100" s="5">
        <v>60745.33</v>
      </c>
      <c r="F100" t="s">
        <v>1912</v>
      </c>
      <c r="G100" s="4">
        <v>46085</v>
      </c>
      <c r="H100" t="s">
        <v>1910</v>
      </c>
    </row>
    <row r="101" spans="1:8">
      <c r="A101" t="s">
        <v>2018</v>
      </c>
      <c r="B101" t="s">
        <v>36</v>
      </c>
      <c r="C101" t="s">
        <v>1922</v>
      </c>
      <c r="D101" s="4">
        <v>45940</v>
      </c>
      <c r="E101" s="5">
        <v>117707.41</v>
      </c>
      <c r="F101" t="s">
        <v>1912</v>
      </c>
      <c r="G101" s="4">
        <v>45947</v>
      </c>
      <c r="H101" t="s">
        <v>1913</v>
      </c>
    </row>
    <row r="102" spans="1:8">
      <c r="A102" t="s">
        <v>2019</v>
      </c>
      <c r="B102" t="s">
        <v>7</v>
      </c>
      <c r="C102" t="s">
        <v>1908</v>
      </c>
      <c r="D102" s="4">
        <v>46021</v>
      </c>
      <c r="E102" s="5">
        <v>113835.94</v>
      </c>
      <c r="F102" t="s">
        <v>1912</v>
      </c>
      <c r="G102" s="4">
        <v>46026</v>
      </c>
      <c r="H102" t="s">
        <v>1929</v>
      </c>
    </row>
    <row r="103" spans="1:8">
      <c r="A103" t="s">
        <v>2020</v>
      </c>
      <c r="B103" t="s">
        <v>286</v>
      </c>
      <c r="C103" t="s">
        <v>1924</v>
      </c>
      <c r="D103" s="4">
        <v>45873</v>
      </c>
      <c r="E103" s="5">
        <v>56306.82</v>
      </c>
      <c r="F103" t="s">
        <v>1909</v>
      </c>
      <c r="G103" s="4">
        <v>45881</v>
      </c>
      <c r="H103" t="s">
        <v>1910</v>
      </c>
    </row>
    <row r="104" spans="1:8">
      <c r="A104" t="s">
        <v>2021</v>
      </c>
      <c r="B104" t="s">
        <v>197</v>
      </c>
      <c r="C104" t="s">
        <v>1917</v>
      </c>
      <c r="D104" s="4">
        <v>46155</v>
      </c>
      <c r="E104" s="5">
        <v>82680.13</v>
      </c>
      <c r="F104" t="s">
        <v>1919</v>
      </c>
      <c r="G104" s="4"/>
      <c r="H104" t="s">
        <v>1910</v>
      </c>
    </row>
    <row r="105" spans="1:8">
      <c r="A105" t="s">
        <v>2022</v>
      </c>
      <c r="B105" t="s">
        <v>269</v>
      </c>
      <c r="C105" t="s">
        <v>1917</v>
      </c>
      <c r="D105" s="4">
        <v>45861</v>
      </c>
      <c r="E105" s="5">
        <v>65587.070000000007</v>
      </c>
      <c r="F105" t="s">
        <v>1919</v>
      </c>
      <c r="G105" s="4"/>
      <c r="H105" t="s">
        <v>1929</v>
      </c>
    </row>
    <row r="106" spans="1:8">
      <c r="A106" t="s">
        <v>2023</v>
      </c>
      <c r="B106" t="s">
        <v>116</v>
      </c>
      <c r="C106" t="s">
        <v>1922</v>
      </c>
      <c r="D106" s="4">
        <v>46077</v>
      </c>
      <c r="E106" s="5">
        <v>39631.269999999997</v>
      </c>
      <c r="F106" t="s">
        <v>1912</v>
      </c>
      <c r="G106" s="4">
        <v>46087</v>
      </c>
      <c r="H106" t="s">
        <v>1910</v>
      </c>
    </row>
    <row r="107" spans="1:8">
      <c r="A107" t="s">
        <v>2024</v>
      </c>
      <c r="B107" t="s">
        <v>298</v>
      </c>
      <c r="C107" t="s">
        <v>1908</v>
      </c>
      <c r="D107" s="4">
        <v>45867</v>
      </c>
      <c r="E107" s="5">
        <v>64220.959999999999</v>
      </c>
      <c r="F107" t="s">
        <v>1919</v>
      </c>
      <c r="G107" s="4"/>
      <c r="H107" t="s">
        <v>1915</v>
      </c>
    </row>
    <row r="108" spans="1:8">
      <c r="A108" t="s">
        <v>2025</v>
      </c>
      <c r="B108" t="s">
        <v>59</v>
      </c>
      <c r="C108" t="s">
        <v>1924</v>
      </c>
      <c r="D108" s="4">
        <v>45897</v>
      </c>
      <c r="E108" s="5">
        <v>16000.5</v>
      </c>
      <c r="F108" t="s">
        <v>1919</v>
      </c>
      <c r="G108" s="4"/>
      <c r="H108" t="s">
        <v>1929</v>
      </c>
    </row>
    <row r="109" spans="1:8">
      <c r="A109" t="s">
        <v>2026</v>
      </c>
      <c r="B109" t="s">
        <v>155</v>
      </c>
      <c r="C109" t="s">
        <v>1908</v>
      </c>
      <c r="D109" s="4">
        <v>45989</v>
      </c>
      <c r="E109" s="5">
        <v>42100.97</v>
      </c>
      <c r="F109" t="s">
        <v>1912</v>
      </c>
      <c r="G109" s="4">
        <v>45999</v>
      </c>
      <c r="H109" t="s">
        <v>1929</v>
      </c>
    </row>
    <row r="110" spans="1:8">
      <c r="A110" t="s">
        <v>2027</v>
      </c>
      <c r="B110" t="s">
        <v>273</v>
      </c>
      <c r="C110" t="s">
        <v>1922</v>
      </c>
      <c r="D110" s="4">
        <v>45888</v>
      </c>
      <c r="E110" s="5">
        <v>39864.03</v>
      </c>
      <c r="F110" t="s">
        <v>1909</v>
      </c>
      <c r="G110" s="4">
        <v>45898</v>
      </c>
      <c r="H110" t="s">
        <v>1929</v>
      </c>
    </row>
    <row r="111" spans="1:8">
      <c r="A111" t="s">
        <v>2028</v>
      </c>
      <c r="B111" t="s">
        <v>193</v>
      </c>
      <c r="C111" t="s">
        <v>1924</v>
      </c>
      <c r="D111" s="4">
        <v>45889</v>
      </c>
      <c r="E111" s="5">
        <v>41194.959999999999</v>
      </c>
      <c r="F111" t="s">
        <v>1912</v>
      </c>
      <c r="G111" s="4">
        <v>45894</v>
      </c>
      <c r="H111" t="s">
        <v>1929</v>
      </c>
    </row>
    <row r="112" spans="1:8">
      <c r="A112" t="s">
        <v>2029</v>
      </c>
      <c r="B112" t="s">
        <v>116</v>
      </c>
      <c r="C112" t="s">
        <v>1922</v>
      </c>
      <c r="D112" s="4">
        <v>45943</v>
      </c>
      <c r="E112" s="5">
        <v>114092.71</v>
      </c>
      <c r="F112" t="s">
        <v>1919</v>
      </c>
      <c r="G112" s="4"/>
      <c r="H112" t="s">
        <v>1929</v>
      </c>
    </row>
    <row r="113" spans="1:8">
      <c r="A113" t="s">
        <v>2030</v>
      </c>
      <c r="B113" t="s">
        <v>36</v>
      </c>
      <c r="C113" t="s">
        <v>318</v>
      </c>
      <c r="D113" s="4">
        <v>45947</v>
      </c>
      <c r="E113" s="5">
        <v>68936.52</v>
      </c>
      <c r="F113" t="s">
        <v>1933</v>
      </c>
      <c r="G113" s="4"/>
      <c r="H113" t="s">
        <v>1913</v>
      </c>
    </row>
    <row r="114" spans="1:8">
      <c r="A114" t="s">
        <v>2031</v>
      </c>
      <c r="B114" t="s">
        <v>27</v>
      </c>
      <c r="C114" t="s">
        <v>1917</v>
      </c>
      <c r="D114" s="4">
        <v>45874</v>
      </c>
      <c r="E114" s="5">
        <v>45534.13</v>
      </c>
      <c r="F114" t="s">
        <v>1912</v>
      </c>
      <c r="G114" s="4">
        <v>45881</v>
      </c>
      <c r="H114" t="s">
        <v>1913</v>
      </c>
    </row>
    <row r="115" spans="1:8">
      <c r="A115" t="s">
        <v>2032</v>
      </c>
      <c r="B115" t="s">
        <v>106</v>
      </c>
      <c r="C115" t="s">
        <v>1917</v>
      </c>
      <c r="D115" s="4">
        <v>46105</v>
      </c>
      <c r="E115" s="5">
        <v>80901.320000000007</v>
      </c>
      <c r="F115" t="s">
        <v>1912</v>
      </c>
      <c r="G115" s="4">
        <v>46108</v>
      </c>
      <c r="H115" t="s">
        <v>1910</v>
      </c>
    </row>
    <row r="116" spans="1:8">
      <c r="A116" t="s">
        <v>2033</v>
      </c>
      <c r="B116" t="s">
        <v>7</v>
      </c>
      <c r="C116" t="s">
        <v>1917</v>
      </c>
      <c r="D116" s="4">
        <v>46057</v>
      </c>
      <c r="E116" s="5">
        <v>25649.22</v>
      </c>
      <c r="F116" t="s">
        <v>1912</v>
      </c>
      <c r="G116" s="4">
        <v>46060</v>
      </c>
      <c r="H116" t="s">
        <v>1910</v>
      </c>
    </row>
    <row r="117" spans="1:8">
      <c r="A117" t="s">
        <v>2034</v>
      </c>
      <c r="B117" t="s">
        <v>223</v>
      </c>
      <c r="C117" t="s">
        <v>1908</v>
      </c>
      <c r="D117" s="4">
        <v>46155</v>
      </c>
      <c r="E117" s="5">
        <v>95040.73</v>
      </c>
      <c r="F117" t="s">
        <v>1912</v>
      </c>
      <c r="G117" s="4">
        <v>46157</v>
      </c>
      <c r="H117" t="s">
        <v>1913</v>
      </c>
    </row>
    <row r="118" spans="1:8">
      <c r="A118" t="s">
        <v>2035</v>
      </c>
      <c r="B118" t="s">
        <v>116</v>
      </c>
      <c r="C118" t="s">
        <v>1924</v>
      </c>
      <c r="D118" s="4">
        <v>46015</v>
      </c>
      <c r="E118" s="5">
        <v>27305.87</v>
      </c>
      <c r="F118" t="s">
        <v>1912</v>
      </c>
      <c r="G118" s="4">
        <v>46025</v>
      </c>
      <c r="H118" t="s">
        <v>1929</v>
      </c>
    </row>
    <row r="119" spans="1:8">
      <c r="A119" t="s">
        <v>2036</v>
      </c>
      <c r="B119" t="s">
        <v>29</v>
      </c>
      <c r="C119" t="s">
        <v>318</v>
      </c>
      <c r="D119" s="4">
        <v>46153</v>
      </c>
      <c r="E119" s="5">
        <v>40121.49</v>
      </c>
      <c r="F119" t="s">
        <v>1919</v>
      </c>
      <c r="G119" s="4"/>
      <c r="H119" t="s">
        <v>1915</v>
      </c>
    </row>
    <row r="120" spans="1:8">
      <c r="A120" t="s">
        <v>2037</v>
      </c>
      <c r="B120" t="s">
        <v>217</v>
      </c>
      <c r="C120" t="s">
        <v>1924</v>
      </c>
      <c r="D120" s="4">
        <v>46023</v>
      </c>
      <c r="E120" s="5">
        <v>39037.49</v>
      </c>
      <c r="F120" t="s">
        <v>1912</v>
      </c>
      <c r="G120" s="4">
        <v>46026</v>
      </c>
      <c r="H120" t="s">
        <v>1929</v>
      </c>
    </row>
    <row r="121" spans="1:8">
      <c r="A121" t="s">
        <v>2038</v>
      </c>
      <c r="B121" t="s">
        <v>192</v>
      </c>
      <c r="C121" t="s">
        <v>1924</v>
      </c>
      <c r="D121" s="4">
        <v>46121</v>
      </c>
      <c r="E121" s="5">
        <v>84029.32</v>
      </c>
      <c r="F121" t="s">
        <v>1912</v>
      </c>
      <c r="G121" s="4">
        <v>46126</v>
      </c>
      <c r="H121" t="s">
        <v>1915</v>
      </c>
    </row>
    <row r="122" spans="1:8">
      <c r="A122" t="s">
        <v>2039</v>
      </c>
      <c r="B122" t="s">
        <v>249</v>
      </c>
      <c r="C122" t="s">
        <v>1917</v>
      </c>
      <c r="D122" s="4">
        <v>46141</v>
      </c>
      <c r="E122" s="5">
        <v>116159.11</v>
      </c>
      <c r="F122" t="s">
        <v>1912</v>
      </c>
      <c r="G122" s="4">
        <v>46150</v>
      </c>
      <c r="H122" t="s">
        <v>1915</v>
      </c>
    </row>
    <row r="123" spans="1:8">
      <c r="A123" t="s">
        <v>2040</v>
      </c>
      <c r="B123" t="s">
        <v>192</v>
      </c>
      <c r="C123" t="s">
        <v>1917</v>
      </c>
      <c r="D123" s="4">
        <v>46120</v>
      </c>
      <c r="E123" s="5">
        <v>44933.78</v>
      </c>
      <c r="F123" t="s">
        <v>1919</v>
      </c>
      <c r="G123" s="4"/>
      <c r="H123" t="s">
        <v>1929</v>
      </c>
    </row>
    <row r="124" spans="1:8">
      <c r="A124" t="s">
        <v>2041</v>
      </c>
      <c r="B124" t="s">
        <v>185</v>
      </c>
      <c r="C124" t="s">
        <v>318</v>
      </c>
      <c r="D124" s="4">
        <v>46088</v>
      </c>
      <c r="E124" s="5">
        <v>4518.18</v>
      </c>
      <c r="F124" t="s">
        <v>1912</v>
      </c>
      <c r="G124" s="4">
        <v>46091</v>
      </c>
      <c r="H124" t="s">
        <v>1910</v>
      </c>
    </row>
    <row r="125" spans="1:8">
      <c r="A125" t="s">
        <v>2042</v>
      </c>
      <c r="B125" t="s">
        <v>71</v>
      </c>
      <c r="C125" t="s">
        <v>318</v>
      </c>
      <c r="D125" s="4">
        <v>46069</v>
      </c>
      <c r="E125" s="5">
        <v>50431.77</v>
      </c>
      <c r="F125" t="s">
        <v>1912</v>
      </c>
      <c r="G125" s="4">
        <v>46074</v>
      </c>
      <c r="H125" t="s">
        <v>1929</v>
      </c>
    </row>
    <row r="126" spans="1:8">
      <c r="A126" t="s">
        <v>2043</v>
      </c>
      <c r="B126" t="s">
        <v>123</v>
      </c>
      <c r="C126" t="s">
        <v>318</v>
      </c>
      <c r="D126" s="4">
        <v>46041</v>
      </c>
      <c r="E126" s="5">
        <v>110619.98</v>
      </c>
      <c r="F126" t="s">
        <v>1919</v>
      </c>
      <c r="G126" s="4"/>
      <c r="H126" t="s">
        <v>1915</v>
      </c>
    </row>
    <row r="127" spans="1:8">
      <c r="A127" t="s">
        <v>2044</v>
      </c>
      <c r="B127" t="s">
        <v>118</v>
      </c>
      <c r="C127" t="s">
        <v>318</v>
      </c>
      <c r="D127" s="4">
        <v>46051</v>
      </c>
      <c r="E127" s="5">
        <v>26978.34</v>
      </c>
      <c r="F127" t="s">
        <v>1933</v>
      </c>
      <c r="G127" s="4"/>
      <c r="H127" t="s">
        <v>1910</v>
      </c>
    </row>
    <row r="128" spans="1:8">
      <c r="A128" t="s">
        <v>2045</v>
      </c>
      <c r="B128" t="s">
        <v>63</v>
      </c>
      <c r="C128" t="s">
        <v>1924</v>
      </c>
      <c r="D128" s="4">
        <v>45930</v>
      </c>
      <c r="E128" s="5">
        <v>92258.08</v>
      </c>
      <c r="F128" t="s">
        <v>1933</v>
      </c>
      <c r="G128" s="4"/>
      <c r="H128" t="s">
        <v>1929</v>
      </c>
    </row>
    <row r="129" spans="1:8">
      <c r="A129" t="s">
        <v>2046</v>
      </c>
      <c r="B129" t="s">
        <v>151</v>
      </c>
      <c r="C129" t="s">
        <v>1917</v>
      </c>
      <c r="D129" s="4">
        <v>45960</v>
      </c>
      <c r="E129" s="5">
        <v>50763.42</v>
      </c>
      <c r="F129" t="s">
        <v>1912</v>
      </c>
      <c r="G129" s="4">
        <v>45966</v>
      </c>
      <c r="H129" t="s">
        <v>1915</v>
      </c>
    </row>
    <row r="130" spans="1:8">
      <c r="A130" t="s">
        <v>2047</v>
      </c>
      <c r="B130" t="s">
        <v>147</v>
      </c>
      <c r="C130" t="s">
        <v>1924</v>
      </c>
      <c r="D130" s="4">
        <v>46011</v>
      </c>
      <c r="E130" s="5">
        <v>60774.26</v>
      </c>
      <c r="F130" t="s">
        <v>1912</v>
      </c>
      <c r="G130" s="4">
        <v>46015</v>
      </c>
      <c r="H130" t="s">
        <v>1929</v>
      </c>
    </row>
    <row r="131" spans="1:8">
      <c r="A131" t="s">
        <v>2048</v>
      </c>
      <c r="B131" t="s">
        <v>124</v>
      </c>
      <c r="C131" t="s">
        <v>1908</v>
      </c>
      <c r="D131" s="4">
        <v>46086</v>
      </c>
      <c r="E131" s="5">
        <v>35067.730000000003</v>
      </c>
      <c r="F131" t="s">
        <v>1933</v>
      </c>
      <c r="G131" s="4"/>
      <c r="H131" t="s">
        <v>1913</v>
      </c>
    </row>
    <row r="132" spans="1:8">
      <c r="A132" t="s">
        <v>2049</v>
      </c>
      <c r="B132" t="s">
        <v>110</v>
      </c>
      <c r="C132" t="s">
        <v>1908</v>
      </c>
      <c r="D132" s="4">
        <v>45996</v>
      </c>
      <c r="E132" s="5">
        <v>1397.15</v>
      </c>
      <c r="F132" t="s">
        <v>1912</v>
      </c>
      <c r="G132" s="4">
        <v>46004</v>
      </c>
      <c r="H132" t="s">
        <v>1915</v>
      </c>
    </row>
    <row r="133" spans="1:8">
      <c r="A133" t="s">
        <v>2050</v>
      </c>
      <c r="B133" t="s">
        <v>159</v>
      </c>
      <c r="C133" t="s">
        <v>1924</v>
      </c>
      <c r="D133" s="4">
        <v>46146</v>
      </c>
      <c r="E133" s="5">
        <v>78719.399999999994</v>
      </c>
      <c r="F133" t="s">
        <v>1933</v>
      </c>
      <c r="G133" s="4"/>
      <c r="H133" t="s">
        <v>1913</v>
      </c>
    </row>
    <row r="134" spans="1:8">
      <c r="A134" t="s">
        <v>2051</v>
      </c>
      <c r="B134" t="s">
        <v>29</v>
      </c>
      <c r="C134" t="s">
        <v>318</v>
      </c>
      <c r="D134" s="4">
        <v>45863</v>
      </c>
      <c r="E134" s="5">
        <v>74646.240000000005</v>
      </c>
      <c r="F134" t="s">
        <v>1919</v>
      </c>
      <c r="G134" s="4"/>
      <c r="H134" t="s">
        <v>1915</v>
      </c>
    </row>
    <row r="135" spans="1:8">
      <c r="A135" t="s">
        <v>2052</v>
      </c>
      <c r="B135" t="s">
        <v>108</v>
      </c>
      <c r="C135" t="s">
        <v>1917</v>
      </c>
      <c r="D135" s="4">
        <v>46141</v>
      </c>
      <c r="E135" s="5">
        <v>88125.61</v>
      </c>
      <c r="F135" t="s">
        <v>1933</v>
      </c>
      <c r="G135" s="4"/>
      <c r="H135" t="s">
        <v>1913</v>
      </c>
    </row>
    <row r="136" spans="1:8">
      <c r="A136" t="s">
        <v>2053</v>
      </c>
      <c r="B136" t="s">
        <v>219</v>
      </c>
      <c r="C136" t="s">
        <v>1922</v>
      </c>
      <c r="D136" s="4">
        <v>46140</v>
      </c>
      <c r="E136" s="5">
        <v>75433.919999999998</v>
      </c>
      <c r="F136" t="s">
        <v>1912</v>
      </c>
      <c r="G136" s="4">
        <v>46146</v>
      </c>
      <c r="H136" t="s">
        <v>1929</v>
      </c>
    </row>
    <row r="137" spans="1:8">
      <c r="A137" t="s">
        <v>2054</v>
      </c>
      <c r="B137" t="s">
        <v>180</v>
      </c>
      <c r="C137" t="s">
        <v>1924</v>
      </c>
      <c r="D137" s="4">
        <v>46110</v>
      </c>
      <c r="E137" s="5">
        <v>103749.15</v>
      </c>
      <c r="F137" t="s">
        <v>1912</v>
      </c>
      <c r="G137" s="4">
        <v>46113</v>
      </c>
      <c r="H137" t="s">
        <v>1910</v>
      </c>
    </row>
    <row r="138" spans="1:8">
      <c r="A138" t="s">
        <v>2055</v>
      </c>
      <c r="B138" t="s">
        <v>170</v>
      </c>
      <c r="C138" t="s">
        <v>1908</v>
      </c>
      <c r="D138" s="4">
        <v>45971</v>
      </c>
      <c r="E138" s="5">
        <v>21850.11</v>
      </c>
      <c r="F138" t="s">
        <v>1933</v>
      </c>
      <c r="G138" s="4"/>
      <c r="H138" t="s">
        <v>1910</v>
      </c>
    </row>
    <row r="139" spans="1:8">
      <c r="A139" t="s">
        <v>2056</v>
      </c>
      <c r="B139" t="s">
        <v>53</v>
      </c>
      <c r="C139" t="s">
        <v>1924</v>
      </c>
      <c r="D139" s="4">
        <v>45999</v>
      </c>
      <c r="E139" s="5">
        <v>8712.73</v>
      </c>
      <c r="F139" t="s">
        <v>1909</v>
      </c>
      <c r="G139" s="4">
        <v>46009</v>
      </c>
      <c r="H139" t="s">
        <v>1929</v>
      </c>
    </row>
    <row r="140" spans="1:8">
      <c r="A140" t="s">
        <v>2057</v>
      </c>
      <c r="B140" t="s">
        <v>186</v>
      </c>
      <c r="C140" t="s">
        <v>1908</v>
      </c>
      <c r="D140" s="4">
        <v>46157</v>
      </c>
      <c r="E140" s="5">
        <v>53794.73</v>
      </c>
      <c r="F140" t="s">
        <v>1919</v>
      </c>
      <c r="G140" s="4"/>
      <c r="H140" t="s">
        <v>1929</v>
      </c>
    </row>
    <row r="141" spans="1:8">
      <c r="A141" t="s">
        <v>2058</v>
      </c>
      <c r="B141" t="s">
        <v>25</v>
      </c>
      <c r="C141" t="s">
        <v>1908</v>
      </c>
      <c r="D141" s="4">
        <v>45905</v>
      </c>
      <c r="E141" s="5">
        <v>96638.75</v>
      </c>
      <c r="F141" t="s">
        <v>1912</v>
      </c>
      <c r="G141" s="4">
        <v>45908</v>
      </c>
      <c r="H141" t="s">
        <v>1929</v>
      </c>
    </row>
    <row r="142" spans="1:8">
      <c r="A142" t="s">
        <v>2059</v>
      </c>
      <c r="B142" t="s">
        <v>170</v>
      </c>
      <c r="C142" t="s">
        <v>318</v>
      </c>
      <c r="D142" s="4">
        <v>45884</v>
      </c>
      <c r="E142" s="5">
        <v>1819.11</v>
      </c>
      <c r="F142" t="s">
        <v>1909</v>
      </c>
      <c r="G142" s="4">
        <v>45891</v>
      </c>
      <c r="H142" t="s">
        <v>1929</v>
      </c>
    </row>
    <row r="143" spans="1:8">
      <c r="A143" t="s">
        <v>2060</v>
      </c>
      <c r="B143" t="s">
        <v>82</v>
      </c>
      <c r="C143" t="s">
        <v>318</v>
      </c>
      <c r="D143" s="4">
        <v>46046</v>
      </c>
      <c r="E143" s="5">
        <v>9373.51</v>
      </c>
      <c r="F143" t="s">
        <v>1912</v>
      </c>
      <c r="G143" s="4">
        <v>46051</v>
      </c>
      <c r="H143" t="s">
        <v>1915</v>
      </c>
    </row>
    <row r="144" spans="1:8">
      <c r="A144" t="s">
        <v>2061</v>
      </c>
      <c r="B144" t="s">
        <v>294</v>
      </c>
      <c r="C144" t="s">
        <v>1924</v>
      </c>
      <c r="D144" s="4">
        <v>46159</v>
      </c>
      <c r="E144" s="5">
        <v>78003.63</v>
      </c>
      <c r="F144" t="s">
        <v>1912</v>
      </c>
      <c r="G144" s="4">
        <v>46160</v>
      </c>
      <c r="H144" t="s">
        <v>1929</v>
      </c>
    </row>
    <row r="145" spans="1:8">
      <c r="A145" t="s">
        <v>2062</v>
      </c>
      <c r="B145" t="s">
        <v>73</v>
      </c>
      <c r="C145" t="s">
        <v>1922</v>
      </c>
      <c r="D145" s="4">
        <v>45879</v>
      </c>
      <c r="E145" s="5">
        <v>35862.61</v>
      </c>
      <c r="F145" t="s">
        <v>1919</v>
      </c>
      <c r="G145" s="4"/>
      <c r="H145" t="s">
        <v>1910</v>
      </c>
    </row>
    <row r="146" spans="1:8">
      <c r="A146" t="s">
        <v>2063</v>
      </c>
      <c r="B146" t="s">
        <v>110</v>
      </c>
      <c r="C146" t="s">
        <v>1922</v>
      </c>
      <c r="D146" s="4">
        <v>46110</v>
      </c>
      <c r="E146" s="5">
        <v>75882.92</v>
      </c>
      <c r="F146" t="s">
        <v>1912</v>
      </c>
      <c r="G146" s="4">
        <v>46112</v>
      </c>
      <c r="H146" t="s">
        <v>1913</v>
      </c>
    </row>
    <row r="147" spans="1:8">
      <c r="A147" t="s">
        <v>2064</v>
      </c>
      <c r="B147" t="s">
        <v>69</v>
      </c>
      <c r="C147" t="s">
        <v>1908</v>
      </c>
      <c r="D147" s="4">
        <v>45983</v>
      </c>
      <c r="E147" s="5">
        <v>91194.91</v>
      </c>
      <c r="F147" t="s">
        <v>1912</v>
      </c>
      <c r="G147" s="4">
        <v>45985</v>
      </c>
      <c r="H147" t="s">
        <v>1910</v>
      </c>
    </row>
    <row r="148" spans="1:8">
      <c r="A148" t="s">
        <v>2065</v>
      </c>
      <c r="B148" t="s">
        <v>281</v>
      </c>
      <c r="C148" t="s">
        <v>1924</v>
      </c>
      <c r="D148" s="4">
        <v>46022</v>
      </c>
      <c r="E148" s="5">
        <v>17892.060000000001</v>
      </c>
      <c r="F148" t="s">
        <v>1919</v>
      </c>
      <c r="G148" s="4"/>
      <c r="H148" t="s">
        <v>1913</v>
      </c>
    </row>
    <row r="149" spans="1:8">
      <c r="A149" t="s">
        <v>2066</v>
      </c>
      <c r="B149" t="s">
        <v>23</v>
      </c>
      <c r="C149" t="s">
        <v>1924</v>
      </c>
      <c r="D149" s="4">
        <v>45898</v>
      </c>
      <c r="E149" s="5">
        <v>40273.06</v>
      </c>
      <c r="F149" t="s">
        <v>1912</v>
      </c>
      <c r="G149" s="4">
        <v>45906</v>
      </c>
      <c r="H149" t="s">
        <v>1913</v>
      </c>
    </row>
    <row r="150" spans="1:8">
      <c r="A150" t="s">
        <v>2067</v>
      </c>
      <c r="B150" t="s">
        <v>124</v>
      </c>
      <c r="C150" t="s">
        <v>1924</v>
      </c>
      <c r="D150" s="4">
        <v>45982</v>
      </c>
      <c r="E150" s="5">
        <v>41750.71</v>
      </c>
      <c r="F150" t="s">
        <v>1912</v>
      </c>
      <c r="G150" s="4">
        <v>45988</v>
      </c>
      <c r="H150" t="s">
        <v>1910</v>
      </c>
    </row>
    <row r="151" spans="1:8">
      <c r="A151" t="s">
        <v>2068</v>
      </c>
      <c r="B151" t="s">
        <v>71</v>
      </c>
      <c r="C151" t="s">
        <v>318</v>
      </c>
      <c r="D151" s="4">
        <v>45989</v>
      </c>
      <c r="E151" s="5">
        <v>71736.95</v>
      </c>
      <c r="F151" t="s">
        <v>1912</v>
      </c>
      <c r="G151" s="4">
        <v>45992</v>
      </c>
      <c r="H151" t="s">
        <v>1910</v>
      </c>
    </row>
    <row r="152" spans="1:8">
      <c r="A152" t="s">
        <v>2069</v>
      </c>
      <c r="B152" t="s">
        <v>94</v>
      </c>
      <c r="C152" t="s">
        <v>1917</v>
      </c>
      <c r="D152" s="4">
        <v>45962</v>
      </c>
      <c r="E152" s="5">
        <v>105740.3</v>
      </c>
      <c r="F152" t="s">
        <v>1912</v>
      </c>
      <c r="G152" s="4">
        <v>45967</v>
      </c>
      <c r="H152" t="s">
        <v>1913</v>
      </c>
    </row>
    <row r="153" spans="1:8">
      <c r="A153" t="s">
        <v>2070</v>
      </c>
      <c r="B153" t="s">
        <v>71</v>
      </c>
      <c r="C153" t="s">
        <v>1908</v>
      </c>
      <c r="D153" s="4">
        <v>46005</v>
      </c>
      <c r="E153" s="5">
        <v>57558.9</v>
      </c>
      <c r="F153" t="s">
        <v>1912</v>
      </c>
      <c r="G153" s="4">
        <v>46010</v>
      </c>
      <c r="H153" t="s">
        <v>1913</v>
      </c>
    </row>
    <row r="154" spans="1:8">
      <c r="A154" t="s">
        <v>2071</v>
      </c>
      <c r="B154" t="s">
        <v>74</v>
      </c>
      <c r="C154" t="s">
        <v>1908</v>
      </c>
      <c r="D154" s="4">
        <v>45998</v>
      </c>
      <c r="E154" s="5">
        <v>103238.57</v>
      </c>
      <c r="F154" t="s">
        <v>1919</v>
      </c>
      <c r="G154" s="4"/>
      <c r="H154" t="s">
        <v>1915</v>
      </c>
    </row>
    <row r="155" spans="1:8">
      <c r="A155" t="s">
        <v>2072</v>
      </c>
      <c r="B155" t="s">
        <v>69</v>
      </c>
      <c r="C155" t="s">
        <v>1922</v>
      </c>
      <c r="D155" s="4">
        <v>45957</v>
      </c>
      <c r="E155" s="5">
        <v>70404.41</v>
      </c>
      <c r="F155" t="s">
        <v>1919</v>
      </c>
      <c r="G155" s="4"/>
      <c r="H155" t="s">
        <v>1910</v>
      </c>
    </row>
    <row r="156" spans="1:8">
      <c r="A156" t="s">
        <v>2073</v>
      </c>
      <c r="B156" t="s">
        <v>351</v>
      </c>
      <c r="C156" t="s">
        <v>1924</v>
      </c>
      <c r="D156" s="4">
        <v>46109</v>
      </c>
      <c r="E156" s="5">
        <v>89709.41</v>
      </c>
      <c r="F156" t="s">
        <v>1933</v>
      </c>
      <c r="G156" s="4"/>
      <c r="H156" t="s">
        <v>1929</v>
      </c>
    </row>
    <row r="157" spans="1:8">
      <c r="A157" t="s">
        <v>2074</v>
      </c>
      <c r="B157" t="s">
        <v>89</v>
      </c>
      <c r="C157" t="s">
        <v>318</v>
      </c>
      <c r="D157" s="4">
        <v>45936</v>
      </c>
      <c r="E157" s="5">
        <v>116715.99</v>
      </c>
      <c r="F157" t="s">
        <v>1912</v>
      </c>
      <c r="G157" s="4">
        <v>45946</v>
      </c>
      <c r="H157" t="s">
        <v>1910</v>
      </c>
    </row>
    <row r="158" spans="1:8">
      <c r="A158" t="s">
        <v>2075</v>
      </c>
      <c r="B158" t="s">
        <v>248</v>
      </c>
      <c r="C158" t="s">
        <v>1908</v>
      </c>
      <c r="D158" s="4">
        <v>46040</v>
      </c>
      <c r="E158" s="5">
        <v>45979.47</v>
      </c>
      <c r="F158" t="s">
        <v>1933</v>
      </c>
      <c r="G158" s="4"/>
      <c r="H158" t="s">
        <v>1929</v>
      </c>
    </row>
    <row r="159" spans="1:8">
      <c r="A159" t="s">
        <v>2076</v>
      </c>
      <c r="B159" t="s">
        <v>63</v>
      </c>
      <c r="C159" t="s">
        <v>1917</v>
      </c>
      <c r="D159" s="4">
        <v>46096</v>
      </c>
      <c r="E159" s="5">
        <v>107758.9</v>
      </c>
      <c r="F159" t="s">
        <v>1909</v>
      </c>
      <c r="G159" s="4">
        <v>46098</v>
      </c>
      <c r="H159" t="s">
        <v>1913</v>
      </c>
    </row>
    <row r="160" spans="1:8">
      <c r="A160" t="s">
        <v>2077</v>
      </c>
      <c r="B160" t="s">
        <v>295</v>
      </c>
      <c r="C160" t="s">
        <v>1922</v>
      </c>
      <c r="D160" s="4">
        <v>45954</v>
      </c>
      <c r="E160" s="5">
        <v>27692.89</v>
      </c>
      <c r="F160" t="s">
        <v>1919</v>
      </c>
      <c r="G160" s="4"/>
      <c r="H160" t="s">
        <v>1913</v>
      </c>
    </row>
    <row r="161" spans="1:8">
      <c r="A161" t="s">
        <v>2078</v>
      </c>
      <c r="B161" t="s">
        <v>151</v>
      </c>
      <c r="C161" t="s">
        <v>1922</v>
      </c>
      <c r="D161" s="4">
        <v>46104</v>
      </c>
      <c r="E161" s="5">
        <v>55659.28</v>
      </c>
      <c r="F161" t="s">
        <v>1933</v>
      </c>
      <c r="G161" s="4"/>
      <c r="H161" t="s">
        <v>1913</v>
      </c>
    </row>
    <row r="162" spans="1:8">
      <c r="A162" t="s">
        <v>2079</v>
      </c>
      <c r="B162" t="s">
        <v>228</v>
      </c>
      <c r="C162" t="s">
        <v>1917</v>
      </c>
      <c r="D162" s="4">
        <v>45952</v>
      </c>
      <c r="E162" s="5">
        <v>44263.68</v>
      </c>
      <c r="F162" t="s">
        <v>1909</v>
      </c>
      <c r="G162" s="4">
        <v>45954</v>
      </c>
      <c r="H162" t="s">
        <v>1915</v>
      </c>
    </row>
    <row r="163" spans="1:8">
      <c r="A163" t="s">
        <v>2080</v>
      </c>
      <c r="B163" t="s">
        <v>131</v>
      </c>
      <c r="C163" t="s">
        <v>1922</v>
      </c>
      <c r="D163" s="4">
        <v>46132</v>
      </c>
      <c r="E163" s="5">
        <v>115437.09</v>
      </c>
      <c r="F163" t="s">
        <v>1912</v>
      </c>
      <c r="G163" s="4">
        <v>46141</v>
      </c>
      <c r="H163" t="s">
        <v>1915</v>
      </c>
    </row>
    <row r="164" spans="1:8">
      <c r="A164" t="s">
        <v>2081</v>
      </c>
      <c r="B164" t="s">
        <v>103</v>
      </c>
      <c r="C164" t="s">
        <v>1908</v>
      </c>
      <c r="D164" s="4">
        <v>46139</v>
      </c>
      <c r="E164" s="5">
        <v>63230.91</v>
      </c>
      <c r="F164" t="s">
        <v>1919</v>
      </c>
      <c r="G164" s="4"/>
      <c r="H164" t="s">
        <v>1913</v>
      </c>
    </row>
    <row r="165" spans="1:8">
      <c r="A165" t="s">
        <v>2082</v>
      </c>
      <c r="B165" t="s">
        <v>80</v>
      </c>
      <c r="C165" t="s">
        <v>1917</v>
      </c>
      <c r="D165" s="4">
        <v>46082</v>
      </c>
      <c r="E165" s="5">
        <v>22114.25</v>
      </c>
      <c r="F165" t="s">
        <v>1933</v>
      </c>
      <c r="G165" s="4"/>
      <c r="H165" t="s">
        <v>1910</v>
      </c>
    </row>
    <row r="166" spans="1:8">
      <c r="A166" t="s">
        <v>2083</v>
      </c>
      <c r="B166" t="s">
        <v>283</v>
      </c>
      <c r="C166" t="s">
        <v>1908</v>
      </c>
      <c r="D166" s="4">
        <v>45946</v>
      </c>
      <c r="E166" s="5">
        <v>88267.13</v>
      </c>
      <c r="F166" t="s">
        <v>1933</v>
      </c>
      <c r="G166" s="4"/>
      <c r="H166" t="s">
        <v>1910</v>
      </c>
    </row>
    <row r="167" spans="1:8">
      <c r="A167" t="s">
        <v>2084</v>
      </c>
      <c r="B167" t="s">
        <v>43</v>
      </c>
      <c r="C167" t="s">
        <v>1924</v>
      </c>
      <c r="D167" s="4">
        <v>45955</v>
      </c>
      <c r="E167" s="5">
        <v>28082.76</v>
      </c>
      <c r="F167" t="s">
        <v>1912</v>
      </c>
      <c r="G167" s="4">
        <v>45965</v>
      </c>
      <c r="H167" t="s">
        <v>1929</v>
      </c>
    </row>
    <row r="168" spans="1:8">
      <c r="A168" t="s">
        <v>2085</v>
      </c>
      <c r="B168" t="s">
        <v>118</v>
      </c>
      <c r="C168" t="s">
        <v>1908</v>
      </c>
      <c r="D168" s="4">
        <v>46123</v>
      </c>
      <c r="E168" s="5">
        <v>105915.24</v>
      </c>
      <c r="F168" t="s">
        <v>1909</v>
      </c>
      <c r="G168" s="4">
        <v>46125</v>
      </c>
      <c r="H168" t="s">
        <v>1929</v>
      </c>
    </row>
    <row r="169" spans="1:8">
      <c r="A169" t="s">
        <v>2086</v>
      </c>
      <c r="B169" t="s">
        <v>36</v>
      </c>
      <c r="C169" t="s">
        <v>318</v>
      </c>
      <c r="D169" s="4">
        <v>46075</v>
      </c>
      <c r="E169" s="5">
        <v>10922.96</v>
      </c>
      <c r="F169" t="s">
        <v>1919</v>
      </c>
      <c r="G169" s="4"/>
      <c r="H169" t="s">
        <v>1913</v>
      </c>
    </row>
    <row r="170" spans="1:8">
      <c r="A170" t="s">
        <v>2087</v>
      </c>
      <c r="B170" t="s">
        <v>108</v>
      </c>
      <c r="C170" t="s">
        <v>1922</v>
      </c>
      <c r="D170" s="4">
        <v>46098</v>
      </c>
      <c r="E170" s="5">
        <v>36695.35</v>
      </c>
      <c r="F170" t="s">
        <v>1909</v>
      </c>
      <c r="G170" s="4">
        <v>46105</v>
      </c>
      <c r="H170" t="s">
        <v>1929</v>
      </c>
    </row>
    <row r="171" spans="1:8">
      <c r="A171" t="s">
        <v>2088</v>
      </c>
      <c r="B171" t="s">
        <v>40</v>
      </c>
      <c r="C171" t="s">
        <v>1922</v>
      </c>
      <c r="D171" s="4">
        <v>45948</v>
      </c>
      <c r="E171" s="5">
        <v>71083.570000000007</v>
      </c>
      <c r="F171" t="s">
        <v>1912</v>
      </c>
      <c r="G171" s="4">
        <v>45956</v>
      </c>
      <c r="H171" t="s">
        <v>1910</v>
      </c>
    </row>
    <row r="172" spans="1:8">
      <c r="A172" t="s">
        <v>2089</v>
      </c>
      <c r="B172" t="s">
        <v>124</v>
      </c>
      <c r="C172" t="s">
        <v>1917</v>
      </c>
      <c r="D172" s="4">
        <v>46057</v>
      </c>
      <c r="E172" s="5">
        <v>72561.14</v>
      </c>
      <c r="F172" t="s">
        <v>1912</v>
      </c>
      <c r="G172" s="4">
        <v>46060</v>
      </c>
      <c r="H172" t="s">
        <v>1929</v>
      </c>
    </row>
    <row r="173" spans="1:8">
      <c r="A173" t="s">
        <v>2090</v>
      </c>
      <c r="B173" t="s">
        <v>193</v>
      </c>
      <c r="C173" t="s">
        <v>318</v>
      </c>
      <c r="D173" s="4">
        <v>45994</v>
      </c>
      <c r="E173" s="5">
        <v>114220.85</v>
      </c>
      <c r="F173" t="s">
        <v>1919</v>
      </c>
      <c r="G173" s="4"/>
      <c r="H173" t="s">
        <v>1913</v>
      </c>
    </row>
    <row r="174" spans="1:8">
      <c r="A174" t="s">
        <v>2091</v>
      </c>
      <c r="B174" t="s">
        <v>217</v>
      </c>
      <c r="C174" t="s">
        <v>1922</v>
      </c>
      <c r="D174" s="4">
        <v>45989</v>
      </c>
      <c r="E174" s="5">
        <v>81663.259999999995</v>
      </c>
      <c r="F174" t="s">
        <v>1912</v>
      </c>
      <c r="G174" s="4">
        <v>45997</v>
      </c>
      <c r="H174" t="s">
        <v>1913</v>
      </c>
    </row>
    <row r="175" spans="1:8">
      <c r="A175" t="s">
        <v>2092</v>
      </c>
      <c r="B175" t="s">
        <v>194</v>
      </c>
      <c r="C175" t="s">
        <v>1924</v>
      </c>
      <c r="D175" s="4">
        <v>45852</v>
      </c>
      <c r="E175" s="5">
        <v>38985.699999999997</v>
      </c>
      <c r="F175" t="s">
        <v>1933</v>
      </c>
      <c r="G175" s="4"/>
      <c r="H175" t="s">
        <v>1929</v>
      </c>
    </row>
    <row r="176" spans="1:8">
      <c r="A176" t="s">
        <v>2093</v>
      </c>
      <c r="B176" t="s">
        <v>285</v>
      </c>
      <c r="C176" t="s">
        <v>1922</v>
      </c>
      <c r="D176" s="4">
        <v>45940</v>
      </c>
      <c r="E176" s="5">
        <v>8801.58</v>
      </c>
      <c r="F176" t="s">
        <v>1912</v>
      </c>
      <c r="G176" s="4">
        <v>45945</v>
      </c>
      <c r="H176" t="s">
        <v>1929</v>
      </c>
    </row>
    <row r="177" spans="1:8">
      <c r="A177" t="s">
        <v>2094</v>
      </c>
      <c r="B177" t="s">
        <v>217</v>
      </c>
      <c r="C177" t="s">
        <v>1922</v>
      </c>
      <c r="D177" s="4">
        <v>46124</v>
      </c>
      <c r="E177" s="5">
        <v>98884.36</v>
      </c>
      <c r="F177" t="s">
        <v>1919</v>
      </c>
      <c r="G177" s="4"/>
      <c r="H177" t="s">
        <v>1913</v>
      </c>
    </row>
    <row r="178" spans="1:8">
      <c r="A178" t="s">
        <v>2095</v>
      </c>
      <c r="B178" t="s">
        <v>301</v>
      </c>
      <c r="C178" t="s">
        <v>318</v>
      </c>
      <c r="D178" s="4">
        <v>46006</v>
      </c>
      <c r="E178" s="5">
        <v>60711.78</v>
      </c>
      <c r="F178" t="s">
        <v>1919</v>
      </c>
      <c r="G178" s="4"/>
      <c r="H178" t="s">
        <v>1929</v>
      </c>
    </row>
    <row r="179" spans="1:8">
      <c r="A179" t="s">
        <v>2096</v>
      </c>
      <c r="B179" t="s">
        <v>99</v>
      </c>
      <c r="C179" t="s">
        <v>1908</v>
      </c>
      <c r="D179" s="4">
        <v>46002</v>
      </c>
      <c r="E179" s="5">
        <v>111378.63</v>
      </c>
      <c r="F179" t="s">
        <v>1919</v>
      </c>
      <c r="G179" s="4"/>
      <c r="H179" t="s">
        <v>1910</v>
      </c>
    </row>
    <row r="180" spans="1:8">
      <c r="A180" t="s">
        <v>2097</v>
      </c>
      <c r="B180" t="s">
        <v>285</v>
      </c>
      <c r="C180" t="s">
        <v>318</v>
      </c>
      <c r="D180" s="4">
        <v>45947</v>
      </c>
      <c r="E180" s="5">
        <v>92201.29</v>
      </c>
      <c r="F180" t="s">
        <v>1912</v>
      </c>
      <c r="G180" s="4">
        <v>45950</v>
      </c>
      <c r="H180" t="s">
        <v>1913</v>
      </c>
    </row>
    <row r="181" spans="1:8">
      <c r="A181" t="s">
        <v>2098</v>
      </c>
      <c r="B181" t="s">
        <v>171</v>
      </c>
      <c r="C181" t="s">
        <v>1917</v>
      </c>
      <c r="D181" s="4">
        <v>46113</v>
      </c>
      <c r="E181" s="5">
        <v>117757.37</v>
      </c>
      <c r="F181" t="s">
        <v>1912</v>
      </c>
      <c r="G181" s="4">
        <v>46120</v>
      </c>
      <c r="H181" t="s">
        <v>1913</v>
      </c>
    </row>
    <row r="182" spans="1:8">
      <c r="A182" t="s">
        <v>2099</v>
      </c>
      <c r="B182" t="s">
        <v>56</v>
      </c>
      <c r="C182" t="s">
        <v>1917</v>
      </c>
      <c r="D182" s="4">
        <v>45983</v>
      </c>
      <c r="E182" s="5">
        <v>57165.82</v>
      </c>
      <c r="F182" t="s">
        <v>1912</v>
      </c>
      <c r="G182" s="4">
        <v>45988</v>
      </c>
      <c r="H182" t="s">
        <v>1913</v>
      </c>
    </row>
    <row r="183" spans="1:8">
      <c r="A183" t="s">
        <v>2100</v>
      </c>
      <c r="B183" t="s">
        <v>295</v>
      </c>
      <c r="C183" t="s">
        <v>1924</v>
      </c>
      <c r="D183" s="4">
        <v>46019</v>
      </c>
      <c r="E183" s="5">
        <v>87478.45</v>
      </c>
      <c r="F183" t="s">
        <v>1912</v>
      </c>
      <c r="G183" s="4">
        <v>46025</v>
      </c>
      <c r="H183" t="s">
        <v>1910</v>
      </c>
    </row>
    <row r="184" spans="1:8">
      <c r="A184" t="s">
        <v>2101</v>
      </c>
      <c r="B184" t="s">
        <v>208</v>
      </c>
      <c r="C184" t="s">
        <v>1922</v>
      </c>
      <c r="D184" s="4">
        <v>46137</v>
      </c>
      <c r="E184" s="5">
        <v>47831.519999999997</v>
      </c>
      <c r="F184" t="s">
        <v>1912</v>
      </c>
      <c r="G184" s="4">
        <v>46144</v>
      </c>
      <c r="H184" t="s">
        <v>1929</v>
      </c>
    </row>
    <row r="185" spans="1:8">
      <c r="A185" t="s">
        <v>2102</v>
      </c>
      <c r="B185" t="s">
        <v>151</v>
      </c>
      <c r="C185" t="s">
        <v>1908</v>
      </c>
      <c r="D185" s="4">
        <v>45920</v>
      </c>
      <c r="E185" s="5">
        <v>117023.31</v>
      </c>
      <c r="F185" t="s">
        <v>1912</v>
      </c>
      <c r="G185" s="4">
        <v>45921</v>
      </c>
      <c r="H185" t="s">
        <v>1913</v>
      </c>
    </row>
    <row r="186" spans="1:8">
      <c r="A186" t="s">
        <v>2103</v>
      </c>
      <c r="B186" t="s">
        <v>249</v>
      </c>
      <c r="C186" t="s">
        <v>1917</v>
      </c>
      <c r="D186" s="4">
        <v>45980</v>
      </c>
      <c r="E186" s="5">
        <v>36080.83</v>
      </c>
      <c r="F186" t="s">
        <v>1919</v>
      </c>
      <c r="G186" s="4"/>
      <c r="H186" t="s">
        <v>1929</v>
      </c>
    </row>
    <row r="187" spans="1:8">
      <c r="A187" t="s">
        <v>2104</v>
      </c>
      <c r="B187" t="s">
        <v>120</v>
      </c>
      <c r="C187" t="s">
        <v>1908</v>
      </c>
      <c r="D187" s="4">
        <v>46044</v>
      </c>
      <c r="E187" s="5">
        <v>39756.53</v>
      </c>
      <c r="F187" t="s">
        <v>1912</v>
      </c>
      <c r="G187" s="4">
        <v>46048</v>
      </c>
      <c r="H187" t="s">
        <v>1929</v>
      </c>
    </row>
    <row r="188" spans="1:8">
      <c r="A188" t="s">
        <v>2105</v>
      </c>
      <c r="B188" t="s">
        <v>204</v>
      </c>
      <c r="C188" t="s">
        <v>1917</v>
      </c>
      <c r="D188" s="4">
        <v>45989</v>
      </c>
      <c r="E188" s="5">
        <v>13713.31</v>
      </c>
      <c r="F188" t="s">
        <v>1919</v>
      </c>
      <c r="G188" s="4"/>
      <c r="H188" t="s">
        <v>1929</v>
      </c>
    </row>
    <row r="189" spans="1:8">
      <c r="A189" t="s">
        <v>2106</v>
      </c>
      <c r="B189" t="s">
        <v>170</v>
      </c>
      <c r="C189" t="s">
        <v>1922</v>
      </c>
      <c r="D189" s="4">
        <v>46152</v>
      </c>
      <c r="E189" s="5">
        <v>56914.74</v>
      </c>
      <c r="F189" t="s">
        <v>1933</v>
      </c>
      <c r="G189" s="4"/>
      <c r="H189" t="s">
        <v>1929</v>
      </c>
    </row>
    <row r="190" spans="1:8">
      <c r="A190" t="s">
        <v>2107</v>
      </c>
      <c r="B190" t="s">
        <v>27</v>
      </c>
      <c r="C190" t="s">
        <v>318</v>
      </c>
      <c r="D190" s="4">
        <v>46098</v>
      </c>
      <c r="E190" s="5">
        <v>30731.69</v>
      </c>
      <c r="F190" t="s">
        <v>1933</v>
      </c>
      <c r="G190" s="4"/>
      <c r="H190" t="s">
        <v>1929</v>
      </c>
    </row>
    <row r="191" spans="1:8">
      <c r="A191" t="s">
        <v>2108</v>
      </c>
      <c r="B191" t="s">
        <v>43</v>
      </c>
      <c r="C191" t="s">
        <v>318</v>
      </c>
      <c r="D191" s="4">
        <v>45900</v>
      </c>
      <c r="E191" s="5">
        <v>7677.63</v>
      </c>
      <c r="F191" t="s">
        <v>1919</v>
      </c>
      <c r="G191" s="4"/>
      <c r="H191" t="s">
        <v>1910</v>
      </c>
    </row>
    <row r="192" spans="1:8">
      <c r="A192" t="s">
        <v>2109</v>
      </c>
      <c r="B192" t="s">
        <v>142</v>
      </c>
      <c r="C192" t="s">
        <v>1922</v>
      </c>
      <c r="D192" s="4">
        <v>45994</v>
      </c>
      <c r="E192" s="5">
        <v>14212.66</v>
      </c>
      <c r="F192" t="s">
        <v>1919</v>
      </c>
      <c r="G192" s="4"/>
      <c r="H192" t="s">
        <v>1910</v>
      </c>
    </row>
    <row r="193" spans="1:8">
      <c r="A193" t="s">
        <v>2110</v>
      </c>
      <c r="B193" t="s">
        <v>40</v>
      </c>
      <c r="C193" t="s">
        <v>1917</v>
      </c>
      <c r="D193" s="4">
        <v>46060</v>
      </c>
      <c r="E193" s="5">
        <v>99092.97</v>
      </c>
      <c r="F193" t="s">
        <v>1912</v>
      </c>
      <c r="G193" s="4">
        <v>46070</v>
      </c>
      <c r="H193" t="s">
        <v>1913</v>
      </c>
    </row>
    <row r="194" spans="1:8">
      <c r="A194" t="s">
        <v>2111</v>
      </c>
      <c r="B194" t="s">
        <v>162</v>
      </c>
      <c r="C194" t="s">
        <v>318</v>
      </c>
      <c r="D194" s="4">
        <v>45894</v>
      </c>
      <c r="E194" s="5">
        <v>53153.08</v>
      </c>
      <c r="F194" t="s">
        <v>1919</v>
      </c>
      <c r="G194" s="4"/>
      <c r="H194" t="s">
        <v>1910</v>
      </c>
    </row>
    <row r="195" spans="1:8">
      <c r="A195" t="s">
        <v>2112</v>
      </c>
      <c r="B195" t="s">
        <v>162</v>
      </c>
      <c r="C195" t="s">
        <v>1922</v>
      </c>
      <c r="D195" s="4">
        <v>46120</v>
      </c>
      <c r="E195" s="5">
        <v>98259.89</v>
      </c>
      <c r="F195" t="s">
        <v>1912</v>
      </c>
      <c r="G195" s="4">
        <v>46123</v>
      </c>
      <c r="H195" t="s">
        <v>1910</v>
      </c>
    </row>
    <row r="196" spans="1:8">
      <c r="A196" t="s">
        <v>2113</v>
      </c>
      <c r="B196" t="s">
        <v>204</v>
      </c>
      <c r="C196" t="s">
        <v>1908</v>
      </c>
      <c r="D196" s="4">
        <v>46033</v>
      </c>
      <c r="E196" s="5">
        <v>108707.32</v>
      </c>
      <c r="F196" t="s">
        <v>1912</v>
      </c>
      <c r="G196" s="4">
        <v>46037</v>
      </c>
      <c r="H196" t="s">
        <v>1910</v>
      </c>
    </row>
    <row r="197" spans="1:8">
      <c r="A197" t="s">
        <v>2114</v>
      </c>
      <c r="B197" t="s">
        <v>223</v>
      </c>
      <c r="C197" t="s">
        <v>1917</v>
      </c>
      <c r="D197" s="4">
        <v>45965</v>
      </c>
      <c r="E197" s="5">
        <v>55835.64</v>
      </c>
      <c r="F197" t="s">
        <v>1919</v>
      </c>
      <c r="G197" s="4"/>
      <c r="H197" t="s">
        <v>1910</v>
      </c>
    </row>
    <row r="198" spans="1:8">
      <c r="A198" t="s">
        <v>2115</v>
      </c>
      <c r="B198" t="s">
        <v>51</v>
      </c>
      <c r="C198" t="s">
        <v>1924</v>
      </c>
      <c r="D198" s="4">
        <v>45860</v>
      </c>
      <c r="E198" s="5">
        <v>17692.12</v>
      </c>
      <c r="F198" t="s">
        <v>1912</v>
      </c>
      <c r="G198" s="4">
        <v>45867</v>
      </c>
      <c r="H198" t="s">
        <v>1929</v>
      </c>
    </row>
    <row r="199" spans="1:8">
      <c r="A199" t="s">
        <v>2116</v>
      </c>
      <c r="B199" t="s">
        <v>183</v>
      </c>
      <c r="C199" t="s">
        <v>1917</v>
      </c>
      <c r="D199" s="4">
        <v>45873</v>
      </c>
      <c r="E199" s="5">
        <v>99969.26</v>
      </c>
      <c r="F199" t="s">
        <v>1909</v>
      </c>
      <c r="G199" s="4">
        <v>45882</v>
      </c>
      <c r="H199" t="s">
        <v>1915</v>
      </c>
    </row>
    <row r="200" spans="1:8">
      <c r="A200" t="s">
        <v>2117</v>
      </c>
      <c r="B200" t="s">
        <v>71</v>
      </c>
      <c r="C200" t="s">
        <v>1917</v>
      </c>
      <c r="D200" s="4">
        <v>46072</v>
      </c>
      <c r="E200" s="5">
        <v>119482.88</v>
      </c>
      <c r="F200" t="s">
        <v>1933</v>
      </c>
      <c r="G200" s="4"/>
      <c r="H200" t="s">
        <v>1929</v>
      </c>
    </row>
    <row r="201" spans="1:8">
      <c r="A201" t="s">
        <v>2118</v>
      </c>
      <c r="B201" t="s">
        <v>225</v>
      </c>
      <c r="C201" t="s">
        <v>318</v>
      </c>
      <c r="D201" s="4">
        <v>46143</v>
      </c>
      <c r="E201" s="5">
        <v>40716.559999999998</v>
      </c>
      <c r="F201" t="s">
        <v>1909</v>
      </c>
      <c r="G201" s="4">
        <v>46145</v>
      </c>
      <c r="H201" t="s">
        <v>1915</v>
      </c>
    </row>
    <row r="202" spans="1:8">
      <c r="A202" t="s">
        <v>2119</v>
      </c>
      <c r="B202" t="s">
        <v>162</v>
      </c>
      <c r="C202" t="s">
        <v>318</v>
      </c>
      <c r="D202" s="4">
        <v>45906</v>
      </c>
      <c r="E202" s="5">
        <v>64279.73</v>
      </c>
      <c r="F202" t="s">
        <v>1912</v>
      </c>
      <c r="G202" s="4">
        <v>45908</v>
      </c>
      <c r="H202" t="s">
        <v>1929</v>
      </c>
    </row>
    <row r="203" spans="1:8">
      <c r="A203" t="s">
        <v>2120</v>
      </c>
      <c r="B203" t="s">
        <v>245</v>
      </c>
      <c r="C203" t="s">
        <v>1917</v>
      </c>
      <c r="D203" s="4">
        <v>45946</v>
      </c>
      <c r="E203" s="5">
        <v>90476.97</v>
      </c>
      <c r="F203" t="s">
        <v>1912</v>
      </c>
      <c r="G203" s="4">
        <v>45953</v>
      </c>
      <c r="H203" t="s">
        <v>1929</v>
      </c>
    </row>
    <row r="204" spans="1:8">
      <c r="A204" t="s">
        <v>2121</v>
      </c>
      <c r="B204" t="s">
        <v>103</v>
      </c>
      <c r="C204" t="s">
        <v>1917</v>
      </c>
      <c r="D204" s="4">
        <v>45926</v>
      </c>
      <c r="E204" s="5">
        <v>78402.8</v>
      </c>
      <c r="F204" t="s">
        <v>1909</v>
      </c>
      <c r="G204" s="4">
        <v>45936</v>
      </c>
      <c r="H204" t="s">
        <v>1929</v>
      </c>
    </row>
    <row r="205" spans="1:8">
      <c r="A205" t="s">
        <v>2122</v>
      </c>
      <c r="B205" t="s">
        <v>84</v>
      </c>
      <c r="C205" t="s">
        <v>1922</v>
      </c>
      <c r="D205" s="4">
        <v>46070</v>
      </c>
      <c r="E205" s="5">
        <v>106838.24</v>
      </c>
      <c r="F205" t="s">
        <v>1912</v>
      </c>
      <c r="G205" s="4">
        <v>46075</v>
      </c>
      <c r="H205" t="s">
        <v>1929</v>
      </c>
    </row>
    <row r="206" spans="1:8">
      <c r="A206" t="s">
        <v>2123</v>
      </c>
      <c r="B206" t="s">
        <v>116</v>
      </c>
      <c r="C206" t="s">
        <v>1908</v>
      </c>
      <c r="D206" s="4">
        <v>45853</v>
      </c>
      <c r="E206" s="5">
        <v>27802.36</v>
      </c>
      <c r="F206" t="s">
        <v>1912</v>
      </c>
      <c r="G206" s="4">
        <v>45858</v>
      </c>
      <c r="H206" t="s">
        <v>1910</v>
      </c>
    </row>
    <row r="207" spans="1:8">
      <c r="A207" t="s">
        <v>2124</v>
      </c>
      <c r="B207" t="s">
        <v>59</v>
      </c>
      <c r="C207" t="s">
        <v>318</v>
      </c>
      <c r="D207" s="4">
        <v>46083</v>
      </c>
      <c r="E207" s="5">
        <v>78779.91</v>
      </c>
      <c r="F207" t="s">
        <v>1919</v>
      </c>
      <c r="G207" s="4"/>
      <c r="H207" t="s">
        <v>1910</v>
      </c>
    </row>
    <row r="208" spans="1:8">
      <c r="A208" t="s">
        <v>2125</v>
      </c>
      <c r="B208" t="s">
        <v>155</v>
      </c>
      <c r="C208" t="s">
        <v>1917</v>
      </c>
      <c r="D208" s="4">
        <v>46144</v>
      </c>
      <c r="E208" s="5">
        <v>19159.97</v>
      </c>
      <c r="F208" t="s">
        <v>1912</v>
      </c>
      <c r="G208" s="4">
        <v>46148</v>
      </c>
      <c r="H208" t="s">
        <v>1913</v>
      </c>
    </row>
    <row r="209" spans="1:8">
      <c r="A209" t="s">
        <v>2126</v>
      </c>
      <c r="B209" t="s">
        <v>118</v>
      </c>
      <c r="C209" t="s">
        <v>1922</v>
      </c>
      <c r="D209" s="4">
        <v>45862</v>
      </c>
      <c r="E209" s="5">
        <v>64477.22</v>
      </c>
      <c r="F209" t="s">
        <v>1933</v>
      </c>
      <c r="G209" s="4"/>
      <c r="H209" t="s">
        <v>1913</v>
      </c>
    </row>
    <row r="210" spans="1:8">
      <c r="A210" t="s">
        <v>2127</v>
      </c>
      <c r="B210" t="s">
        <v>76</v>
      </c>
      <c r="C210" t="s">
        <v>1917</v>
      </c>
      <c r="D210" s="4">
        <v>46027</v>
      </c>
      <c r="E210" s="5">
        <v>114604.61</v>
      </c>
      <c r="F210" t="s">
        <v>1919</v>
      </c>
      <c r="G210" s="4"/>
      <c r="H210" t="s">
        <v>1913</v>
      </c>
    </row>
    <row r="211" spans="1:8">
      <c r="A211" t="s">
        <v>2128</v>
      </c>
      <c r="B211" t="s">
        <v>249</v>
      </c>
      <c r="C211" t="s">
        <v>1917</v>
      </c>
      <c r="D211" s="4">
        <v>45955</v>
      </c>
      <c r="E211" s="5">
        <v>25002.47</v>
      </c>
      <c r="F211" t="s">
        <v>1919</v>
      </c>
      <c r="G211" s="4"/>
      <c r="H211" t="s">
        <v>1913</v>
      </c>
    </row>
    <row r="212" spans="1:8">
      <c r="A212" t="s">
        <v>2129</v>
      </c>
      <c r="B212" t="s">
        <v>56</v>
      </c>
      <c r="C212" t="s">
        <v>1922</v>
      </c>
      <c r="D212" s="4">
        <v>45960</v>
      </c>
      <c r="E212" s="5">
        <v>92909.1</v>
      </c>
      <c r="F212" t="s">
        <v>1909</v>
      </c>
      <c r="G212" s="4">
        <v>45968</v>
      </c>
      <c r="H212" t="s">
        <v>1929</v>
      </c>
    </row>
    <row r="213" spans="1:8">
      <c r="A213" t="s">
        <v>2130</v>
      </c>
      <c r="B213" t="s">
        <v>94</v>
      </c>
      <c r="C213" t="s">
        <v>1924</v>
      </c>
      <c r="D213" s="4">
        <v>46076</v>
      </c>
      <c r="E213" s="5">
        <v>104236.4</v>
      </c>
      <c r="F213" t="s">
        <v>1912</v>
      </c>
      <c r="G213" s="4">
        <v>46080</v>
      </c>
      <c r="H213" t="s">
        <v>1915</v>
      </c>
    </row>
    <row r="214" spans="1:8">
      <c r="A214" t="s">
        <v>2131</v>
      </c>
      <c r="B214" t="s">
        <v>103</v>
      </c>
      <c r="C214" t="s">
        <v>1924</v>
      </c>
      <c r="D214" s="4">
        <v>46073</v>
      </c>
      <c r="E214" s="5">
        <v>48502.21</v>
      </c>
      <c r="F214" t="s">
        <v>1919</v>
      </c>
      <c r="G214" s="4"/>
      <c r="H214" t="s">
        <v>1915</v>
      </c>
    </row>
    <row r="215" spans="1:8">
      <c r="A215" t="s">
        <v>2132</v>
      </c>
      <c r="B215" t="s">
        <v>283</v>
      </c>
      <c r="C215" t="s">
        <v>1922</v>
      </c>
      <c r="D215" s="4">
        <v>45938</v>
      </c>
      <c r="E215" s="5">
        <v>61297.7</v>
      </c>
      <c r="F215" t="s">
        <v>1912</v>
      </c>
      <c r="G215" s="4">
        <v>45947</v>
      </c>
      <c r="H215" t="s">
        <v>1913</v>
      </c>
    </row>
    <row r="216" spans="1:8">
      <c r="A216" t="s">
        <v>2133</v>
      </c>
      <c r="B216" t="s">
        <v>124</v>
      </c>
      <c r="C216" t="s">
        <v>1917</v>
      </c>
      <c r="D216" s="4">
        <v>45956</v>
      </c>
      <c r="E216" s="5">
        <v>15322.64</v>
      </c>
      <c r="F216" t="s">
        <v>1912</v>
      </c>
      <c r="G216" s="4">
        <v>45966</v>
      </c>
      <c r="H216" t="s">
        <v>1910</v>
      </c>
    </row>
    <row r="217" spans="1:8">
      <c r="A217" t="s">
        <v>2134</v>
      </c>
      <c r="B217" t="s">
        <v>247</v>
      </c>
      <c r="C217" t="s">
        <v>1917</v>
      </c>
      <c r="D217" s="4">
        <v>45946</v>
      </c>
      <c r="E217" s="5">
        <v>26028.97</v>
      </c>
      <c r="F217" t="s">
        <v>1909</v>
      </c>
      <c r="G217" s="4">
        <v>45955</v>
      </c>
      <c r="H217" t="s">
        <v>1929</v>
      </c>
    </row>
    <row r="218" spans="1:8">
      <c r="A218" t="s">
        <v>2135</v>
      </c>
      <c r="B218" t="s">
        <v>262</v>
      </c>
      <c r="C218" t="s">
        <v>1924</v>
      </c>
      <c r="D218" s="4">
        <v>46109</v>
      </c>
      <c r="E218" s="5">
        <v>14327.09</v>
      </c>
      <c r="F218" t="s">
        <v>1912</v>
      </c>
      <c r="G218" s="4">
        <v>46110</v>
      </c>
      <c r="H218" t="s">
        <v>1929</v>
      </c>
    </row>
    <row r="219" spans="1:8">
      <c r="A219" t="s">
        <v>2136</v>
      </c>
      <c r="B219" t="s">
        <v>110</v>
      </c>
      <c r="C219" t="s">
        <v>1922</v>
      </c>
      <c r="D219" s="4">
        <v>45900</v>
      </c>
      <c r="E219" s="5">
        <v>43207.05</v>
      </c>
      <c r="F219" t="s">
        <v>1933</v>
      </c>
      <c r="G219" s="4"/>
      <c r="H219" t="s">
        <v>1929</v>
      </c>
    </row>
    <row r="220" spans="1:8">
      <c r="A220" t="s">
        <v>2137</v>
      </c>
      <c r="B220" t="s">
        <v>69</v>
      </c>
      <c r="C220" t="s">
        <v>1924</v>
      </c>
      <c r="D220" s="4">
        <v>46002</v>
      </c>
      <c r="E220" s="5">
        <v>28293.7</v>
      </c>
      <c r="F220" t="s">
        <v>1912</v>
      </c>
      <c r="G220" s="4">
        <v>46009</v>
      </c>
      <c r="H220" t="s">
        <v>1915</v>
      </c>
    </row>
    <row r="221" spans="1:8">
      <c r="A221" t="s">
        <v>2138</v>
      </c>
      <c r="B221" t="s">
        <v>106</v>
      </c>
      <c r="C221" t="s">
        <v>318</v>
      </c>
      <c r="D221" s="4">
        <v>46014</v>
      </c>
      <c r="E221" s="5">
        <v>6398.97</v>
      </c>
      <c r="F221" t="s">
        <v>1912</v>
      </c>
      <c r="G221" s="4">
        <v>46017</v>
      </c>
      <c r="H221" t="s">
        <v>1915</v>
      </c>
    </row>
    <row r="222" spans="1:8">
      <c r="A222" t="s">
        <v>2139</v>
      </c>
      <c r="B222" t="s">
        <v>53</v>
      </c>
      <c r="C222" t="s">
        <v>1922</v>
      </c>
      <c r="D222" s="4">
        <v>46114</v>
      </c>
      <c r="E222" s="5">
        <v>19535.240000000002</v>
      </c>
      <c r="F222" t="s">
        <v>1912</v>
      </c>
      <c r="G222" s="4">
        <v>46115</v>
      </c>
      <c r="H222" t="s">
        <v>1913</v>
      </c>
    </row>
    <row r="223" spans="1:8">
      <c r="A223" t="s">
        <v>2140</v>
      </c>
      <c r="B223" t="s">
        <v>82</v>
      </c>
      <c r="C223" t="s">
        <v>1924</v>
      </c>
      <c r="D223" s="4">
        <v>45999</v>
      </c>
      <c r="E223" s="5">
        <v>45232.78</v>
      </c>
      <c r="F223" t="s">
        <v>1912</v>
      </c>
      <c r="G223" s="4">
        <v>46002</v>
      </c>
      <c r="H223" t="s">
        <v>1913</v>
      </c>
    </row>
    <row r="224" spans="1:8">
      <c r="A224" t="s">
        <v>2141</v>
      </c>
      <c r="B224" t="s">
        <v>63</v>
      </c>
      <c r="C224" t="s">
        <v>1917</v>
      </c>
      <c r="D224" s="4">
        <v>46114</v>
      </c>
      <c r="E224" s="5">
        <v>115870.72</v>
      </c>
      <c r="F224" t="s">
        <v>1912</v>
      </c>
      <c r="G224" s="4">
        <v>46117</v>
      </c>
      <c r="H224" t="s">
        <v>1915</v>
      </c>
    </row>
    <row r="225" spans="1:8">
      <c r="A225" t="s">
        <v>2142</v>
      </c>
      <c r="B225" t="s">
        <v>127</v>
      </c>
      <c r="C225" t="s">
        <v>1924</v>
      </c>
      <c r="D225" s="4">
        <v>45932</v>
      </c>
      <c r="E225" s="5">
        <v>4567.6400000000003</v>
      </c>
      <c r="F225" t="s">
        <v>1919</v>
      </c>
      <c r="G225" s="4"/>
      <c r="H225" t="s">
        <v>1910</v>
      </c>
    </row>
    <row r="226" spans="1:8">
      <c r="A226" t="s">
        <v>2143</v>
      </c>
      <c r="B226" t="s">
        <v>14</v>
      </c>
      <c r="C226" t="s">
        <v>1917</v>
      </c>
      <c r="D226" s="4">
        <v>45984</v>
      </c>
      <c r="E226" s="5">
        <v>75007.710000000006</v>
      </c>
      <c r="F226" t="s">
        <v>1909</v>
      </c>
      <c r="G226" s="4">
        <v>45985</v>
      </c>
      <c r="H226" t="s">
        <v>1915</v>
      </c>
    </row>
    <row r="227" spans="1:8">
      <c r="A227" t="s">
        <v>2144</v>
      </c>
      <c r="B227" t="s">
        <v>112</v>
      </c>
      <c r="C227" t="s">
        <v>1922</v>
      </c>
      <c r="D227" s="4">
        <v>46089</v>
      </c>
      <c r="E227" s="5">
        <v>5072.51</v>
      </c>
      <c r="F227" t="s">
        <v>1912</v>
      </c>
      <c r="G227" s="4">
        <v>46096</v>
      </c>
      <c r="H227" t="s">
        <v>1929</v>
      </c>
    </row>
    <row r="228" spans="1:8">
      <c r="A228" t="s">
        <v>2145</v>
      </c>
      <c r="B228" t="s">
        <v>96</v>
      </c>
      <c r="C228" t="s">
        <v>1922</v>
      </c>
      <c r="D228" s="4">
        <v>46155</v>
      </c>
      <c r="E228" s="5">
        <v>86980.2</v>
      </c>
      <c r="F228" t="s">
        <v>1919</v>
      </c>
      <c r="G228" s="4"/>
      <c r="H228" t="s">
        <v>1915</v>
      </c>
    </row>
    <row r="229" spans="1:8">
      <c r="A229" t="s">
        <v>2146</v>
      </c>
      <c r="B229" t="s">
        <v>253</v>
      </c>
      <c r="C229" t="s">
        <v>1922</v>
      </c>
      <c r="D229" s="4">
        <v>45963</v>
      </c>
      <c r="E229" s="5">
        <v>11962.74</v>
      </c>
      <c r="F229" t="s">
        <v>1933</v>
      </c>
      <c r="G229" s="4"/>
      <c r="H229" t="s">
        <v>1929</v>
      </c>
    </row>
    <row r="230" spans="1:8">
      <c r="A230" t="s">
        <v>2147</v>
      </c>
      <c r="B230" t="s">
        <v>223</v>
      </c>
      <c r="C230" t="s">
        <v>318</v>
      </c>
      <c r="D230" s="4">
        <v>46061</v>
      </c>
      <c r="E230" s="5">
        <v>102880.71</v>
      </c>
      <c r="F230" t="s">
        <v>1912</v>
      </c>
      <c r="G230" s="4">
        <v>46064</v>
      </c>
      <c r="H230" t="s">
        <v>1915</v>
      </c>
    </row>
    <row r="231" spans="1:8">
      <c r="A231" t="s">
        <v>2148</v>
      </c>
      <c r="B231" t="s">
        <v>295</v>
      </c>
      <c r="C231" t="s">
        <v>1908</v>
      </c>
      <c r="D231" s="4">
        <v>46092</v>
      </c>
      <c r="E231" s="5">
        <v>56868.95</v>
      </c>
      <c r="F231" t="s">
        <v>1933</v>
      </c>
      <c r="G231" s="4"/>
      <c r="H231" t="s">
        <v>1910</v>
      </c>
    </row>
    <row r="232" spans="1:8">
      <c r="A232" t="s">
        <v>2149</v>
      </c>
      <c r="B232" t="s">
        <v>249</v>
      </c>
      <c r="C232" t="s">
        <v>1924</v>
      </c>
      <c r="D232" s="4">
        <v>46125</v>
      </c>
      <c r="E232" s="5">
        <v>44504.34</v>
      </c>
      <c r="F232" t="s">
        <v>1912</v>
      </c>
      <c r="G232" s="4">
        <v>46127</v>
      </c>
      <c r="H232" t="s">
        <v>1929</v>
      </c>
    </row>
    <row r="233" spans="1:8">
      <c r="A233" t="s">
        <v>2150</v>
      </c>
      <c r="B233" t="s">
        <v>260</v>
      </c>
      <c r="C233" t="s">
        <v>1908</v>
      </c>
      <c r="D233" s="4">
        <v>46141</v>
      </c>
      <c r="E233" s="5">
        <v>24358.16</v>
      </c>
      <c r="F233" t="s">
        <v>1919</v>
      </c>
      <c r="G233" s="4"/>
      <c r="H233" t="s">
        <v>1913</v>
      </c>
    </row>
    <row r="234" spans="1:8">
      <c r="A234" t="s">
        <v>2151</v>
      </c>
      <c r="B234" t="s">
        <v>235</v>
      </c>
      <c r="C234" t="s">
        <v>318</v>
      </c>
      <c r="D234" s="4">
        <v>45891</v>
      </c>
      <c r="E234" s="5">
        <v>89439.039999999994</v>
      </c>
      <c r="F234" t="s">
        <v>1912</v>
      </c>
      <c r="G234" s="4">
        <v>45896</v>
      </c>
      <c r="H234" t="s">
        <v>1915</v>
      </c>
    </row>
    <row r="235" spans="1:8">
      <c r="A235" t="s">
        <v>2152</v>
      </c>
      <c r="B235" t="s">
        <v>186</v>
      </c>
      <c r="C235" t="s">
        <v>1917</v>
      </c>
      <c r="D235" s="4">
        <v>45964</v>
      </c>
      <c r="E235" s="5">
        <v>30829.81</v>
      </c>
      <c r="F235" t="s">
        <v>1912</v>
      </c>
      <c r="G235" s="4">
        <v>45969</v>
      </c>
      <c r="H235" t="s">
        <v>1929</v>
      </c>
    </row>
    <row r="236" spans="1:8">
      <c r="A236" t="s">
        <v>2153</v>
      </c>
      <c r="B236" t="s">
        <v>147</v>
      </c>
      <c r="C236" t="s">
        <v>1908</v>
      </c>
      <c r="D236" s="4">
        <v>46151</v>
      </c>
      <c r="E236" s="5">
        <v>62870.11</v>
      </c>
      <c r="F236" t="s">
        <v>1912</v>
      </c>
      <c r="G236" s="4">
        <v>46156</v>
      </c>
      <c r="H236" t="s">
        <v>1910</v>
      </c>
    </row>
    <row r="237" spans="1:8">
      <c r="A237" t="s">
        <v>2154</v>
      </c>
      <c r="B237" t="s">
        <v>208</v>
      </c>
      <c r="C237" t="s">
        <v>1924</v>
      </c>
      <c r="D237" s="4">
        <v>46040</v>
      </c>
      <c r="E237" s="5">
        <v>79683.02</v>
      </c>
      <c r="F237" t="s">
        <v>1912</v>
      </c>
      <c r="G237" s="4">
        <v>46041</v>
      </c>
      <c r="H237" t="s">
        <v>1915</v>
      </c>
    </row>
    <row r="238" spans="1:8">
      <c r="A238" t="s">
        <v>2155</v>
      </c>
      <c r="B238" t="s">
        <v>120</v>
      </c>
      <c r="C238" t="s">
        <v>1908</v>
      </c>
      <c r="D238" s="4">
        <v>45950</v>
      </c>
      <c r="E238" s="5">
        <v>117564.14</v>
      </c>
      <c r="F238" t="s">
        <v>1909</v>
      </c>
      <c r="G238" s="4">
        <v>45951</v>
      </c>
      <c r="H238" t="s">
        <v>1913</v>
      </c>
    </row>
    <row r="239" spans="1:8">
      <c r="A239" t="s">
        <v>2156</v>
      </c>
      <c r="B239" t="s">
        <v>21</v>
      </c>
      <c r="C239" t="s">
        <v>1908</v>
      </c>
      <c r="D239" s="4">
        <v>46014</v>
      </c>
      <c r="E239" s="5">
        <v>2393.79</v>
      </c>
      <c r="F239" t="s">
        <v>1912</v>
      </c>
      <c r="G239" s="4">
        <v>46020</v>
      </c>
      <c r="H239" t="s">
        <v>1929</v>
      </c>
    </row>
    <row r="240" spans="1:8">
      <c r="A240" t="s">
        <v>2157</v>
      </c>
      <c r="B240" t="s">
        <v>103</v>
      </c>
      <c r="C240" t="s">
        <v>1924</v>
      </c>
      <c r="D240" s="4">
        <v>45958</v>
      </c>
      <c r="E240" s="5">
        <v>54930.04</v>
      </c>
      <c r="F240" t="s">
        <v>1919</v>
      </c>
      <c r="G240" s="4"/>
      <c r="H240" t="s">
        <v>1915</v>
      </c>
    </row>
    <row r="241" spans="1:8">
      <c r="A241" t="s">
        <v>2158</v>
      </c>
      <c r="B241" t="s">
        <v>260</v>
      </c>
      <c r="C241" t="s">
        <v>1917</v>
      </c>
      <c r="D241" s="4">
        <v>45992</v>
      </c>
      <c r="E241" s="5">
        <v>78999.8</v>
      </c>
      <c r="F241" t="s">
        <v>1912</v>
      </c>
      <c r="G241" s="4">
        <v>45998</v>
      </c>
      <c r="H241" t="s">
        <v>1913</v>
      </c>
    </row>
    <row r="242" spans="1:8">
      <c r="A242" t="s">
        <v>2159</v>
      </c>
      <c r="B242" t="s">
        <v>262</v>
      </c>
      <c r="C242" t="s">
        <v>1924</v>
      </c>
      <c r="D242" s="4">
        <v>46023</v>
      </c>
      <c r="E242" s="5">
        <v>97031.63</v>
      </c>
      <c r="F242" t="s">
        <v>1912</v>
      </c>
      <c r="G242" s="4">
        <v>46032</v>
      </c>
      <c r="H242" t="s">
        <v>1915</v>
      </c>
    </row>
    <row r="243" spans="1:8">
      <c r="A243" t="s">
        <v>2160</v>
      </c>
      <c r="B243" t="s">
        <v>147</v>
      </c>
      <c r="C243" t="s">
        <v>1917</v>
      </c>
      <c r="D243" s="4">
        <v>46024</v>
      </c>
      <c r="E243" s="5">
        <v>91829.05</v>
      </c>
      <c r="F243" t="s">
        <v>1919</v>
      </c>
      <c r="G243" s="4"/>
      <c r="H243" t="s">
        <v>1929</v>
      </c>
    </row>
    <row r="244" spans="1:8">
      <c r="A244" t="s">
        <v>2161</v>
      </c>
      <c r="B244" t="s">
        <v>34</v>
      </c>
      <c r="C244" t="s">
        <v>1908</v>
      </c>
      <c r="D244" s="4">
        <v>45862</v>
      </c>
      <c r="E244" s="5">
        <v>115805.67</v>
      </c>
      <c r="F244" t="s">
        <v>1919</v>
      </c>
      <c r="G244" s="4"/>
      <c r="H244" t="s">
        <v>1929</v>
      </c>
    </row>
    <row r="245" spans="1:8">
      <c r="A245" t="s">
        <v>2162</v>
      </c>
      <c r="B245" t="s">
        <v>190</v>
      </c>
      <c r="C245" t="s">
        <v>1917</v>
      </c>
      <c r="D245" s="4">
        <v>45905</v>
      </c>
      <c r="E245" s="5">
        <v>15313.05</v>
      </c>
      <c r="F245" t="s">
        <v>1912</v>
      </c>
      <c r="G245" s="4">
        <v>45908</v>
      </c>
      <c r="H245" t="s">
        <v>1910</v>
      </c>
    </row>
    <row r="246" spans="1:8">
      <c r="A246" t="s">
        <v>2163</v>
      </c>
      <c r="B246" t="s">
        <v>103</v>
      </c>
      <c r="C246" t="s">
        <v>318</v>
      </c>
      <c r="D246" s="4">
        <v>46072</v>
      </c>
      <c r="E246" s="5">
        <v>66842.53</v>
      </c>
      <c r="F246" t="s">
        <v>1933</v>
      </c>
      <c r="G246" s="4"/>
      <c r="H246" t="s">
        <v>1913</v>
      </c>
    </row>
    <row r="247" spans="1:8">
      <c r="A247" t="s">
        <v>2164</v>
      </c>
      <c r="B247" t="s">
        <v>21</v>
      </c>
      <c r="C247" t="s">
        <v>1922</v>
      </c>
      <c r="D247" s="4">
        <v>46110</v>
      </c>
      <c r="E247" s="5">
        <v>24190.48</v>
      </c>
      <c r="F247" t="s">
        <v>1912</v>
      </c>
      <c r="G247" s="4">
        <v>46114</v>
      </c>
      <c r="H247" t="s">
        <v>1913</v>
      </c>
    </row>
    <row r="248" spans="1:8">
      <c r="A248" t="s">
        <v>2165</v>
      </c>
      <c r="B248" t="s">
        <v>298</v>
      </c>
      <c r="C248" t="s">
        <v>318</v>
      </c>
      <c r="D248" s="4">
        <v>46030</v>
      </c>
      <c r="E248" s="5">
        <v>63543.39</v>
      </c>
      <c r="F248" t="s">
        <v>1912</v>
      </c>
      <c r="G248" s="4">
        <v>46040</v>
      </c>
      <c r="H248" t="s">
        <v>1915</v>
      </c>
    </row>
    <row r="249" spans="1:8">
      <c r="A249" t="s">
        <v>2166</v>
      </c>
      <c r="B249" t="s">
        <v>183</v>
      </c>
      <c r="C249" t="s">
        <v>318</v>
      </c>
      <c r="D249" s="4">
        <v>46121</v>
      </c>
      <c r="E249" s="5">
        <v>44156.08</v>
      </c>
      <c r="F249" t="s">
        <v>1919</v>
      </c>
      <c r="G249" s="4"/>
      <c r="H249" t="s">
        <v>1913</v>
      </c>
    </row>
    <row r="250" spans="1:8">
      <c r="A250" t="s">
        <v>2167</v>
      </c>
      <c r="B250" t="s">
        <v>91</v>
      </c>
      <c r="C250" t="s">
        <v>318</v>
      </c>
      <c r="D250" s="4">
        <v>45930</v>
      </c>
      <c r="E250" s="5">
        <v>12916.43</v>
      </c>
      <c r="F250" t="s">
        <v>1919</v>
      </c>
      <c r="G250" s="4"/>
      <c r="H250" t="s">
        <v>1913</v>
      </c>
    </row>
    <row r="251" spans="1:8">
      <c r="A251" t="s">
        <v>2168</v>
      </c>
      <c r="B251" t="s">
        <v>138</v>
      </c>
      <c r="C251" t="s">
        <v>1924</v>
      </c>
      <c r="D251" s="4">
        <v>45926</v>
      </c>
      <c r="E251" s="5">
        <v>65357.77</v>
      </c>
      <c r="F251" t="s">
        <v>1933</v>
      </c>
      <c r="G251" s="4"/>
      <c r="H251" t="s">
        <v>1913</v>
      </c>
    </row>
    <row r="252" spans="1:8">
      <c r="A252" t="s">
        <v>2169</v>
      </c>
      <c r="B252" t="s">
        <v>106</v>
      </c>
      <c r="C252" t="s">
        <v>1917</v>
      </c>
      <c r="D252" s="4">
        <v>45874</v>
      </c>
      <c r="E252" s="5">
        <v>115127.75</v>
      </c>
      <c r="F252" t="s">
        <v>1933</v>
      </c>
      <c r="G252" s="4"/>
      <c r="H252" t="s">
        <v>1929</v>
      </c>
    </row>
    <row r="253" spans="1:8">
      <c r="A253" t="s">
        <v>2170</v>
      </c>
      <c r="B253" t="s">
        <v>38</v>
      </c>
      <c r="C253" t="s">
        <v>1917</v>
      </c>
      <c r="D253" s="4">
        <v>46116</v>
      </c>
      <c r="E253" s="5">
        <v>116669.05</v>
      </c>
      <c r="F253" t="s">
        <v>1912</v>
      </c>
      <c r="G253" s="4">
        <v>46124</v>
      </c>
      <c r="H253" t="s">
        <v>1913</v>
      </c>
    </row>
    <row r="254" spans="1:8">
      <c r="A254" t="s">
        <v>2171</v>
      </c>
      <c r="B254" t="s">
        <v>170</v>
      </c>
      <c r="C254" t="s">
        <v>318</v>
      </c>
      <c r="D254" s="4">
        <v>46002</v>
      </c>
      <c r="E254" s="5">
        <v>1042.08</v>
      </c>
      <c r="F254" t="s">
        <v>1919</v>
      </c>
      <c r="G254" s="4"/>
      <c r="H254" t="s">
        <v>1910</v>
      </c>
    </row>
    <row r="255" spans="1:8">
      <c r="A255" t="s">
        <v>2172</v>
      </c>
      <c r="B255" t="s">
        <v>192</v>
      </c>
      <c r="C255" t="s">
        <v>1908</v>
      </c>
      <c r="D255" s="4">
        <v>46153</v>
      </c>
      <c r="E255" s="5">
        <v>115153.81</v>
      </c>
      <c r="F255" t="s">
        <v>1909</v>
      </c>
      <c r="G255" s="4">
        <v>46160</v>
      </c>
      <c r="H255" t="s">
        <v>1913</v>
      </c>
    </row>
    <row r="256" spans="1:8">
      <c r="A256" t="s">
        <v>2173</v>
      </c>
      <c r="B256" t="s">
        <v>212</v>
      </c>
      <c r="C256" t="s">
        <v>1924</v>
      </c>
      <c r="D256" s="4">
        <v>45931</v>
      </c>
      <c r="E256" s="5">
        <v>91986.559999999998</v>
      </c>
      <c r="F256" t="s">
        <v>1912</v>
      </c>
      <c r="G256" s="4">
        <v>45935</v>
      </c>
      <c r="H256" t="s">
        <v>1913</v>
      </c>
    </row>
    <row r="257" spans="1:8">
      <c r="A257" t="s">
        <v>2174</v>
      </c>
      <c r="B257" t="s">
        <v>34</v>
      </c>
      <c r="C257" t="s">
        <v>1917</v>
      </c>
      <c r="D257" s="4">
        <v>46063</v>
      </c>
      <c r="E257" s="5">
        <v>47528.959999999999</v>
      </c>
      <c r="F257" t="s">
        <v>1919</v>
      </c>
      <c r="G257" s="4"/>
      <c r="H257" t="s">
        <v>1915</v>
      </c>
    </row>
    <row r="258" spans="1:8">
      <c r="A258" t="s">
        <v>2175</v>
      </c>
      <c r="B258" t="s">
        <v>235</v>
      </c>
      <c r="C258" t="s">
        <v>1908</v>
      </c>
      <c r="D258" s="4">
        <v>45990</v>
      </c>
      <c r="E258" s="5">
        <v>17712.400000000001</v>
      </c>
      <c r="F258" t="s">
        <v>1912</v>
      </c>
      <c r="G258" s="4">
        <v>46000</v>
      </c>
      <c r="H258" t="s">
        <v>1913</v>
      </c>
    </row>
    <row r="259" spans="1:8">
      <c r="A259" t="s">
        <v>2176</v>
      </c>
      <c r="B259" t="s">
        <v>142</v>
      </c>
      <c r="C259" t="s">
        <v>1922</v>
      </c>
      <c r="D259" s="4">
        <v>45921</v>
      </c>
      <c r="E259" s="5">
        <v>80996.33</v>
      </c>
      <c r="F259" t="s">
        <v>1912</v>
      </c>
      <c r="G259" s="4">
        <v>45922</v>
      </c>
      <c r="H259" t="s">
        <v>1910</v>
      </c>
    </row>
    <row r="260" spans="1:8">
      <c r="A260" t="s">
        <v>2177</v>
      </c>
      <c r="B260" t="s">
        <v>84</v>
      </c>
      <c r="C260" t="s">
        <v>1924</v>
      </c>
      <c r="D260" s="4">
        <v>45901</v>
      </c>
      <c r="E260" s="5">
        <v>92827.31</v>
      </c>
      <c r="F260" t="s">
        <v>1912</v>
      </c>
      <c r="G260" s="4">
        <v>45905</v>
      </c>
      <c r="H260" t="s">
        <v>1910</v>
      </c>
    </row>
    <row r="261" spans="1:8">
      <c r="A261" t="s">
        <v>2178</v>
      </c>
      <c r="B261" t="s">
        <v>73</v>
      </c>
      <c r="C261" t="s">
        <v>1922</v>
      </c>
      <c r="D261" s="4">
        <v>45912</v>
      </c>
      <c r="E261" s="5">
        <v>65409.88</v>
      </c>
      <c r="F261" t="s">
        <v>1912</v>
      </c>
      <c r="G261" s="4">
        <v>45915</v>
      </c>
      <c r="H261" t="s">
        <v>1910</v>
      </c>
    </row>
    <row r="262" spans="1:8">
      <c r="A262" t="s">
        <v>2179</v>
      </c>
      <c r="B262" t="s">
        <v>164</v>
      </c>
      <c r="C262" t="s">
        <v>1922</v>
      </c>
      <c r="D262" s="4">
        <v>45988</v>
      </c>
      <c r="E262" s="5">
        <v>113989.06</v>
      </c>
      <c r="F262" t="s">
        <v>1909</v>
      </c>
      <c r="G262" s="4">
        <v>45993</v>
      </c>
      <c r="H262" t="s">
        <v>1929</v>
      </c>
    </row>
    <row r="263" spans="1:8">
      <c r="A263" t="s">
        <v>2180</v>
      </c>
      <c r="B263" t="s">
        <v>208</v>
      </c>
      <c r="C263" t="s">
        <v>1917</v>
      </c>
      <c r="D263" s="4">
        <v>46148</v>
      </c>
      <c r="E263" s="5">
        <v>21046.27</v>
      </c>
      <c r="F263" t="s">
        <v>1912</v>
      </c>
      <c r="G263" s="4">
        <v>46156</v>
      </c>
      <c r="H263" t="s">
        <v>1913</v>
      </c>
    </row>
    <row r="264" spans="1:8">
      <c r="A264" t="s">
        <v>2181</v>
      </c>
      <c r="B264" t="s">
        <v>248</v>
      </c>
      <c r="C264" t="s">
        <v>1917</v>
      </c>
      <c r="D264" s="4">
        <v>45901</v>
      </c>
      <c r="E264" s="5">
        <v>11540.18</v>
      </c>
      <c r="F264" t="s">
        <v>1912</v>
      </c>
      <c r="G264" s="4">
        <v>45911</v>
      </c>
      <c r="H264" t="s">
        <v>1913</v>
      </c>
    </row>
    <row r="265" spans="1:8">
      <c r="A265" t="s">
        <v>2182</v>
      </c>
      <c r="B265" t="s">
        <v>227</v>
      </c>
      <c r="C265" t="s">
        <v>1924</v>
      </c>
      <c r="D265" s="4">
        <v>46102</v>
      </c>
      <c r="E265" s="5">
        <v>100568.38</v>
      </c>
      <c r="F265" t="s">
        <v>1933</v>
      </c>
      <c r="G265" s="4"/>
      <c r="H265" t="s">
        <v>1915</v>
      </c>
    </row>
    <row r="266" spans="1:8">
      <c r="A266" t="s">
        <v>2183</v>
      </c>
      <c r="B266" t="s">
        <v>29</v>
      </c>
      <c r="C266" t="s">
        <v>1917</v>
      </c>
      <c r="D266" s="4">
        <v>45902</v>
      </c>
      <c r="E266" s="5">
        <v>103954.9</v>
      </c>
      <c r="F266" t="s">
        <v>1919</v>
      </c>
      <c r="G266" s="4"/>
      <c r="H266" t="s">
        <v>1910</v>
      </c>
    </row>
    <row r="267" spans="1:8">
      <c r="A267" t="s">
        <v>2184</v>
      </c>
      <c r="B267" t="s">
        <v>29</v>
      </c>
      <c r="C267" t="s">
        <v>1917</v>
      </c>
      <c r="D267" s="4">
        <v>46109</v>
      </c>
      <c r="E267" s="5">
        <v>40130.730000000003</v>
      </c>
      <c r="F267" t="s">
        <v>1912</v>
      </c>
      <c r="G267" s="4">
        <v>46114</v>
      </c>
      <c r="H267" t="s">
        <v>1915</v>
      </c>
    </row>
    <row r="268" spans="1:8">
      <c r="A268" t="s">
        <v>2185</v>
      </c>
      <c r="B268" t="s">
        <v>97</v>
      </c>
      <c r="C268" t="s">
        <v>1924</v>
      </c>
      <c r="D268" s="4">
        <v>45900</v>
      </c>
      <c r="E268" s="5">
        <v>85858.38</v>
      </c>
      <c r="F268" t="s">
        <v>1912</v>
      </c>
      <c r="G268" s="4">
        <v>45910</v>
      </c>
      <c r="H268" t="s">
        <v>1913</v>
      </c>
    </row>
    <row r="269" spans="1:8">
      <c r="A269" t="s">
        <v>2186</v>
      </c>
      <c r="B269" t="s">
        <v>168</v>
      </c>
      <c r="C269" t="s">
        <v>1924</v>
      </c>
      <c r="D269" s="4">
        <v>46071</v>
      </c>
      <c r="E269" s="5">
        <v>80209.789999999994</v>
      </c>
      <c r="F269" t="s">
        <v>1919</v>
      </c>
      <c r="G269" s="4"/>
      <c r="H269" t="s">
        <v>1929</v>
      </c>
    </row>
    <row r="270" spans="1:8">
      <c r="A270" t="s">
        <v>2187</v>
      </c>
      <c r="B270" t="s">
        <v>51</v>
      </c>
      <c r="C270" t="s">
        <v>318</v>
      </c>
      <c r="D270" s="4">
        <v>46114</v>
      </c>
      <c r="E270" s="5">
        <v>104576.82</v>
      </c>
      <c r="F270" t="s">
        <v>1912</v>
      </c>
      <c r="G270" s="4">
        <v>46115</v>
      </c>
      <c r="H270" t="s">
        <v>1915</v>
      </c>
    </row>
    <row r="271" spans="1:8">
      <c r="A271" t="s">
        <v>2188</v>
      </c>
      <c r="B271" t="s">
        <v>168</v>
      </c>
      <c r="C271" t="s">
        <v>1908</v>
      </c>
      <c r="D271" s="4">
        <v>45899</v>
      </c>
      <c r="E271" s="5">
        <v>69499.44</v>
      </c>
      <c r="F271" t="s">
        <v>1919</v>
      </c>
      <c r="G271" s="4"/>
      <c r="H271" t="s">
        <v>1910</v>
      </c>
    </row>
    <row r="272" spans="1:8">
      <c r="A272" t="s">
        <v>2189</v>
      </c>
      <c r="B272" t="s">
        <v>163</v>
      </c>
      <c r="C272" t="s">
        <v>1922</v>
      </c>
      <c r="D272" s="4">
        <v>46158</v>
      </c>
      <c r="E272" s="5">
        <v>51197.69</v>
      </c>
      <c r="F272" t="s">
        <v>1919</v>
      </c>
      <c r="G272" s="4"/>
      <c r="H272" t="s">
        <v>1910</v>
      </c>
    </row>
    <row r="273" spans="1:8">
      <c r="A273" t="s">
        <v>2190</v>
      </c>
      <c r="B273" t="s">
        <v>34</v>
      </c>
      <c r="C273" t="s">
        <v>1922</v>
      </c>
      <c r="D273" s="4">
        <v>46074</v>
      </c>
      <c r="E273" s="5">
        <v>102415.73</v>
      </c>
      <c r="F273" t="s">
        <v>1912</v>
      </c>
      <c r="G273" s="4">
        <v>46083</v>
      </c>
      <c r="H273" t="s">
        <v>1929</v>
      </c>
    </row>
    <row r="274" spans="1:8">
      <c r="A274" t="s">
        <v>2191</v>
      </c>
      <c r="B274" t="s">
        <v>211</v>
      </c>
      <c r="C274" t="s">
        <v>1908</v>
      </c>
      <c r="D274" s="4">
        <v>46070</v>
      </c>
      <c r="E274" s="5">
        <v>80619.14</v>
      </c>
      <c r="F274" t="s">
        <v>1909</v>
      </c>
      <c r="G274" s="4">
        <v>46080</v>
      </c>
      <c r="H274" t="s">
        <v>1915</v>
      </c>
    </row>
    <row r="275" spans="1:8">
      <c r="A275" t="s">
        <v>2192</v>
      </c>
      <c r="B275" t="s">
        <v>140</v>
      </c>
      <c r="C275" t="s">
        <v>1922</v>
      </c>
      <c r="D275" s="4">
        <v>46017</v>
      </c>
      <c r="E275" s="5">
        <v>12757.7</v>
      </c>
      <c r="F275" t="s">
        <v>1933</v>
      </c>
      <c r="G275" s="4"/>
      <c r="H275" t="s">
        <v>1929</v>
      </c>
    </row>
    <row r="276" spans="1:8">
      <c r="A276" t="s">
        <v>2193</v>
      </c>
      <c r="B276" t="s">
        <v>69</v>
      </c>
      <c r="C276" t="s">
        <v>1908</v>
      </c>
      <c r="D276" s="4">
        <v>45978</v>
      </c>
      <c r="E276" s="5">
        <v>43672.08</v>
      </c>
      <c r="F276" t="s">
        <v>1912</v>
      </c>
      <c r="G276" s="4">
        <v>45984</v>
      </c>
      <c r="H276" t="s">
        <v>1910</v>
      </c>
    </row>
    <row r="277" spans="1:8">
      <c r="A277" t="s">
        <v>2194</v>
      </c>
      <c r="B277" t="s">
        <v>103</v>
      </c>
      <c r="C277" t="s">
        <v>1908</v>
      </c>
      <c r="D277" s="4">
        <v>45873</v>
      </c>
      <c r="E277" s="5">
        <v>39616.980000000003</v>
      </c>
      <c r="F277" t="s">
        <v>1912</v>
      </c>
      <c r="G277" s="4">
        <v>45878</v>
      </c>
      <c r="H277" t="s">
        <v>1913</v>
      </c>
    </row>
    <row r="278" spans="1:8">
      <c r="A278" t="s">
        <v>2195</v>
      </c>
      <c r="B278" t="s">
        <v>162</v>
      </c>
      <c r="C278" t="s">
        <v>1908</v>
      </c>
      <c r="D278" s="4">
        <v>46129</v>
      </c>
      <c r="E278" s="5">
        <v>78146.14</v>
      </c>
      <c r="F278" t="s">
        <v>1912</v>
      </c>
      <c r="G278" s="4">
        <v>46135</v>
      </c>
      <c r="H278" t="s">
        <v>1929</v>
      </c>
    </row>
    <row r="279" spans="1:8">
      <c r="A279" t="s">
        <v>2196</v>
      </c>
      <c r="B279" t="s">
        <v>204</v>
      </c>
      <c r="C279" t="s">
        <v>1917</v>
      </c>
      <c r="D279" s="4">
        <v>45894</v>
      </c>
      <c r="E279" s="5">
        <v>40717.83</v>
      </c>
      <c r="F279" t="s">
        <v>1912</v>
      </c>
      <c r="G279" s="4">
        <v>45898</v>
      </c>
      <c r="H279" t="s">
        <v>1910</v>
      </c>
    </row>
    <row r="280" spans="1:8">
      <c r="A280" t="s">
        <v>2197</v>
      </c>
      <c r="B280" t="s">
        <v>118</v>
      </c>
      <c r="C280" t="s">
        <v>1924</v>
      </c>
      <c r="D280" s="4">
        <v>45895</v>
      </c>
      <c r="E280" s="5">
        <v>77094.759999999995</v>
      </c>
      <c r="F280" t="s">
        <v>1919</v>
      </c>
      <c r="G280" s="4"/>
      <c r="H280" t="s">
        <v>1913</v>
      </c>
    </row>
    <row r="281" spans="1:8">
      <c r="A281" t="s">
        <v>2198</v>
      </c>
      <c r="B281" t="s">
        <v>124</v>
      </c>
      <c r="C281" t="s">
        <v>1917</v>
      </c>
      <c r="D281" s="4">
        <v>46044</v>
      </c>
      <c r="E281" s="5">
        <v>25055.74</v>
      </c>
      <c r="F281" t="s">
        <v>1912</v>
      </c>
      <c r="G281" s="4">
        <v>46052</v>
      </c>
      <c r="H281" t="s">
        <v>1910</v>
      </c>
    </row>
    <row r="282" spans="1:8">
      <c r="A282" t="s">
        <v>2199</v>
      </c>
      <c r="B282" t="s">
        <v>61</v>
      </c>
      <c r="C282" t="s">
        <v>1917</v>
      </c>
      <c r="D282" s="4">
        <v>46073</v>
      </c>
      <c r="E282" s="5">
        <v>107597.85</v>
      </c>
      <c r="F282" t="s">
        <v>1912</v>
      </c>
      <c r="G282" s="4">
        <v>46076</v>
      </c>
      <c r="H282" t="s">
        <v>1915</v>
      </c>
    </row>
    <row r="283" spans="1:8">
      <c r="A283" t="s">
        <v>2200</v>
      </c>
      <c r="B283" t="s">
        <v>36</v>
      </c>
      <c r="C283" t="s">
        <v>318</v>
      </c>
      <c r="D283" s="4">
        <v>45946</v>
      </c>
      <c r="E283" s="5">
        <v>70239.77</v>
      </c>
      <c r="F283" t="s">
        <v>1933</v>
      </c>
      <c r="G283" s="4"/>
      <c r="H283" t="s">
        <v>1910</v>
      </c>
    </row>
    <row r="284" spans="1:8">
      <c r="A284" t="s">
        <v>2201</v>
      </c>
      <c r="B284" t="s">
        <v>124</v>
      </c>
      <c r="C284" t="s">
        <v>1922</v>
      </c>
      <c r="D284" s="4">
        <v>46135</v>
      </c>
      <c r="E284" s="5">
        <v>65052.27</v>
      </c>
      <c r="F284" t="s">
        <v>1919</v>
      </c>
      <c r="G284" s="4"/>
      <c r="H284" t="s">
        <v>1913</v>
      </c>
    </row>
    <row r="285" spans="1:8">
      <c r="A285" t="s">
        <v>2202</v>
      </c>
      <c r="B285" t="s">
        <v>283</v>
      </c>
      <c r="C285" t="s">
        <v>1924</v>
      </c>
      <c r="D285" s="4">
        <v>45895</v>
      </c>
      <c r="E285" s="5">
        <v>85688.2</v>
      </c>
      <c r="F285" t="s">
        <v>1933</v>
      </c>
      <c r="G285" s="4"/>
      <c r="H285" t="s">
        <v>1910</v>
      </c>
    </row>
    <row r="286" spans="1:8">
      <c r="A286" t="s">
        <v>2203</v>
      </c>
      <c r="B286" t="s">
        <v>74</v>
      </c>
      <c r="C286" t="s">
        <v>1924</v>
      </c>
      <c r="D286" s="4">
        <v>46023</v>
      </c>
      <c r="E286" s="5">
        <v>64406.5</v>
      </c>
      <c r="F286" t="s">
        <v>1919</v>
      </c>
      <c r="G286" s="4"/>
      <c r="H286" t="s">
        <v>1915</v>
      </c>
    </row>
    <row r="287" spans="1:8">
      <c r="A287" t="s">
        <v>2204</v>
      </c>
      <c r="B287" t="s">
        <v>69</v>
      </c>
      <c r="C287" t="s">
        <v>1917</v>
      </c>
      <c r="D287" s="4">
        <v>45999</v>
      </c>
      <c r="E287" s="5">
        <v>73996.98</v>
      </c>
      <c r="F287" t="s">
        <v>1933</v>
      </c>
      <c r="G287" s="4"/>
      <c r="H287" t="s">
        <v>1913</v>
      </c>
    </row>
    <row r="288" spans="1:8">
      <c r="A288" t="s">
        <v>2205</v>
      </c>
      <c r="B288" t="s">
        <v>142</v>
      </c>
      <c r="C288" t="s">
        <v>1917</v>
      </c>
      <c r="D288" s="4">
        <v>45869</v>
      </c>
      <c r="E288" s="5">
        <v>30262.53</v>
      </c>
      <c r="F288" t="s">
        <v>1919</v>
      </c>
      <c r="G288" s="4"/>
      <c r="H288" t="s">
        <v>1915</v>
      </c>
    </row>
    <row r="289" spans="1:8">
      <c r="A289" t="s">
        <v>2206</v>
      </c>
      <c r="B289" t="s">
        <v>87</v>
      </c>
      <c r="C289" t="s">
        <v>1908</v>
      </c>
      <c r="D289" s="4">
        <v>45963</v>
      </c>
      <c r="E289" s="5">
        <v>100156.51</v>
      </c>
      <c r="F289" t="s">
        <v>1933</v>
      </c>
      <c r="G289" s="4"/>
      <c r="H289" t="s">
        <v>1913</v>
      </c>
    </row>
    <row r="290" spans="1:8">
      <c r="A290" t="s">
        <v>2207</v>
      </c>
      <c r="B290" t="s">
        <v>142</v>
      </c>
      <c r="C290" t="s">
        <v>1922</v>
      </c>
      <c r="D290" s="4">
        <v>45959</v>
      </c>
      <c r="E290" s="5">
        <v>18299.830000000002</v>
      </c>
      <c r="F290" t="s">
        <v>1919</v>
      </c>
      <c r="G290" s="4"/>
      <c r="H290" t="s">
        <v>1929</v>
      </c>
    </row>
    <row r="291" spans="1:8">
      <c r="A291" t="s">
        <v>2208</v>
      </c>
      <c r="B291" t="s">
        <v>138</v>
      </c>
      <c r="C291" t="s">
        <v>1908</v>
      </c>
      <c r="D291" s="4">
        <v>46073</v>
      </c>
      <c r="E291" s="5">
        <v>50328.58</v>
      </c>
      <c r="F291" t="s">
        <v>1912</v>
      </c>
      <c r="G291" s="4">
        <v>46083</v>
      </c>
      <c r="H291" t="s">
        <v>1929</v>
      </c>
    </row>
    <row r="292" spans="1:8">
      <c r="A292" t="s">
        <v>2209</v>
      </c>
      <c r="B292" t="s">
        <v>133</v>
      </c>
      <c r="C292" t="s">
        <v>1917</v>
      </c>
      <c r="D292" s="4">
        <v>46114</v>
      </c>
      <c r="E292" s="5">
        <v>70126.58</v>
      </c>
      <c r="F292" t="s">
        <v>1912</v>
      </c>
      <c r="G292" s="4">
        <v>46121</v>
      </c>
      <c r="H292" t="s">
        <v>1910</v>
      </c>
    </row>
    <row r="293" spans="1:8">
      <c r="A293" t="s">
        <v>2210</v>
      </c>
      <c r="B293" t="s">
        <v>183</v>
      </c>
      <c r="C293" t="s">
        <v>1908</v>
      </c>
      <c r="D293" s="4">
        <v>45983</v>
      </c>
      <c r="E293" s="5">
        <v>52326.45</v>
      </c>
      <c r="F293" t="s">
        <v>1919</v>
      </c>
      <c r="G293" s="4"/>
      <c r="H293" t="s">
        <v>1910</v>
      </c>
    </row>
    <row r="294" spans="1:8">
      <c r="A294" t="s">
        <v>2211</v>
      </c>
      <c r="B294" t="s">
        <v>76</v>
      </c>
      <c r="C294" t="s">
        <v>1908</v>
      </c>
      <c r="D294" s="4">
        <v>46031</v>
      </c>
      <c r="E294" s="5">
        <v>10167.81</v>
      </c>
      <c r="F294" t="s">
        <v>1912</v>
      </c>
      <c r="G294" s="4">
        <v>46037</v>
      </c>
      <c r="H294" t="s">
        <v>1913</v>
      </c>
    </row>
    <row r="295" spans="1:8">
      <c r="A295" t="s">
        <v>2212</v>
      </c>
      <c r="B295" t="s">
        <v>118</v>
      </c>
      <c r="C295" t="s">
        <v>318</v>
      </c>
      <c r="D295" s="4">
        <v>46108</v>
      </c>
      <c r="E295" s="5">
        <v>85294.12</v>
      </c>
      <c r="F295" t="s">
        <v>1912</v>
      </c>
      <c r="G295" s="4">
        <v>46110</v>
      </c>
      <c r="H295" t="s">
        <v>1913</v>
      </c>
    </row>
    <row r="296" spans="1:8">
      <c r="A296" t="s">
        <v>2213</v>
      </c>
      <c r="B296" t="s">
        <v>170</v>
      </c>
      <c r="C296" t="s">
        <v>1908</v>
      </c>
      <c r="D296" s="4">
        <v>46027</v>
      </c>
      <c r="E296" s="5">
        <v>86390.18</v>
      </c>
      <c r="F296" t="s">
        <v>1912</v>
      </c>
      <c r="G296" s="4">
        <v>46036</v>
      </c>
      <c r="H296" t="s">
        <v>1929</v>
      </c>
    </row>
    <row r="297" spans="1:8">
      <c r="A297" t="s">
        <v>2214</v>
      </c>
      <c r="B297" t="s">
        <v>131</v>
      </c>
      <c r="C297" t="s">
        <v>1924</v>
      </c>
      <c r="D297" s="4">
        <v>46143</v>
      </c>
      <c r="E297" s="5">
        <v>100557</v>
      </c>
      <c r="F297" t="s">
        <v>1912</v>
      </c>
      <c r="G297" s="4">
        <v>46151</v>
      </c>
      <c r="H297" t="s">
        <v>1929</v>
      </c>
    </row>
    <row r="298" spans="1:8">
      <c r="A298" t="s">
        <v>2215</v>
      </c>
      <c r="B298" t="s">
        <v>114</v>
      </c>
      <c r="C298" t="s">
        <v>1917</v>
      </c>
      <c r="D298" s="4">
        <v>45936</v>
      </c>
      <c r="E298" s="5">
        <v>3631.71</v>
      </c>
      <c r="F298" t="s">
        <v>1912</v>
      </c>
      <c r="G298" s="4">
        <v>45937</v>
      </c>
      <c r="H298" t="s">
        <v>1929</v>
      </c>
    </row>
    <row r="299" spans="1:8">
      <c r="A299" t="s">
        <v>2216</v>
      </c>
      <c r="B299" t="s">
        <v>227</v>
      </c>
      <c r="C299" t="s">
        <v>1917</v>
      </c>
      <c r="D299" s="4">
        <v>45924</v>
      </c>
      <c r="E299" s="5">
        <v>8589.44</v>
      </c>
      <c r="F299" t="s">
        <v>1919</v>
      </c>
      <c r="G299" s="4"/>
      <c r="H299" t="s">
        <v>1910</v>
      </c>
    </row>
    <row r="300" spans="1:8">
      <c r="A300" t="s">
        <v>2217</v>
      </c>
      <c r="B300" t="s">
        <v>155</v>
      </c>
      <c r="C300" t="s">
        <v>1924</v>
      </c>
      <c r="D300" s="4">
        <v>45863</v>
      </c>
      <c r="E300" s="5">
        <v>85919.85</v>
      </c>
      <c r="F300" t="s">
        <v>1912</v>
      </c>
      <c r="G300" s="4">
        <v>45866</v>
      </c>
      <c r="H300" t="s">
        <v>1913</v>
      </c>
    </row>
    <row r="301" spans="1:8">
      <c r="A301" t="s">
        <v>2218</v>
      </c>
      <c r="B301" t="s">
        <v>249</v>
      </c>
      <c r="C301" t="s">
        <v>1917</v>
      </c>
      <c r="D301" s="4">
        <v>46080</v>
      </c>
      <c r="E301" s="5">
        <v>37869.21</v>
      </c>
      <c r="F301" t="s">
        <v>1912</v>
      </c>
      <c r="G301" s="4">
        <v>46085</v>
      </c>
      <c r="H301" t="s">
        <v>1913</v>
      </c>
    </row>
    <row r="302" spans="1:8">
      <c r="A302" t="s">
        <v>2219</v>
      </c>
      <c r="B302" t="s">
        <v>71</v>
      </c>
      <c r="C302" t="s">
        <v>318</v>
      </c>
      <c r="D302" s="4">
        <v>46109</v>
      </c>
      <c r="E302" s="5">
        <v>113605.87</v>
      </c>
      <c r="F302" t="s">
        <v>1919</v>
      </c>
      <c r="G302" s="4"/>
      <c r="H302" t="s">
        <v>1910</v>
      </c>
    </row>
    <row r="303" spans="1:8">
      <c r="A303" t="s">
        <v>2220</v>
      </c>
      <c r="B303" t="s">
        <v>82</v>
      </c>
      <c r="C303" t="s">
        <v>318</v>
      </c>
      <c r="D303" s="4">
        <v>45852</v>
      </c>
      <c r="E303" s="5">
        <v>116535.73</v>
      </c>
      <c r="F303" t="s">
        <v>1909</v>
      </c>
      <c r="G303" s="4">
        <v>45858</v>
      </c>
      <c r="H303" t="s">
        <v>1915</v>
      </c>
    </row>
    <row r="304" spans="1:8">
      <c r="A304" t="s">
        <v>2221</v>
      </c>
      <c r="B304" t="s">
        <v>40</v>
      </c>
      <c r="C304" t="s">
        <v>1908</v>
      </c>
      <c r="D304" s="4">
        <v>45885</v>
      </c>
      <c r="E304" s="5">
        <v>74048.2</v>
      </c>
      <c r="F304" t="s">
        <v>1912</v>
      </c>
      <c r="G304" s="4">
        <v>45888</v>
      </c>
      <c r="H304" t="s">
        <v>1913</v>
      </c>
    </row>
    <row r="305" spans="1:8">
      <c r="A305" t="s">
        <v>2222</v>
      </c>
      <c r="B305" t="s">
        <v>108</v>
      </c>
      <c r="C305" t="s">
        <v>1922</v>
      </c>
      <c r="D305" s="4">
        <v>45940</v>
      </c>
      <c r="E305" s="5">
        <v>100452.99</v>
      </c>
      <c r="F305" t="s">
        <v>1909</v>
      </c>
      <c r="G305" s="4">
        <v>45948</v>
      </c>
      <c r="H305" t="s">
        <v>1910</v>
      </c>
    </row>
    <row r="306" spans="1:8">
      <c r="A306" t="s">
        <v>2223</v>
      </c>
      <c r="B306" t="s">
        <v>283</v>
      </c>
      <c r="C306" t="s">
        <v>1924</v>
      </c>
      <c r="D306" s="4">
        <v>45897</v>
      </c>
      <c r="E306" s="5">
        <v>113591.51</v>
      </c>
      <c r="F306" t="s">
        <v>1912</v>
      </c>
      <c r="G306" s="4">
        <v>45904</v>
      </c>
      <c r="H306" t="s">
        <v>1929</v>
      </c>
    </row>
    <row r="307" spans="1:8">
      <c r="A307" t="s">
        <v>2224</v>
      </c>
      <c r="B307" t="s">
        <v>232</v>
      </c>
      <c r="C307" t="s">
        <v>1922</v>
      </c>
      <c r="D307" s="4">
        <v>46091</v>
      </c>
      <c r="E307" s="5">
        <v>17482.63</v>
      </c>
      <c r="F307" t="s">
        <v>1919</v>
      </c>
      <c r="G307" s="4"/>
      <c r="H307" t="s">
        <v>1910</v>
      </c>
    </row>
    <row r="308" spans="1:8">
      <c r="A308" t="s">
        <v>2225</v>
      </c>
      <c r="B308" t="s">
        <v>151</v>
      </c>
      <c r="C308" t="s">
        <v>1922</v>
      </c>
      <c r="D308" s="4">
        <v>45939</v>
      </c>
      <c r="E308" s="5">
        <v>85164.29</v>
      </c>
      <c r="F308" t="s">
        <v>1912</v>
      </c>
      <c r="G308" s="4">
        <v>45947</v>
      </c>
      <c r="H308" t="s">
        <v>1913</v>
      </c>
    </row>
    <row r="309" spans="1:8">
      <c r="A309" t="s">
        <v>2226</v>
      </c>
      <c r="B309" t="s">
        <v>23</v>
      </c>
      <c r="C309" t="s">
        <v>1922</v>
      </c>
      <c r="D309" s="4">
        <v>46054</v>
      </c>
      <c r="E309" s="5">
        <v>24872.27</v>
      </c>
      <c r="F309" t="s">
        <v>1919</v>
      </c>
      <c r="G309" s="4"/>
      <c r="H309" t="s">
        <v>1910</v>
      </c>
    </row>
    <row r="310" spans="1:8">
      <c r="A310" t="s">
        <v>2227</v>
      </c>
      <c r="B310" t="s">
        <v>103</v>
      </c>
      <c r="C310" t="s">
        <v>1922</v>
      </c>
      <c r="D310" s="4">
        <v>45897</v>
      </c>
      <c r="E310" s="5">
        <v>63340.21</v>
      </c>
      <c r="F310" t="s">
        <v>1909</v>
      </c>
      <c r="G310" s="4">
        <v>45907</v>
      </c>
      <c r="H310" t="s">
        <v>1915</v>
      </c>
    </row>
    <row r="311" spans="1:8">
      <c r="A311" t="s">
        <v>2228</v>
      </c>
      <c r="B311" t="s">
        <v>226</v>
      </c>
      <c r="C311" t="s">
        <v>1922</v>
      </c>
      <c r="D311" s="4">
        <v>46040</v>
      </c>
      <c r="E311" s="5">
        <v>12363.35</v>
      </c>
      <c r="F311" t="s">
        <v>1909</v>
      </c>
      <c r="G311" s="4">
        <v>46049</v>
      </c>
      <c r="H311" t="s">
        <v>1915</v>
      </c>
    </row>
    <row r="312" spans="1:8">
      <c r="A312" t="s">
        <v>2229</v>
      </c>
      <c r="B312" t="s">
        <v>171</v>
      </c>
      <c r="C312" t="s">
        <v>318</v>
      </c>
      <c r="D312" s="4">
        <v>46045</v>
      </c>
      <c r="E312" s="5">
        <v>37445.4</v>
      </c>
      <c r="F312" t="s">
        <v>1912</v>
      </c>
      <c r="G312" s="4">
        <v>46055</v>
      </c>
      <c r="H312" t="s">
        <v>1910</v>
      </c>
    </row>
    <row r="313" spans="1:8">
      <c r="A313" t="s">
        <v>2230</v>
      </c>
      <c r="B313" t="s">
        <v>204</v>
      </c>
      <c r="C313" t="s">
        <v>318</v>
      </c>
      <c r="D313" s="4">
        <v>45884</v>
      </c>
      <c r="E313" s="5">
        <v>114729.69</v>
      </c>
      <c r="F313" t="s">
        <v>1919</v>
      </c>
      <c r="G313" s="4"/>
      <c r="H313" t="s">
        <v>1929</v>
      </c>
    </row>
    <row r="314" spans="1:8">
      <c r="A314" t="s">
        <v>2231</v>
      </c>
      <c r="B314" t="s">
        <v>133</v>
      </c>
      <c r="C314" t="s">
        <v>1908</v>
      </c>
      <c r="D314" s="4">
        <v>46123</v>
      </c>
      <c r="E314" s="5">
        <v>26986.49</v>
      </c>
      <c r="F314" t="s">
        <v>1919</v>
      </c>
      <c r="G314" s="4"/>
      <c r="H314" t="s">
        <v>1910</v>
      </c>
    </row>
    <row r="315" spans="1:8">
      <c r="A315" t="s">
        <v>2232</v>
      </c>
      <c r="B315" t="s">
        <v>66</v>
      </c>
      <c r="C315" t="s">
        <v>318</v>
      </c>
      <c r="D315" s="4">
        <v>45939</v>
      </c>
      <c r="E315" s="5">
        <v>107080.98</v>
      </c>
      <c r="F315" t="s">
        <v>1912</v>
      </c>
      <c r="G315" s="4">
        <v>45942</v>
      </c>
      <c r="H315" t="s">
        <v>1913</v>
      </c>
    </row>
    <row r="316" spans="1:8">
      <c r="A316" t="s">
        <v>2233</v>
      </c>
      <c r="B316" t="s">
        <v>211</v>
      </c>
      <c r="C316" t="s">
        <v>1922</v>
      </c>
      <c r="D316" s="4">
        <v>46076</v>
      </c>
      <c r="E316" s="5">
        <v>4610.66</v>
      </c>
      <c r="F316" t="s">
        <v>1909</v>
      </c>
      <c r="G316" s="4">
        <v>46085</v>
      </c>
      <c r="H316" t="s">
        <v>1910</v>
      </c>
    </row>
    <row r="317" spans="1:8">
      <c r="A317" t="s">
        <v>2234</v>
      </c>
      <c r="B317" t="s">
        <v>56</v>
      </c>
      <c r="C317" t="s">
        <v>318</v>
      </c>
      <c r="D317" s="4">
        <v>45998</v>
      </c>
      <c r="E317" s="5">
        <v>13825.22</v>
      </c>
      <c r="F317" t="s">
        <v>1912</v>
      </c>
      <c r="G317" s="4">
        <v>46008</v>
      </c>
      <c r="H317" t="s">
        <v>1913</v>
      </c>
    </row>
    <row r="318" spans="1:8">
      <c r="A318" t="s">
        <v>2235</v>
      </c>
      <c r="B318" t="s">
        <v>38</v>
      </c>
      <c r="C318" t="s">
        <v>1917</v>
      </c>
      <c r="D318" s="4">
        <v>45900</v>
      </c>
      <c r="E318" s="5">
        <v>60220.47</v>
      </c>
      <c r="F318" t="s">
        <v>1912</v>
      </c>
      <c r="G318" s="4">
        <v>45910</v>
      </c>
      <c r="H318" t="s">
        <v>1929</v>
      </c>
    </row>
    <row r="319" spans="1:8">
      <c r="A319" t="s">
        <v>2236</v>
      </c>
      <c r="B319" t="s">
        <v>129</v>
      </c>
      <c r="C319" t="s">
        <v>318</v>
      </c>
      <c r="D319" s="4">
        <v>46129</v>
      </c>
      <c r="E319" s="5">
        <v>99980.64</v>
      </c>
      <c r="F319" t="s">
        <v>1912</v>
      </c>
      <c r="G319" s="4">
        <v>46131</v>
      </c>
      <c r="H319" t="s">
        <v>1915</v>
      </c>
    </row>
    <row r="320" spans="1:8">
      <c r="A320" t="s">
        <v>2237</v>
      </c>
      <c r="B320" t="s">
        <v>217</v>
      </c>
      <c r="C320" t="s">
        <v>1924</v>
      </c>
      <c r="D320" s="4">
        <v>45975</v>
      </c>
      <c r="E320" s="5">
        <v>44517.53</v>
      </c>
      <c r="F320" t="s">
        <v>1919</v>
      </c>
      <c r="G320" s="4"/>
      <c r="H320" t="s">
        <v>1913</v>
      </c>
    </row>
    <row r="321" spans="1:8">
      <c r="A321" t="s">
        <v>2238</v>
      </c>
      <c r="B321" t="s">
        <v>120</v>
      </c>
      <c r="C321" t="s">
        <v>318</v>
      </c>
      <c r="D321" s="4">
        <v>46055</v>
      </c>
      <c r="E321" s="5">
        <v>5949.26</v>
      </c>
      <c r="F321" t="s">
        <v>1909</v>
      </c>
      <c r="G321" s="4">
        <v>46063</v>
      </c>
      <c r="H321" t="s">
        <v>1915</v>
      </c>
    </row>
    <row r="322" spans="1:8">
      <c r="A322" t="s">
        <v>2239</v>
      </c>
      <c r="B322" t="s">
        <v>69</v>
      </c>
      <c r="C322" t="s">
        <v>318</v>
      </c>
      <c r="D322" s="4">
        <v>46115</v>
      </c>
      <c r="E322" s="5">
        <v>11823.46</v>
      </c>
      <c r="F322" t="s">
        <v>1912</v>
      </c>
      <c r="G322" s="4">
        <v>46124</v>
      </c>
      <c r="H322" t="s">
        <v>1929</v>
      </c>
    </row>
    <row r="323" spans="1:8">
      <c r="A323" t="s">
        <v>2240</v>
      </c>
      <c r="B323" t="s">
        <v>124</v>
      </c>
      <c r="C323" t="s">
        <v>1908</v>
      </c>
      <c r="D323" s="4">
        <v>46128</v>
      </c>
      <c r="E323" s="5">
        <v>77540.62</v>
      </c>
      <c r="F323" t="s">
        <v>1919</v>
      </c>
      <c r="G323" s="4"/>
      <c r="H323" t="s">
        <v>1929</v>
      </c>
    </row>
    <row r="324" spans="1:8">
      <c r="A324" t="s">
        <v>2241</v>
      </c>
      <c r="B324" t="s">
        <v>96</v>
      </c>
      <c r="C324" t="s">
        <v>1924</v>
      </c>
      <c r="D324" s="4">
        <v>45950</v>
      </c>
      <c r="E324" s="5">
        <v>35862.14</v>
      </c>
      <c r="F324" t="s">
        <v>1912</v>
      </c>
      <c r="G324" s="4">
        <v>45957</v>
      </c>
      <c r="H324" t="s">
        <v>1929</v>
      </c>
    </row>
    <row r="325" spans="1:8">
      <c r="A325" t="s">
        <v>2242</v>
      </c>
      <c r="B325" t="s">
        <v>105</v>
      </c>
      <c r="C325" t="s">
        <v>318</v>
      </c>
      <c r="D325" s="4">
        <v>46100</v>
      </c>
      <c r="E325" s="5">
        <v>3836.26</v>
      </c>
      <c r="F325" t="s">
        <v>1919</v>
      </c>
      <c r="G325" s="4"/>
      <c r="H325" t="s">
        <v>1929</v>
      </c>
    </row>
    <row r="326" spans="1:8">
      <c r="A326" t="s">
        <v>2243</v>
      </c>
      <c r="B326" t="s">
        <v>245</v>
      </c>
      <c r="C326" t="s">
        <v>1917</v>
      </c>
      <c r="D326" s="4">
        <v>46048</v>
      </c>
      <c r="E326" s="5">
        <v>37401.81</v>
      </c>
      <c r="F326" t="s">
        <v>1933</v>
      </c>
      <c r="G326" s="4"/>
      <c r="H326" t="s">
        <v>1915</v>
      </c>
    </row>
    <row r="327" spans="1:8">
      <c r="A327" t="s">
        <v>2244</v>
      </c>
      <c r="B327" t="s">
        <v>84</v>
      </c>
      <c r="C327" t="s">
        <v>318</v>
      </c>
      <c r="D327" s="4">
        <v>45870</v>
      </c>
      <c r="E327" s="5">
        <v>23381.39</v>
      </c>
      <c r="F327" t="s">
        <v>1909</v>
      </c>
      <c r="G327" s="4">
        <v>45880</v>
      </c>
      <c r="H327" t="s">
        <v>1913</v>
      </c>
    </row>
    <row r="328" spans="1:8">
      <c r="A328" t="s">
        <v>2245</v>
      </c>
      <c r="B328" t="s">
        <v>34</v>
      </c>
      <c r="C328" t="s">
        <v>1917</v>
      </c>
      <c r="D328" s="4">
        <v>46009</v>
      </c>
      <c r="E328" s="5">
        <v>88971.59</v>
      </c>
      <c r="F328" t="s">
        <v>1912</v>
      </c>
      <c r="G328" s="4">
        <v>46010</v>
      </c>
      <c r="H328" t="s">
        <v>1929</v>
      </c>
    </row>
    <row r="329" spans="1:8">
      <c r="A329" t="s">
        <v>2246</v>
      </c>
      <c r="B329" t="s">
        <v>202</v>
      </c>
      <c r="C329" t="s">
        <v>318</v>
      </c>
      <c r="D329" s="4">
        <v>46029</v>
      </c>
      <c r="E329" s="5">
        <v>115738.27</v>
      </c>
      <c r="F329" t="s">
        <v>1909</v>
      </c>
      <c r="G329" s="4">
        <v>46036</v>
      </c>
      <c r="H329" t="s">
        <v>1913</v>
      </c>
    </row>
    <row r="330" spans="1:8">
      <c r="A330" t="s">
        <v>2247</v>
      </c>
      <c r="B330" t="s">
        <v>193</v>
      </c>
      <c r="C330" t="s">
        <v>1922</v>
      </c>
      <c r="D330" s="4">
        <v>46038</v>
      </c>
      <c r="E330" s="5">
        <v>82054.87</v>
      </c>
      <c r="F330" t="s">
        <v>1909</v>
      </c>
      <c r="G330" s="4">
        <v>46042</v>
      </c>
      <c r="H330" t="s">
        <v>1929</v>
      </c>
    </row>
    <row r="331" spans="1:8">
      <c r="A331" t="s">
        <v>2248</v>
      </c>
      <c r="B331" t="s">
        <v>133</v>
      </c>
      <c r="C331" t="s">
        <v>1924</v>
      </c>
      <c r="D331" s="4">
        <v>45962</v>
      </c>
      <c r="E331" s="5">
        <v>85776.86</v>
      </c>
      <c r="F331" t="s">
        <v>1909</v>
      </c>
      <c r="G331" s="4">
        <v>45966</v>
      </c>
      <c r="H331" t="s">
        <v>1913</v>
      </c>
    </row>
    <row r="332" spans="1:8">
      <c r="A332" t="s">
        <v>2249</v>
      </c>
      <c r="B332" t="s">
        <v>66</v>
      </c>
      <c r="C332" t="s">
        <v>1922</v>
      </c>
      <c r="D332" s="4">
        <v>45856</v>
      </c>
      <c r="E332" s="5">
        <v>6382.83</v>
      </c>
      <c r="F332" t="s">
        <v>1919</v>
      </c>
      <c r="G332" s="4"/>
      <c r="H332" t="s">
        <v>1910</v>
      </c>
    </row>
    <row r="333" spans="1:8">
      <c r="A333" t="s">
        <v>2250</v>
      </c>
      <c r="B333" t="s">
        <v>7</v>
      </c>
      <c r="C333" t="s">
        <v>1917</v>
      </c>
      <c r="D333" s="4">
        <v>45972</v>
      </c>
      <c r="E333" s="5">
        <v>79491.710000000006</v>
      </c>
      <c r="F333" t="s">
        <v>1933</v>
      </c>
      <c r="G333" s="4"/>
      <c r="H333" t="s">
        <v>1913</v>
      </c>
    </row>
    <row r="334" spans="1:8">
      <c r="A334" t="s">
        <v>2251</v>
      </c>
      <c r="B334" t="s">
        <v>159</v>
      </c>
      <c r="C334" t="s">
        <v>1908</v>
      </c>
      <c r="D334" s="4">
        <v>45965</v>
      </c>
      <c r="E334" s="5">
        <v>45242.27</v>
      </c>
      <c r="F334" t="s">
        <v>1912</v>
      </c>
      <c r="G334" s="4">
        <v>45966</v>
      </c>
      <c r="H334" t="s">
        <v>1913</v>
      </c>
    </row>
    <row r="335" spans="1:8">
      <c r="A335" t="s">
        <v>2252</v>
      </c>
      <c r="B335" t="s">
        <v>108</v>
      </c>
      <c r="C335" t="s">
        <v>1924</v>
      </c>
      <c r="D335" s="4">
        <v>45975</v>
      </c>
      <c r="E335" s="5">
        <v>74989.89</v>
      </c>
      <c r="F335" t="s">
        <v>1919</v>
      </c>
      <c r="G335" s="4"/>
      <c r="H335" t="s">
        <v>1910</v>
      </c>
    </row>
    <row r="336" spans="1:8">
      <c r="A336" t="s">
        <v>2253</v>
      </c>
      <c r="B336" t="s">
        <v>192</v>
      </c>
      <c r="C336" t="s">
        <v>1924</v>
      </c>
      <c r="D336" s="4">
        <v>45988</v>
      </c>
      <c r="E336" s="5">
        <v>49695.21</v>
      </c>
      <c r="F336" t="s">
        <v>1909</v>
      </c>
      <c r="G336" s="4">
        <v>45995</v>
      </c>
      <c r="H336" t="s">
        <v>1910</v>
      </c>
    </row>
    <row r="337" spans="1:8">
      <c r="A337" t="s">
        <v>2254</v>
      </c>
      <c r="B337" t="s">
        <v>138</v>
      </c>
      <c r="C337" t="s">
        <v>1922</v>
      </c>
      <c r="D337" s="4">
        <v>45946</v>
      </c>
      <c r="E337" s="5">
        <v>98190.23</v>
      </c>
      <c r="F337" t="s">
        <v>1912</v>
      </c>
      <c r="G337" s="4">
        <v>45956</v>
      </c>
      <c r="H337" t="s">
        <v>1929</v>
      </c>
    </row>
    <row r="338" spans="1:8">
      <c r="A338" t="s">
        <v>2255</v>
      </c>
      <c r="B338" t="s">
        <v>273</v>
      </c>
      <c r="C338" t="s">
        <v>1922</v>
      </c>
      <c r="D338" s="4">
        <v>46078</v>
      </c>
      <c r="E338" s="5">
        <v>16337.7</v>
      </c>
      <c r="F338" t="s">
        <v>1912</v>
      </c>
      <c r="G338" s="4">
        <v>46080</v>
      </c>
      <c r="H338" t="s">
        <v>1915</v>
      </c>
    </row>
    <row r="339" spans="1:8">
      <c r="A339" t="s">
        <v>2256</v>
      </c>
      <c r="B339" t="s">
        <v>285</v>
      </c>
      <c r="C339" t="s">
        <v>1917</v>
      </c>
      <c r="D339" s="4">
        <v>46099</v>
      </c>
      <c r="E339" s="5">
        <v>8913.5400000000009</v>
      </c>
      <c r="F339" t="s">
        <v>1912</v>
      </c>
      <c r="G339" s="4">
        <v>46102</v>
      </c>
      <c r="H339" t="s">
        <v>1929</v>
      </c>
    </row>
    <row r="340" spans="1:8">
      <c r="A340" t="s">
        <v>2257</v>
      </c>
      <c r="B340" t="s">
        <v>225</v>
      </c>
      <c r="C340" t="s">
        <v>1922</v>
      </c>
      <c r="D340" s="4">
        <v>46123</v>
      </c>
      <c r="E340" s="5">
        <v>35086.239999999998</v>
      </c>
      <c r="F340" t="s">
        <v>1912</v>
      </c>
      <c r="G340" s="4">
        <v>46128</v>
      </c>
      <c r="H340" t="s">
        <v>1915</v>
      </c>
    </row>
    <row r="341" spans="1:8">
      <c r="A341" t="s">
        <v>2258</v>
      </c>
      <c r="B341" t="s">
        <v>21</v>
      </c>
      <c r="C341" t="s">
        <v>1908</v>
      </c>
      <c r="D341" s="4">
        <v>45952</v>
      </c>
      <c r="E341" s="5">
        <v>114074.88</v>
      </c>
      <c r="F341" t="s">
        <v>1912</v>
      </c>
      <c r="G341" s="4">
        <v>45960</v>
      </c>
      <c r="H341" t="s">
        <v>1913</v>
      </c>
    </row>
    <row r="342" spans="1:8">
      <c r="A342" t="s">
        <v>2259</v>
      </c>
      <c r="B342" t="s">
        <v>248</v>
      </c>
      <c r="C342" t="s">
        <v>1908</v>
      </c>
      <c r="D342" s="4">
        <v>45867</v>
      </c>
      <c r="E342" s="5">
        <v>56805.88</v>
      </c>
      <c r="F342" t="s">
        <v>1919</v>
      </c>
      <c r="G342" s="4"/>
      <c r="H342" t="s">
        <v>1915</v>
      </c>
    </row>
    <row r="343" spans="1:8">
      <c r="A343" t="s">
        <v>2260</v>
      </c>
      <c r="B343" t="s">
        <v>190</v>
      </c>
      <c r="C343" t="s">
        <v>1908</v>
      </c>
      <c r="D343" s="4">
        <v>46047</v>
      </c>
      <c r="E343" s="5">
        <v>22952.92</v>
      </c>
      <c r="F343" t="s">
        <v>1912</v>
      </c>
      <c r="G343" s="4">
        <v>46049</v>
      </c>
      <c r="H343" t="s">
        <v>1929</v>
      </c>
    </row>
    <row r="344" spans="1:8">
      <c r="A344" t="s">
        <v>2261</v>
      </c>
      <c r="B344" t="s">
        <v>245</v>
      </c>
      <c r="C344" t="s">
        <v>318</v>
      </c>
      <c r="D344" s="4">
        <v>46038</v>
      </c>
      <c r="E344" s="5">
        <v>53134.92</v>
      </c>
      <c r="F344" t="s">
        <v>1919</v>
      </c>
      <c r="G344" s="4"/>
      <c r="H344" t="s">
        <v>1915</v>
      </c>
    </row>
    <row r="345" spans="1:8">
      <c r="A345" t="s">
        <v>2262</v>
      </c>
      <c r="B345" t="s">
        <v>249</v>
      </c>
      <c r="C345" t="s">
        <v>1908</v>
      </c>
      <c r="D345" s="4">
        <v>46106</v>
      </c>
      <c r="E345" s="5">
        <v>92248.03</v>
      </c>
      <c r="F345" t="s">
        <v>1919</v>
      </c>
      <c r="G345" s="4"/>
      <c r="H345" t="s">
        <v>1910</v>
      </c>
    </row>
    <row r="346" spans="1:8">
      <c r="A346" t="s">
        <v>2263</v>
      </c>
      <c r="B346" t="s">
        <v>273</v>
      </c>
      <c r="C346" t="s">
        <v>1917</v>
      </c>
      <c r="D346" s="4">
        <v>46140</v>
      </c>
      <c r="E346" s="5">
        <v>2691.13</v>
      </c>
      <c r="F346" t="s">
        <v>1919</v>
      </c>
      <c r="G346" s="4"/>
      <c r="H346" t="s">
        <v>1913</v>
      </c>
    </row>
    <row r="347" spans="1:8">
      <c r="A347" t="s">
        <v>2264</v>
      </c>
      <c r="B347" t="s">
        <v>253</v>
      </c>
      <c r="C347" t="s">
        <v>1924</v>
      </c>
      <c r="D347" s="4">
        <v>46085</v>
      </c>
      <c r="E347" s="5">
        <v>24877.27</v>
      </c>
      <c r="F347" t="s">
        <v>1912</v>
      </c>
      <c r="G347" s="4">
        <v>46092</v>
      </c>
      <c r="H347" t="s">
        <v>1913</v>
      </c>
    </row>
    <row r="348" spans="1:8">
      <c r="A348" t="s">
        <v>2265</v>
      </c>
      <c r="B348" t="s">
        <v>144</v>
      </c>
      <c r="C348" t="s">
        <v>1908</v>
      </c>
      <c r="D348" s="4">
        <v>46107</v>
      </c>
      <c r="E348" s="5">
        <v>8574.2800000000007</v>
      </c>
      <c r="F348" t="s">
        <v>1919</v>
      </c>
      <c r="G348" s="4"/>
      <c r="H348" t="s">
        <v>1910</v>
      </c>
    </row>
    <row r="349" spans="1:8">
      <c r="A349" t="s">
        <v>2266</v>
      </c>
      <c r="B349" t="s">
        <v>249</v>
      </c>
      <c r="C349" t="s">
        <v>318</v>
      </c>
      <c r="D349" s="4">
        <v>46073</v>
      </c>
      <c r="E349" s="5">
        <v>4011.85</v>
      </c>
      <c r="F349" t="s">
        <v>1912</v>
      </c>
      <c r="G349" s="4">
        <v>46077</v>
      </c>
      <c r="H349" t="s">
        <v>1910</v>
      </c>
    </row>
    <row r="350" spans="1:8">
      <c r="A350" t="s">
        <v>2267</v>
      </c>
      <c r="B350" t="s">
        <v>162</v>
      </c>
      <c r="C350" t="s">
        <v>1922</v>
      </c>
      <c r="D350" s="4">
        <v>45931</v>
      </c>
      <c r="E350" s="5">
        <v>18060.25</v>
      </c>
      <c r="F350" t="s">
        <v>1933</v>
      </c>
      <c r="G350" s="4"/>
      <c r="H350" t="s">
        <v>1915</v>
      </c>
    </row>
    <row r="351" spans="1:8">
      <c r="A351" t="s">
        <v>2268</v>
      </c>
      <c r="B351" t="s">
        <v>226</v>
      </c>
      <c r="C351" t="s">
        <v>1908</v>
      </c>
      <c r="D351" s="4">
        <v>45882</v>
      </c>
      <c r="E351" s="5">
        <v>49780.98</v>
      </c>
      <c r="F351" t="s">
        <v>1912</v>
      </c>
      <c r="G351" s="4">
        <v>45892</v>
      </c>
      <c r="H351" t="s">
        <v>1910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69"/>
  <sheetViews>
    <sheetView workbookViewId="0"/>
  </sheetViews>
  <sheetFormatPr baseColWidth="10" defaultColWidth="8.83203125" defaultRowHeight="15"/>
  <cols>
    <col min="1" max="1" width="9.1640625" customWidth="1"/>
    <col min="2" max="2" width="10.5" customWidth="1"/>
    <col min="3" max="3" width="21.6640625" customWidth="1"/>
    <col min="4" max="4" width="19.5" customWidth="1"/>
    <col min="5" max="5" width="11.33203125" customWidth="1"/>
    <col min="6" max="6" width="15.1640625" customWidth="1"/>
    <col min="7" max="7" width="19.1640625" customWidth="1"/>
  </cols>
  <sheetData>
    <row r="1" spans="1:7" ht="15" customHeight="1">
      <c r="A1" s="3" t="s">
        <v>1</v>
      </c>
      <c r="B1" s="3" t="s">
        <v>2269</v>
      </c>
      <c r="C1" s="3" t="s">
        <v>2270</v>
      </c>
      <c r="D1" s="3" t="s">
        <v>2271</v>
      </c>
      <c r="E1" s="3" t="s">
        <v>2272</v>
      </c>
      <c r="F1" s="3" t="s">
        <v>2273</v>
      </c>
      <c r="G1" s="1" t="s">
        <v>2274</v>
      </c>
    </row>
    <row r="2" spans="1:7">
      <c r="A2" t="s">
        <v>91</v>
      </c>
      <c r="B2" s="4">
        <v>45931</v>
      </c>
      <c r="C2" s="5">
        <v>23672.73</v>
      </c>
      <c r="D2" s="5">
        <v>21309.25</v>
      </c>
      <c r="E2" t="s">
        <v>327</v>
      </c>
      <c r="F2" t="s">
        <v>2275</v>
      </c>
      <c r="G2" s="6">
        <f t="shared" ref="G2:G65" si="0">IF(C2=0,0,(D2-C2)/C2)</f>
        <v>-9.9839773443958502E-2</v>
      </c>
    </row>
    <row r="3" spans="1:7">
      <c r="A3" t="s">
        <v>91</v>
      </c>
      <c r="B3" s="4">
        <v>46023</v>
      </c>
      <c r="C3" s="5">
        <v>12879.19</v>
      </c>
      <c r="D3" s="5">
        <v>11057.93</v>
      </c>
      <c r="E3" t="s">
        <v>327</v>
      </c>
      <c r="F3" t="s">
        <v>2276</v>
      </c>
      <c r="G3" s="6">
        <f t="shared" si="0"/>
        <v>-0.14141106700033154</v>
      </c>
    </row>
    <row r="4" spans="1:7">
      <c r="A4" t="s">
        <v>91</v>
      </c>
      <c r="B4" s="4">
        <v>45901</v>
      </c>
      <c r="C4" s="5">
        <v>23805.8</v>
      </c>
      <c r="D4" s="5">
        <v>29008.82</v>
      </c>
      <c r="E4" t="s">
        <v>336</v>
      </c>
      <c r="F4" t="s">
        <v>2276</v>
      </c>
      <c r="G4" s="6">
        <f t="shared" si="0"/>
        <v>0.21856102294398846</v>
      </c>
    </row>
    <row r="5" spans="1:7">
      <c r="A5" t="s">
        <v>91</v>
      </c>
      <c r="B5" s="4">
        <v>46054</v>
      </c>
      <c r="C5" s="5">
        <v>28895.14</v>
      </c>
      <c r="D5" s="5">
        <v>22015.72</v>
      </c>
      <c r="E5" t="s">
        <v>322</v>
      </c>
      <c r="F5" t="s">
        <v>2275</v>
      </c>
      <c r="G5" s="6">
        <f t="shared" si="0"/>
        <v>-0.23808225189426313</v>
      </c>
    </row>
    <row r="6" spans="1:7">
      <c r="A6" t="s">
        <v>91</v>
      </c>
      <c r="B6" s="4">
        <v>45870</v>
      </c>
      <c r="C6" s="5">
        <v>22149.87</v>
      </c>
      <c r="D6" s="5">
        <v>18521.07</v>
      </c>
      <c r="E6" t="s">
        <v>327</v>
      </c>
      <c r="F6" t="s">
        <v>2276</v>
      </c>
      <c r="G6" s="6">
        <f t="shared" si="0"/>
        <v>-0.16382940396489909</v>
      </c>
    </row>
    <row r="7" spans="1:7">
      <c r="A7" t="s">
        <v>91</v>
      </c>
      <c r="B7" s="4">
        <v>45962</v>
      </c>
      <c r="C7" s="5">
        <v>23475.3</v>
      </c>
      <c r="D7" s="5">
        <v>24356.44</v>
      </c>
      <c r="E7" t="s">
        <v>322</v>
      </c>
      <c r="F7" t="s">
        <v>2276</v>
      </c>
      <c r="G7" s="6">
        <f t="shared" si="0"/>
        <v>3.7534770588661247E-2</v>
      </c>
    </row>
    <row r="8" spans="1:7">
      <c r="A8" t="s">
        <v>57</v>
      </c>
      <c r="B8" s="4">
        <v>45931</v>
      </c>
      <c r="C8" s="5">
        <v>31210.43</v>
      </c>
      <c r="D8" s="5">
        <v>24745.97</v>
      </c>
      <c r="E8" t="s">
        <v>322</v>
      </c>
      <c r="F8" t="s">
        <v>2277</v>
      </c>
      <c r="G8" s="6">
        <f t="shared" si="0"/>
        <v>-0.2071249899472708</v>
      </c>
    </row>
    <row r="9" spans="1:7">
      <c r="A9" t="s">
        <v>57</v>
      </c>
      <c r="B9" s="4">
        <v>45901</v>
      </c>
      <c r="C9" s="5">
        <v>21431.52</v>
      </c>
      <c r="D9" s="5">
        <v>17037.490000000002</v>
      </c>
      <c r="E9" t="s">
        <v>336</v>
      </c>
      <c r="F9" t="s">
        <v>2276</v>
      </c>
      <c r="G9" s="6">
        <f t="shared" si="0"/>
        <v>-0.20502652168394955</v>
      </c>
    </row>
    <row r="10" spans="1:7">
      <c r="A10" t="s">
        <v>57</v>
      </c>
      <c r="B10" s="4">
        <v>46054</v>
      </c>
      <c r="C10" s="5">
        <v>30279.08</v>
      </c>
      <c r="D10" s="5">
        <v>37212.33</v>
      </c>
      <c r="E10" t="s">
        <v>336</v>
      </c>
      <c r="F10" t="s">
        <v>2277</v>
      </c>
      <c r="G10" s="6">
        <f t="shared" si="0"/>
        <v>0.22897822523009284</v>
      </c>
    </row>
    <row r="11" spans="1:7">
      <c r="A11" t="s">
        <v>57</v>
      </c>
      <c r="B11" s="4">
        <v>45992</v>
      </c>
      <c r="C11" s="5">
        <v>22106.38</v>
      </c>
      <c r="D11" s="5">
        <v>26629.85</v>
      </c>
      <c r="E11" t="s">
        <v>327</v>
      </c>
      <c r="F11" t="s">
        <v>2275</v>
      </c>
      <c r="G11" s="6">
        <f t="shared" si="0"/>
        <v>0.20462282834186318</v>
      </c>
    </row>
    <row r="12" spans="1:7">
      <c r="A12" t="s">
        <v>57</v>
      </c>
      <c r="B12" s="4">
        <v>45839</v>
      </c>
      <c r="C12" s="5">
        <v>24514.26</v>
      </c>
      <c r="D12" s="5">
        <v>27009.85</v>
      </c>
      <c r="E12" t="s">
        <v>336</v>
      </c>
      <c r="F12" t="s">
        <v>2278</v>
      </c>
      <c r="G12" s="6">
        <f t="shared" si="0"/>
        <v>0.10180156366131388</v>
      </c>
    </row>
    <row r="13" spans="1:7">
      <c r="A13" t="s">
        <v>57</v>
      </c>
      <c r="B13" s="4">
        <v>46082</v>
      </c>
      <c r="C13" s="5">
        <v>16493.07</v>
      </c>
      <c r="D13" s="5">
        <v>17003.43</v>
      </c>
      <c r="E13" t="s">
        <v>322</v>
      </c>
      <c r="F13" t="s">
        <v>2276</v>
      </c>
      <c r="G13" s="6">
        <f t="shared" si="0"/>
        <v>3.0943905531232243E-2</v>
      </c>
    </row>
    <row r="14" spans="1:7">
      <c r="A14" t="s">
        <v>57</v>
      </c>
      <c r="B14" s="4">
        <v>46113</v>
      </c>
      <c r="C14" s="5">
        <v>23228.13</v>
      </c>
      <c r="D14" s="5">
        <v>23603.32</v>
      </c>
      <c r="E14" t="s">
        <v>327</v>
      </c>
      <c r="F14" t="s">
        <v>2275</v>
      </c>
      <c r="G14" s="6">
        <f t="shared" si="0"/>
        <v>1.6152397976074644E-2</v>
      </c>
    </row>
    <row r="15" spans="1:7">
      <c r="A15" t="s">
        <v>74</v>
      </c>
      <c r="B15" s="4">
        <v>46143</v>
      </c>
      <c r="C15" s="5">
        <v>12571.69</v>
      </c>
      <c r="D15" s="5">
        <v>9676.2900000000009</v>
      </c>
      <c r="E15" t="s">
        <v>336</v>
      </c>
      <c r="F15" t="s">
        <v>2275</v>
      </c>
      <c r="G15" s="6">
        <f t="shared" si="0"/>
        <v>-0.23031111966648871</v>
      </c>
    </row>
    <row r="16" spans="1:7">
      <c r="A16" t="s">
        <v>74</v>
      </c>
      <c r="B16" s="4">
        <v>46054</v>
      </c>
      <c r="C16" s="5">
        <v>17218.59</v>
      </c>
      <c r="D16" s="5">
        <v>14381.47</v>
      </c>
      <c r="E16" t="s">
        <v>322</v>
      </c>
      <c r="F16" t="s">
        <v>2278</v>
      </c>
      <c r="G16" s="6">
        <f t="shared" si="0"/>
        <v>-0.16477075068283761</v>
      </c>
    </row>
    <row r="17" spans="1:7">
      <c r="A17" t="s">
        <v>74</v>
      </c>
      <c r="B17" s="4">
        <v>45962</v>
      </c>
      <c r="C17" s="5">
        <v>26297.91</v>
      </c>
      <c r="D17" s="5">
        <v>27414.14</v>
      </c>
      <c r="E17" t="s">
        <v>322</v>
      </c>
      <c r="F17" t="s">
        <v>2275</v>
      </c>
      <c r="G17" s="6">
        <f t="shared" si="0"/>
        <v>4.2445578374859433E-2</v>
      </c>
    </row>
    <row r="18" spans="1:7">
      <c r="A18" t="s">
        <v>74</v>
      </c>
      <c r="B18" s="4">
        <v>45931</v>
      </c>
      <c r="C18" s="5">
        <v>25689.61</v>
      </c>
      <c r="D18" s="5">
        <v>31730.48</v>
      </c>
      <c r="E18" t="s">
        <v>327</v>
      </c>
      <c r="F18" t="s">
        <v>2278</v>
      </c>
      <c r="G18" s="6">
        <f t="shared" si="0"/>
        <v>0.23514837321391796</v>
      </c>
    </row>
    <row r="19" spans="1:7">
      <c r="A19" t="s">
        <v>74</v>
      </c>
      <c r="B19" s="4">
        <v>45870</v>
      </c>
      <c r="C19" s="5">
        <v>25551.599999999999</v>
      </c>
      <c r="D19" s="5">
        <v>31783.83</v>
      </c>
      <c r="E19" t="s">
        <v>336</v>
      </c>
      <c r="F19" t="s">
        <v>2277</v>
      </c>
      <c r="G19" s="6">
        <f t="shared" si="0"/>
        <v>0.24390762222326601</v>
      </c>
    </row>
    <row r="20" spans="1:7">
      <c r="A20" t="s">
        <v>74</v>
      </c>
      <c r="B20" s="4">
        <v>45992</v>
      </c>
      <c r="C20" s="5">
        <v>13891.3</v>
      </c>
      <c r="D20" s="5">
        <v>14752.78</v>
      </c>
      <c r="E20" t="s">
        <v>327</v>
      </c>
      <c r="F20" t="s">
        <v>2275</v>
      </c>
      <c r="G20" s="6">
        <f t="shared" si="0"/>
        <v>6.2015794058151608E-2</v>
      </c>
    </row>
    <row r="21" spans="1:7">
      <c r="A21" t="s">
        <v>74</v>
      </c>
      <c r="B21" s="4">
        <v>46174</v>
      </c>
      <c r="C21" s="5">
        <v>26064.52</v>
      </c>
      <c r="D21" s="5">
        <v>20994.6</v>
      </c>
      <c r="E21" t="s">
        <v>327</v>
      </c>
      <c r="F21" t="s">
        <v>2276</v>
      </c>
      <c r="G21" s="6">
        <f t="shared" si="0"/>
        <v>-0.19451422853749087</v>
      </c>
    </row>
    <row r="22" spans="1:7">
      <c r="A22" t="s">
        <v>74</v>
      </c>
      <c r="B22" s="4">
        <v>46082</v>
      </c>
      <c r="C22" s="5">
        <v>26802.15</v>
      </c>
      <c r="D22" s="5">
        <v>24399.32</v>
      </c>
      <c r="E22" t="s">
        <v>327</v>
      </c>
      <c r="F22" t="s">
        <v>2277</v>
      </c>
      <c r="G22" s="6">
        <f t="shared" si="0"/>
        <v>-8.965064369836008E-2</v>
      </c>
    </row>
    <row r="23" spans="1:7">
      <c r="A23" t="s">
        <v>38</v>
      </c>
      <c r="B23" s="4">
        <v>45839</v>
      </c>
      <c r="C23" s="5">
        <v>7616.23</v>
      </c>
      <c r="D23" s="5">
        <v>6779.38</v>
      </c>
      <c r="E23" t="s">
        <v>327</v>
      </c>
      <c r="F23" t="s">
        <v>2277</v>
      </c>
      <c r="G23" s="6">
        <f t="shared" si="0"/>
        <v>-0.10987719646071606</v>
      </c>
    </row>
    <row r="24" spans="1:7">
      <c r="A24" t="s">
        <v>38</v>
      </c>
      <c r="B24" s="4">
        <v>46113</v>
      </c>
      <c r="C24" s="5">
        <v>10255.700000000001</v>
      </c>
      <c r="D24" s="5">
        <v>12336.67</v>
      </c>
      <c r="E24" t="s">
        <v>322</v>
      </c>
      <c r="F24" t="s">
        <v>2276</v>
      </c>
      <c r="G24" s="6">
        <f t="shared" si="0"/>
        <v>0.20290862642237967</v>
      </c>
    </row>
    <row r="25" spans="1:7">
      <c r="A25" t="s">
        <v>38</v>
      </c>
      <c r="B25" s="4">
        <v>46143</v>
      </c>
      <c r="C25" s="5">
        <v>12126.35</v>
      </c>
      <c r="D25" s="5">
        <v>10690.07</v>
      </c>
      <c r="E25" t="s">
        <v>336</v>
      </c>
      <c r="F25" t="s">
        <v>2278</v>
      </c>
      <c r="G25" s="6">
        <f t="shared" si="0"/>
        <v>-0.11844289501787435</v>
      </c>
    </row>
    <row r="26" spans="1:7">
      <c r="A26" t="s">
        <v>38</v>
      </c>
      <c r="B26" s="4">
        <v>46023</v>
      </c>
      <c r="C26" s="5">
        <v>6271.89</v>
      </c>
      <c r="D26" s="5">
        <v>7055.87</v>
      </c>
      <c r="E26" t="s">
        <v>327</v>
      </c>
      <c r="F26" t="s">
        <v>2275</v>
      </c>
      <c r="G26" s="6">
        <f t="shared" si="0"/>
        <v>0.12499900349017593</v>
      </c>
    </row>
    <row r="27" spans="1:7">
      <c r="A27" t="s">
        <v>38</v>
      </c>
      <c r="B27" s="4">
        <v>45901</v>
      </c>
      <c r="C27" s="5">
        <v>11761.77</v>
      </c>
      <c r="D27" s="5">
        <v>10779.19</v>
      </c>
      <c r="E27" t="s">
        <v>322</v>
      </c>
      <c r="F27" t="s">
        <v>2276</v>
      </c>
      <c r="G27" s="6">
        <f t="shared" si="0"/>
        <v>-8.3540147443794593E-2</v>
      </c>
    </row>
    <row r="28" spans="1:7">
      <c r="A28" t="s">
        <v>38</v>
      </c>
      <c r="B28" s="4">
        <v>46054</v>
      </c>
      <c r="C28" s="5">
        <v>13647.71</v>
      </c>
      <c r="D28" s="5">
        <v>16558.39</v>
      </c>
      <c r="E28" t="s">
        <v>322</v>
      </c>
      <c r="F28" t="s">
        <v>2277</v>
      </c>
      <c r="G28" s="6">
        <f t="shared" si="0"/>
        <v>0.2132724098035495</v>
      </c>
    </row>
    <row r="29" spans="1:7">
      <c r="A29" t="s">
        <v>38</v>
      </c>
      <c r="B29" s="4">
        <v>46082</v>
      </c>
      <c r="C29" s="5">
        <v>8597.99</v>
      </c>
      <c r="D29" s="5">
        <v>7306.75</v>
      </c>
      <c r="E29" t="s">
        <v>336</v>
      </c>
      <c r="F29" t="s">
        <v>2275</v>
      </c>
      <c r="G29" s="6">
        <f t="shared" si="0"/>
        <v>-0.15017928608895798</v>
      </c>
    </row>
    <row r="30" spans="1:7">
      <c r="A30" t="s">
        <v>99</v>
      </c>
      <c r="B30" s="4">
        <v>46143</v>
      </c>
      <c r="C30" s="5">
        <v>62531.37</v>
      </c>
      <c r="D30" s="5">
        <v>51036.23</v>
      </c>
      <c r="E30" t="s">
        <v>336</v>
      </c>
      <c r="F30" t="s">
        <v>2278</v>
      </c>
      <c r="G30" s="6">
        <f t="shared" si="0"/>
        <v>-0.18382997206042342</v>
      </c>
    </row>
    <row r="31" spans="1:7">
      <c r="A31" t="s">
        <v>99</v>
      </c>
      <c r="B31" s="4">
        <v>45962</v>
      </c>
      <c r="C31" s="5">
        <v>55481.63</v>
      </c>
      <c r="D31" s="5">
        <v>55171.78</v>
      </c>
      <c r="E31" t="s">
        <v>336</v>
      </c>
      <c r="F31" t="s">
        <v>2277</v>
      </c>
      <c r="G31" s="6">
        <f t="shared" si="0"/>
        <v>-5.5847313786562972E-3</v>
      </c>
    </row>
    <row r="32" spans="1:7">
      <c r="A32" t="s">
        <v>99</v>
      </c>
      <c r="B32" s="4">
        <v>46023</v>
      </c>
      <c r="C32" s="5">
        <v>71910.38</v>
      </c>
      <c r="D32" s="5">
        <v>86967.55</v>
      </c>
      <c r="E32" t="s">
        <v>322</v>
      </c>
      <c r="F32" t="s">
        <v>2278</v>
      </c>
      <c r="G32" s="6">
        <f t="shared" si="0"/>
        <v>0.20938799099657096</v>
      </c>
    </row>
    <row r="33" spans="1:7">
      <c r="A33" t="s">
        <v>99</v>
      </c>
      <c r="B33" s="4">
        <v>45992</v>
      </c>
      <c r="C33" s="5">
        <v>69549.289999999994</v>
      </c>
      <c r="D33" s="5">
        <v>83313.759999999995</v>
      </c>
      <c r="E33" t="s">
        <v>322</v>
      </c>
      <c r="F33" t="s">
        <v>2276</v>
      </c>
      <c r="G33" s="6">
        <f t="shared" si="0"/>
        <v>0.19790956888273054</v>
      </c>
    </row>
    <row r="34" spans="1:7">
      <c r="A34" t="s">
        <v>99</v>
      </c>
      <c r="B34" s="4">
        <v>46082</v>
      </c>
      <c r="C34" s="5">
        <v>67034.63</v>
      </c>
      <c r="D34" s="5">
        <v>53863.99</v>
      </c>
      <c r="E34" t="s">
        <v>322</v>
      </c>
      <c r="F34" t="s">
        <v>2276</v>
      </c>
      <c r="G34" s="6">
        <f t="shared" si="0"/>
        <v>-0.1964751651497145</v>
      </c>
    </row>
    <row r="35" spans="1:7">
      <c r="A35" t="s">
        <v>99</v>
      </c>
      <c r="B35" s="4">
        <v>46113</v>
      </c>
      <c r="C35" s="5">
        <v>47335.199999999997</v>
      </c>
      <c r="D35" s="5">
        <v>39146.36</v>
      </c>
      <c r="E35" t="s">
        <v>322</v>
      </c>
      <c r="F35" t="s">
        <v>2277</v>
      </c>
      <c r="G35" s="6">
        <f t="shared" si="0"/>
        <v>-0.17299683956125667</v>
      </c>
    </row>
    <row r="36" spans="1:7">
      <c r="A36" t="s">
        <v>99</v>
      </c>
      <c r="B36" s="4">
        <v>46174</v>
      </c>
      <c r="C36" s="5">
        <v>69649.929999999993</v>
      </c>
      <c r="D36" s="5">
        <v>52573.34</v>
      </c>
      <c r="E36" t="s">
        <v>322</v>
      </c>
      <c r="F36" t="s">
        <v>2278</v>
      </c>
      <c r="G36" s="6">
        <f t="shared" si="0"/>
        <v>-0.24517741798161172</v>
      </c>
    </row>
    <row r="37" spans="1:7">
      <c r="A37" t="s">
        <v>99</v>
      </c>
      <c r="B37" s="4">
        <v>45931</v>
      </c>
      <c r="C37" s="5">
        <v>69944.36</v>
      </c>
      <c r="D37" s="5">
        <v>74052.22</v>
      </c>
      <c r="E37" t="s">
        <v>322</v>
      </c>
      <c r="F37" t="s">
        <v>2275</v>
      </c>
      <c r="G37" s="6">
        <f t="shared" si="0"/>
        <v>5.8730396560923576E-2</v>
      </c>
    </row>
    <row r="38" spans="1:7">
      <c r="A38" t="s">
        <v>99</v>
      </c>
      <c r="B38" s="4">
        <v>46054</v>
      </c>
      <c r="C38" s="5">
        <v>59059.81</v>
      </c>
      <c r="D38" s="5">
        <v>54066.32</v>
      </c>
      <c r="E38" t="s">
        <v>327</v>
      </c>
      <c r="F38" t="s">
        <v>2277</v>
      </c>
      <c r="G38" s="6">
        <f t="shared" si="0"/>
        <v>-8.4549713248315533E-2</v>
      </c>
    </row>
    <row r="39" spans="1:7">
      <c r="A39" t="s">
        <v>226</v>
      </c>
      <c r="B39" s="4">
        <v>46174</v>
      </c>
      <c r="C39" s="5">
        <v>44406.03</v>
      </c>
      <c r="D39" s="5">
        <v>49251.94</v>
      </c>
      <c r="E39" t="s">
        <v>322</v>
      </c>
      <c r="F39" t="s">
        <v>2277</v>
      </c>
      <c r="G39" s="6">
        <f t="shared" si="0"/>
        <v>0.10912729645050466</v>
      </c>
    </row>
    <row r="40" spans="1:7">
      <c r="A40" t="s">
        <v>226</v>
      </c>
      <c r="B40" s="4">
        <v>45901</v>
      </c>
      <c r="C40" s="5">
        <v>57296.52</v>
      </c>
      <c r="D40" s="5">
        <v>62613.67</v>
      </c>
      <c r="E40" t="s">
        <v>322</v>
      </c>
      <c r="F40" t="s">
        <v>2277</v>
      </c>
      <c r="G40" s="6">
        <f t="shared" si="0"/>
        <v>9.2800574973837882E-2</v>
      </c>
    </row>
    <row r="41" spans="1:7">
      <c r="A41" t="s">
        <v>226</v>
      </c>
      <c r="B41" s="4">
        <v>45931</v>
      </c>
      <c r="C41" s="5">
        <v>72094.84</v>
      </c>
      <c r="D41" s="5">
        <v>68017.91</v>
      </c>
      <c r="E41" t="s">
        <v>327</v>
      </c>
      <c r="F41" t="s">
        <v>2276</v>
      </c>
      <c r="G41" s="6">
        <f t="shared" si="0"/>
        <v>-5.6549539467734354E-2</v>
      </c>
    </row>
    <row r="42" spans="1:7">
      <c r="A42" t="s">
        <v>226</v>
      </c>
      <c r="B42" s="4">
        <v>45870</v>
      </c>
      <c r="C42" s="5">
        <v>59540.93</v>
      </c>
      <c r="D42" s="5">
        <v>50529.4</v>
      </c>
      <c r="E42" t="s">
        <v>336</v>
      </c>
      <c r="F42" t="s">
        <v>2276</v>
      </c>
      <c r="G42" s="6">
        <f t="shared" si="0"/>
        <v>-0.15135017205811194</v>
      </c>
    </row>
    <row r="43" spans="1:7">
      <c r="A43" t="s">
        <v>80</v>
      </c>
      <c r="B43" s="4">
        <v>46143</v>
      </c>
      <c r="C43" s="5">
        <v>10446.35</v>
      </c>
      <c r="D43" s="5">
        <v>9209.82</v>
      </c>
      <c r="E43" t="s">
        <v>327</v>
      </c>
      <c r="F43" t="s">
        <v>2276</v>
      </c>
      <c r="G43" s="6">
        <f t="shared" si="0"/>
        <v>-0.11836957406175369</v>
      </c>
    </row>
    <row r="44" spans="1:7">
      <c r="A44" t="s">
        <v>80</v>
      </c>
      <c r="B44" s="4">
        <v>46113</v>
      </c>
      <c r="C44" s="5">
        <v>8700.5400000000009</v>
      </c>
      <c r="D44" s="5">
        <v>9583.07</v>
      </c>
      <c r="E44" t="s">
        <v>322</v>
      </c>
      <c r="F44" t="s">
        <v>2276</v>
      </c>
      <c r="G44" s="6">
        <f t="shared" si="0"/>
        <v>0.10143393398570649</v>
      </c>
    </row>
    <row r="45" spans="1:7">
      <c r="A45" t="s">
        <v>80</v>
      </c>
      <c r="B45" s="4">
        <v>45839</v>
      </c>
      <c r="C45" s="5">
        <v>5435.09</v>
      </c>
      <c r="D45" s="5">
        <v>4949.75</v>
      </c>
      <c r="E45" t="s">
        <v>322</v>
      </c>
      <c r="F45" t="s">
        <v>2276</v>
      </c>
      <c r="G45" s="6">
        <f t="shared" si="0"/>
        <v>-8.9297509332872158E-2</v>
      </c>
    </row>
    <row r="46" spans="1:7">
      <c r="A46" t="s">
        <v>80</v>
      </c>
      <c r="B46" s="4">
        <v>46054</v>
      </c>
      <c r="C46" s="5">
        <v>6756.88</v>
      </c>
      <c r="D46" s="5">
        <v>7892.17</v>
      </c>
      <c r="E46" t="s">
        <v>336</v>
      </c>
      <c r="F46" t="s">
        <v>2275</v>
      </c>
      <c r="G46" s="6">
        <f t="shared" si="0"/>
        <v>0.168019855317839</v>
      </c>
    </row>
    <row r="47" spans="1:7">
      <c r="A47" t="s">
        <v>80</v>
      </c>
      <c r="B47" s="4">
        <v>45901</v>
      </c>
      <c r="C47" s="5">
        <v>7469.83</v>
      </c>
      <c r="D47" s="5">
        <v>6668.33</v>
      </c>
      <c r="E47" t="s">
        <v>336</v>
      </c>
      <c r="F47" t="s">
        <v>2278</v>
      </c>
      <c r="G47" s="6">
        <f t="shared" si="0"/>
        <v>-0.10729829192899973</v>
      </c>
    </row>
    <row r="48" spans="1:7">
      <c r="A48" t="s">
        <v>80</v>
      </c>
      <c r="B48" s="4">
        <v>45962</v>
      </c>
      <c r="C48" s="5">
        <v>9493.16</v>
      </c>
      <c r="D48" s="5">
        <v>10610.71</v>
      </c>
      <c r="E48" t="s">
        <v>327</v>
      </c>
      <c r="F48" t="s">
        <v>2277</v>
      </c>
      <c r="G48" s="6">
        <f t="shared" si="0"/>
        <v>0.11772160165845717</v>
      </c>
    </row>
    <row r="49" spans="1:7">
      <c r="A49" t="s">
        <v>80</v>
      </c>
      <c r="B49" s="4">
        <v>46174</v>
      </c>
      <c r="C49" s="5">
        <v>8413.25</v>
      </c>
      <c r="D49" s="5">
        <v>10382.540000000001</v>
      </c>
      <c r="E49" t="s">
        <v>336</v>
      </c>
      <c r="F49" t="s">
        <v>2278</v>
      </c>
      <c r="G49" s="6">
        <f t="shared" si="0"/>
        <v>0.23407006804742531</v>
      </c>
    </row>
    <row r="50" spans="1:7">
      <c r="A50" t="s">
        <v>80</v>
      </c>
      <c r="B50" s="4">
        <v>45992</v>
      </c>
      <c r="C50" s="5">
        <v>9046.42</v>
      </c>
      <c r="D50" s="5">
        <v>7077.26</v>
      </c>
      <c r="E50" t="s">
        <v>322</v>
      </c>
      <c r="F50" t="s">
        <v>2275</v>
      </c>
      <c r="G50" s="6">
        <f t="shared" si="0"/>
        <v>-0.21767284738051074</v>
      </c>
    </row>
    <row r="51" spans="1:7">
      <c r="A51" t="s">
        <v>80</v>
      </c>
      <c r="B51" s="4">
        <v>45870</v>
      </c>
      <c r="C51" s="5">
        <v>6435.73</v>
      </c>
      <c r="D51" s="5">
        <v>7185.22</v>
      </c>
      <c r="E51" t="s">
        <v>327</v>
      </c>
      <c r="F51" t="s">
        <v>2275</v>
      </c>
      <c r="G51" s="6">
        <f t="shared" si="0"/>
        <v>0.11645765126877615</v>
      </c>
    </row>
    <row r="52" spans="1:7">
      <c r="A52" t="s">
        <v>7</v>
      </c>
      <c r="B52" s="4">
        <v>46054</v>
      </c>
      <c r="C52" s="5">
        <v>17960.009999999998</v>
      </c>
      <c r="D52" s="5">
        <v>19999.810000000001</v>
      </c>
      <c r="E52" t="s">
        <v>336</v>
      </c>
      <c r="F52" t="s">
        <v>2275</v>
      </c>
      <c r="G52" s="6">
        <f t="shared" si="0"/>
        <v>0.1135745470074907</v>
      </c>
    </row>
    <row r="53" spans="1:7">
      <c r="A53" t="s">
        <v>7</v>
      </c>
      <c r="B53" s="4">
        <v>45839</v>
      </c>
      <c r="C53" s="5">
        <v>14892.41</v>
      </c>
      <c r="D53" s="5">
        <v>17207.919999999998</v>
      </c>
      <c r="E53" t="s">
        <v>336</v>
      </c>
      <c r="F53" t="s">
        <v>2275</v>
      </c>
      <c r="G53" s="6">
        <f t="shared" si="0"/>
        <v>0.15548255789358462</v>
      </c>
    </row>
    <row r="54" spans="1:7">
      <c r="A54" t="s">
        <v>7</v>
      </c>
      <c r="B54" s="4">
        <v>45870</v>
      </c>
      <c r="C54" s="5">
        <v>14051.49</v>
      </c>
      <c r="D54" s="5">
        <v>13974.82</v>
      </c>
      <c r="E54" t="s">
        <v>327</v>
      </c>
      <c r="F54" t="s">
        <v>2276</v>
      </c>
      <c r="G54" s="6">
        <f t="shared" si="0"/>
        <v>-5.4563608556815026E-3</v>
      </c>
    </row>
    <row r="55" spans="1:7">
      <c r="A55" t="s">
        <v>7</v>
      </c>
      <c r="B55" s="4">
        <v>45992</v>
      </c>
      <c r="C55" s="5">
        <v>13003.19</v>
      </c>
      <c r="D55" s="5">
        <v>10861.26</v>
      </c>
      <c r="E55" t="s">
        <v>327</v>
      </c>
      <c r="F55" t="s">
        <v>2278</v>
      </c>
      <c r="G55" s="6">
        <f t="shared" si="0"/>
        <v>-0.16472342555942043</v>
      </c>
    </row>
    <row r="56" spans="1:7">
      <c r="A56" t="s">
        <v>7</v>
      </c>
      <c r="B56" s="4">
        <v>46082</v>
      </c>
      <c r="C56" s="5">
        <v>15642.56</v>
      </c>
      <c r="D56" s="5">
        <v>18614.45</v>
      </c>
      <c r="E56" t="s">
        <v>336</v>
      </c>
      <c r="F56" t="s">
        <v>2275</v>
      </c>
      <c r="G56" s="6">
        <f t="shared" si="0"/>
        <v>0.18998744451036156</v>
      </c>
    </row>
    <row r="57" spans="1:7">
      <c r="A57" t="s">
        <v>7</v>
      </c>
      <c r="B57" s="4">
        <v>46174</v>
      </c>
      <c r="C57" s="5">
        <v>16425.73</v>
      </c>
      <c r="D57" s="5">
        <v>19703.400000000001</v>
      </c>
      <c r="E57" t="s">
        <v>336</v>
      </c>
      <c r="F57" t="s">
        <v>2276</v>
      </c>
      <c r="G57" s="6">
        <f t="shared" si="0"/>
        <v>0.19954486041107469</v>
      </c>
    </row>
    <row r="58" spans="1:7">
      <c r="A58" t="s">
        <v>7</v>
      </c>
      <c r="B58" s="4">
        <v>46023</v>
      </c>
      <c r="C58" s="5">
        <v>11753</v>
      </c>
      <c r="D58" s="5">
        <v>13225.37</v>
      </c>
      <c r="E58" t="s">
        <v>336</v>
      </c>
      <c r="F58" t="s">
        <v>2277</v>
      </c>
      <c r="G58" s="6">
        <f t="shared" si="0"/>
        <v>0.12527609971922068</v>
      </c>
    </row>
    <row r="59" spans="1:7">
      <c r="A59" t="s">
        <v>7</v>
      </c>
      <c r="B59" s="4">
        <v>45962</v>
      </c>
      <c r="C59" s="5">
        <v>22380.17</v>
      </c>
      <c r="D59" s="5">
        <v>25605.88</v>
      </c>
      <c r="E59" t="s">
        <v>336</v>
      </c>
      <c r="F59" t="s">
        <v>2276</v>
      </c>
      <c r="G59" s="6">
        <f t="shared" si="0"/>
        <v>0.14413250658953899</v>
      </c>
    </row>
    <row r="60" spans="1:7">
      <c r="A60" t="s">
        <v>7</v>
      </c>
      <c r="B60" s="4">
        <v>46143</v>
      </c>
      <c r="C60" s="5">
        <v>15492.68</v>
      </c>
      <c r="D60" s="5">
        <v>11727.57</v>
      </c>
      <c r="E60" t="s">
        <v>327</v>
      </c>
      <c r="F60" t="s">
        <v>2276</v>
      </c>
      <c r="G60" s="6">
        <f t="shared" si="0"/>
        <v>-0.24302509314076071</v>
      </c>
    </row>
    <row r="61" spans="1:7">
      <c r="A61" t="s">
        <v>67</v>
      </c>
      <c r="B61" s="4">
        <v>45931</v>
      </c>
      <c r="C61" s="5">
        <v>19038.78</v>
      </c>
      <c r="D61" s="5">
        <v>17490.12</v>
      </c>
      <c r="E61" t="s">
        <v>322</v>
      </c>
      <c r="F61" t="s">
        <v>2275</v>
      </c>
      <c r="G61" s="6">
        <f t="shared" si="0"/>
        <v>-8.1342396939299677E-2</v>
      </c>
    </row>
    <row r="62" spans="1:7">
      <c r="A62" t="s">
        <v>67</v>
      </c>
      <c r="B62" s="4">
        <v>45870</v>
      </c>
      <c r="C62" s="5">
        <v>24688.91</v>
      </c>
      <c r="D62" s="5">
        <v>22263.5</v>
      </c>
      <c r="E62" t="s">
        <v>327</v>
      </c>
      <c r="F62" t="s">
        <v>2278</v>
      </c>
      <c r="G62" s="6">
        <f t="shared" si="0"/>
        <v>-9.8238844890276636E-2</v>
      </c>
    </row>
    <row r="63" spans="1:7">
      <c r="A63" t="s">
        <v>67</v>
      </c>
      <c r="B63" s="4">
        <v>45839</v>
      </c>
      <c r="C63" s="5">
        <v>20853.66</v>
      </c>
      <c r="D63" s="5">
        <v>20713.259999999998</v>
      </c>
      <c r="E63" t="s">
        <v>327</v>
      </c>
      <c r="F63" t="s">
        <v>2275</v>
      </c>
      <c r="G63" s="6">
        <f t="shared" si="0"/>
        <v>-6.7326311064820977E-3</v>
      </c>
    </row>
    <row r="64" spans="1:7">
      <c r="A64" t="s">
        <v>67</v>
      </c>
      <c r="B64" s="4">
        <v>46023</v>
      </c>
      <c r="C64" s="5">
        <v>25636.1</v>
      </c>
      <c r="D64" s="5">
        <v>31370.01</v>
      </c>
      <c r="E64" t="s">
        <v>322</v>
      </c>
      <c r="F64" t="s">
        <v>2275</v>
      </c>
      <c r="G64" s="6">
        <f t="shared" si="0"/>
        <v>0.22366545613412336</v>
      </c>
    </row>
    <row r="65" spans="1:7">
      <c r="A65" t="s">
        <v>67</v>
      </c>
      <c r="B65" s="4">
        <v>46054</v>
      </c>
      <c r="C65" s="5">
        <v>38138.97</v>
      </c>
      <c r="D65" s="5">
        <v>29743.83</v>
      </c>
      <c r="E65" t="s">
        <v>322</v>
      </c>
      <c r="F65" t="s">
        <v>2277</v>
      </c>
      <c r="G65" s="6">
        <f t="shared" si="0"/>
        <v>-0.2201197357977942</v>
      </c>
    </row>
    <row r="66" spans="1:7">
      <c r="A66" t="s">
        <v>164</v>
      </c>
      <c r="B66" s="4">
        <v>46054</v>
      </c>
      <c r="C66" s="5">
        <v>46416.08</v>
      </c>
      <c r="D66" s="5">
        <v>57018.83</v>
      </c>
      <c r="E66" t="s">
        <v>327</v>
      </c>
      <c r="F66" t="s">
        <v>2276</v>
      </c>
      <c r="G66" s="6">
        <f t="shared" ref="G66:G129" si="1">IF(C66=0,0,(D66-C66)/C66)</f>
        <v>0.22842838085422121</v>
      </c>
    </row>
    <row r="67" spans="1:7">
      <c r="A67" t="s">
        <v>164</v>
      </c>
      <c r="B67" s="4">
        <v>46113</v>
      </c>
      <c r="C67" s="5">
        <v>40322.07</v>
      </c>
      <c r="D67" s="5">
        <v>36503.81</v>
      </c>
      <c r="E67" t="s">
        <v>327</v>
      </c>
      <c r="F67" t="s">
        <v>2275</v>
      </c>
      <c r="G67" s="6">
        <f t="shared" si="1"/>
        <v>-9.4694047205413856E-2</v>
      </c>
    </row>
    <row r="68" spans="1:7">
      <c r="A68" t="s">
        <v>164</v>
      </c>
      <c r="B68" s="4">
        <v>45962</v>
      </c>
      <c r="C68" s="5">
        <v>51274.39</v>
      </c>
      <c r="D68" s="5">
        <v>53815.44</v>
      </c>
      <c r="E68" t="s">
        <v>327</v>
      </c>
      <c r="F68" t="s">
        <v>2278</v>
      </c>
      <c r="G68" s="6">
        <f t="shared" si="1"/>
        <v>4.9557878699288335E-2</v>
      </c>
    </row>
    <row r="69" spans="1:7">
      <c r="A69" t="s">
        <v>164</v>
      </c>
      <c r="B69" s="4">
        <v>45901</v>
      </c>
      <c r="C69" s="5">
        <v>40423.019999999997</v>
      </c>
      <c r="D69" s="5">
        <v>37863.33</v>
      </c>
      <c r="E69" t="s">
        <v>327</v>
      </c>
      <c r="F69" t="s">
        <v>2276</v>
      </c>
      <c r="G69" s="6">
        <f t="shared" si="1"/>
        <v>-6.332258203370246E-2</v>
      </c>
    </row>
    <row r="70" spans="1:7">
      <c r="A70" t="s">
        <v>164</v>
      </c>
      <c r="B70" s="4">
        <v>45931</v>
      </c>
      <c r="C70" s="5">
        <v>41565.01</v>
      </c>
      <c r="D70" s="5">
        <v>51341.74</v>
      </c>
      <c r="E70" t="s">
        <v>322</v>
      </c>
      <c r="F70" t="s">
        <v>2277</v>
      </c>
      <c r="G70" s="6">
        <f t="shared" si="1"/>
        <v>0.2352153890977049</v>
      </c>
    </row>
    <row r="71" spans="1:7">
      <c r="A71" t="s">
        <v>164</v>
      </c>
      <c r="B71" s="4">
        <v>46143</v>
      </c>
      <c r="C71" s="5">
        <v>44674.09</v>
      </c>
      <c r="D71" s="5">
        <v>42820.13</v>
      </c>
      <c r="E71" t="s">
        <v>322</v>
      </c>
      <c r="F71" t="s">
        <v>2278</v>
      </c>
      <c r="G71" s="6">
        <f t="shared" si="1"/>
        <v>-4.1499670166756597E-2</v>
      </c>
    </row>
    <row r="72" spans="1:7">
      <c r="A72" t="s">
        <v>164</v>
      </c>
      <c r="B72" s="4">
        <v>46174</v>
      </c>
      <c r="C72" s="5">
        <v>54349.15</v>
      </c>
      <c r="D72" s="5">
        <v>65494.7</v>
      </c>
      <c r="E72" t="s">
        <v>336</v>
      </c>
      <c r="F72" t="s">
        <v>2275</v>
      </c>
      <c r="G72" s="6">
        <f t="shared" si="1"/>
        <v>0.20507312441868908</v>
      </c>
    </row>
    <row r="73" spans="1:7">
      <c r="A73" t="s">
        <v>164</v>
      </c>
      <c r="B73" s="4">
        <v>45870</v>
      </c>
      <c r="C73" s="5">
        <v>58301.120000000003</v>
      </c>
      <c r="D73" s="5">
        <v>59904.28</v>
      </c>
      <c r="E73" t="s">
        <v>327</v>
      </c>
      <c r="F73" t="s">
        <v>2278</v>
      </c>
      <c r="G73" s="6">
        <f t="shared" si="1"/>
        <v>2.7497927998638726E-2</v>
      </c>
    </row>
    <row r="74" spans="1:7">
      <c r="A74" t="s">
        <v>164</v>
      </c>
      <c r="B74" s="4">
        <v>45992</v>
      </c>
      <c r="C74" s="5">
        <v>54752.18</v>
      </c>
      <c r="D74" s="5">
        <v>65753.42</v>
      </c>
      <c r="E74" t="s">
        <v>336</v>
      </c>
      <c r="F74" t="s">
        <v>2276</v>
      </c>
      <c r="G74" s="6">
        <f t="shared" si="1"/>
        <v>0.20092788999451708</v>
      </c>
    </row>
    <row r="75" spans="1:7">
      <c r="A75" t="s">
        <v>71</v>
      </c>
      <c r="B75" s="4">
        <v>45931</v>
      </c>
      <c r="C75" s="5">
        <v>4110.67</v>
      </c>
      <c r="D75" s="5">
        <v>3387.92</v>
      </c>
      <c r="E75" t="s">
        <v>336</v>
      </c>
      <c r="F75" t="s">
        <v>2277</v>
      </c>
      <c r="G75" s="6">
        <f t="shared" si="1"/>
        <v>-0.17582291937810623</v>
      </c>
    </row>
    <row r="76" spans="1:7">
      <c r="A76" t="s">
        <v>71</v>
      </c>
      <c r="B76" s="4">
        <v>46174</v>
      </c>
      <c r="C76" s="5">
        <v>4678.26</v>
      </c>
      <c r="D76" s="5">
        <v>4590.99</v>
      </c>
      <c r="E76" t="s">
        <v>327</v>
      </c>
      <c r="F76" t="s">
        <v>2278</v>
      </c>
      <c r="G76" s="6">
        <f t="shared" si="1"/>
        <v>-1.8654371497095167E-2</v>
      </c>
    </row>
    <row r="77" spans="1:7">
      <c r="A77" t="s">
        <v>71</v>
      </c>
      <c r="B77" s="4">
        <v>46054</v>
      </c>
      <c r="C77" s="5">
        <v>2869.74</v>
      </c>
      <c r="D77" s="5">
        <v>2711.3</v>
      </c>
      <c r="E77" t="s">
        <v>322</v>
      </c>
      <c r="F77" t="s">
        <v>2278</v>
      </c>
      <c r="G77" s="6">
        <f t="shared" si="1"/>
        <v>-5.5210576567911937E-2</v>
      </c>
    </row>
    <row r="78" spans="1:7">
      <c r="A78" t="s">
        <v>71</v>
      </c>
      <c r="B78" s="4">
        <v>46113</v>
      </c>
      <c r="C78" s="5">
        <v>5392.86</v>
      </c>
      <c r="D78" s="5">
        <v>5025.5600000000004</v>
      </c>
      <c r="E78" t="s">
        <v>322</v>
      </c>
      <c r="F78" t="s">
        <v>2275</v>
      </c>
      <c r="G78" s="6">
        <f t="shared" si="1"/>
        <v>-6.8108573187510763E-2</v>
      </c>
    </row>
    <row r="79" spans="1:7">
      <c r="A79" t="s">
        <v>71</v>
      </c>
      <c r="B79" s="4">
        <v>45839</v>
      </c>
      <c r="C79" s="5">
        <v>3572.56</v>
      </c>
      <c r="D79" s="5">
        <v>3810.26</v>
      </c>
      <c r="E79" t="s">
        <v>336</v>
      </c>
      <c r="F79" t="s">
        <v>2278</v>
      </c>
      <c r="G79" s="6">
        <f t="shared" si="1"/>
        <v>6.6534921736793859E-2</v>
      </c>
    </row>
    <row r="80" spans="1:7">
      <c r="A80" t="s">
        <v>71</v>
      </c>
      <c r="B80" s="4">
        <v>45901</v>
      </c>
      <c r="C80" s="5">
        <v>5834.62</v>
      </c>
      <c r="D80" s="5">
        <v>5783.72</v>
      </c>
      <c r="E80" t="s">
        <v>322</v>
      </c>
      <c r="F80" t="s">
        <v>2278</v>
      </c>
      <c r="G80" s="6">
        <f t="shared" si="1"/>
        <v>-8.7237900668766157E-3</v>
      </c>
    </row>
    <row r="81" spans="1:7">
      <c r="A81" t="s">
        <v>71</v>
      </c>
      <c r="B81" s="4">
        <v>45962</v>
      </c>
      <c r="C81" s="5">
        <v>6350.33</v>
      </c>
      <c r="D81" s="5">
        <v>6301.74</v>
      </c>
      <c r="E81" t="s">
        <v>336</v>
      </c>
      <c r="F81" t="s">
        <v>2276</v>
      </c>
      <c r="G81" s="6">
        <f t="shared" si="1"/>
        <v>-7.6515708632465002E-3</v>
      </c>
    </row>
    <row r="82" spans="1:7">
      <c r="A82" t="s">
        <v>71</v>
      </c>
      <c r="B82" s="4">
        <v>46082</v>
      </c>
      <c r="C82" s="5">
        <v>5831.88</v>
      </c>
      <c r="D82" s="5">
        <v>6257.15</v>
      </c>
      <c r="E82" t="s">
        <v>327</v>
      </c>
      <c r="F82" t="s">
        <v>2277</v>
      </c>
      <c r="G82" s="6">
        <f t="shared" si="1"/>
        <v>7.292159646631953E-2</v>
      </c>
    </row>
    <row r="83" spans="1:7">
      <c r="A83" t="s">
        <v>43</v>
      </c>
      <c r="B83" s="4">
        <v>46174</v>
      </c>
      <c r="C83" s="5">
        <v>12213.39</v>
      </c>
      <c r="D83" s="5">
        <v>13988.66</v>
      </c>
      <c r="E83" t="s">
        <v>336</v>
      </c>
      <c r="F83" t="s">
        <v>2277</v>
      </c>
      <c r="G83" s="6">
        <f t="shared" si="1"/>
        <v>0.14535440201287281</v>
      </c>
    </row>
    <row r="84" spans="1:7">
      <c r="A84" t="s">
        <v>43</v>
      </c>
      <c r="B84" s="4">
        <v>45931</v>
      </c>
      <c r="C84" s="5">
        <v>12415.69</v>
      </c>
      <c r="D84" s="5">
        <v>10579.66</v>
      </c>
      <c r="E84" t="s">
        <v>336</v>
      </c>
      <c r="F84" t="s">
        <v>2277</v>
      </c>
      <c r="G84" s="6">
        <f t="shared" si="1"/>
        <v>-0.1478798198086454</v>
      </c>
    </row>
    <row r="85" spans="1:7">
      <c r="A85" t="s">
        <v>43</v>
      </c>
      <c r="B85" s="4">
        <v>46082</v>
      </c>
      <c r="C85" s="5">
        <v>8949.6</v>
      </c>
      <c r="D85" s="5">
        <v>9593.92</v>
      </c>
      <c r="E85" t="s">
        <v>336</v>
      </c>
      <c r="F85" t="s">
        <v>2277</v>
      </c>
      <c r="G85" s="6">
        <f t="shared" si="1"/>
        <v>7.1994279073925055E-2</v>
      </c>
    </row>
    <row r="86" spans="1:7">
      <c r="A86" t="s">
        <v>43</v>
      </c>
      <c r="B86" s="4">
        <v>46113</v>
      </c>
      <c r="C86" s="5">
        <v>13322.3</v>
      </c>
      <c r="D86" s="5">
        <v>15159.42</v>
      </c>
      <c r="E86" t="s">
        <v>322</v>
      </c>
      <c r="F86" t="s">
        <v>2275</v>
      </c>
      <c r="G86" s="6">
        <f t="shared" si="1"/>
        <v>0.13789811068659322</v>
      </c>
    </row>
    <row r="87" spans="1:7">
      <c r="A87" t="s">
        <v>211</v>
      </c>
      <c r="B87" s="4">
        <v>45901</v>
      </c>
      <c r="C87" s="5">
        <v>10219.17</v>
      </c>
      <c r="D87" s="5">
        <v>10763.56</v>
      </c>
      <c r="E87" t="s">
        <v>336</v>
      </c>
      <c r="F87" t="s">
        <v>2276</v>
      </c>
      <c r="G87" s="6">
        <f t="shared" si="1"/>
        <v>5.3271449638277804E-2</v>
      </c>
    </row>
    <row r="88" spans="1:7">
      <c r="A88" t="s">
        <v>211</v>
      </c>
      <c r="B88" s="4">
        <v>46113</v>
      </c>
      <c r="C88" s="5">
        <v>14814.23</v>
      </c>
      <c r="D88" s="5">
        <v>13501.72</v>
      </c>
      <c r="E88" t="s">
        <v>322</v>
      </c>
      <c r="F88" t="s">
        <v>2277</v>
      </c>
      <c r="G88" s="6">
        <f t="shared" si="1"/>
        <v>-8.8597922402986876E-2</v>
      </c>
    </row>
    <row r="89" spans="1:7">
      <c r="A89" t="s">
        <v>211</v>
      </c>
      <c r="B89" s="4">
        <v>46054</v>
      </c>
      <c r="C89" s="5">
        <v>8500.81</v>
      </c>
      <c r="D89" s="5">
        <v>7763.53</v>
      </c>
      <c r="E89" t="s">
        <v>336</v>
      </c>
      <c r="F89" t="s">
        <v>2278</v>
      </c>
      <c r="G89" s="6">
        <f t="shared" si="1"/>
        <v>-8.6730558617355263E-2</v>
      </c>
    </row>
    <row r="90" spans="1:7">
      <c r="A90" t="s">
        <v>211</v>
      </c>
      <c r="B90" s="4">
        <v>45992</v>
      </c>
      <c r="C90" s="5">
        <v>9556.83</v>
      </c>
      <c r="D90" s="5">
        <v>11142.33</v>
      </c>
      <c r="E90" t="s">
        <v>336</v>
      </c>
      <c r="F90" t="s">
        <v>2277</v>
      </c>
      <c r="G90" s="6">
        <f t="shared" si="1"/>
        <v>0.16590229186874728</v>
      </c>
    </row>
    <row r="91" spans="1:7">
      <c r="A91" t="s">
        <v>211</v>
      </c>
      <c r="B91" s="4">
        <v>45870</v>
      </c>
      <c r="C91" s="5">
        <v>15315.59</v>
      </c>
      <c r="D91" s="5">
        <v>16436.14</v>
      </c>
      <c r="E91" t="s">
        <v>336</v>
      </c>
      <c r="F91" t="s">
        <v>2276</v>
      </c>
      <c r="G91" s="6">
        <f t="shared" si="1"/>
        <v>7.3164011311350016E-2</v>
      </c>
    </row>
    <row r="92" spans="1:7">
      <c r="A92" t="s">
        <v>211</v>
      </c>
      <c r="B92" s="4">
        <v>46174</v>
      </c>
      <c r="C92" s="5">
        <v>11742.15</v>
      </c>
      <c r="D92" s="5">
        <v>13715.26</v>
      </c>
      <c r="E92" t="s">
        <v>322</v>
      </c>
      <c r="F92" t="s">
        <v>2278</v>
      </c>
      <c r="G92" s="6">
        <f t="shared" si="1"/>
        <v>0.16803651801416269</v>
      </c>
    </row>
    <row r="93" spans="1:7">
      <c r="A93" t="s">
        <v>211</v>
      </c>
      <c r="B93" s="4">
        <v>45931</v>
      </c>
      <c r="C93" s="5">
        <v>11711.46</v>
      </c>
      <c r="D93" s="5">
        <v>13213.4</v>
      </c>
      <c r="E93" t="s">
        <v>322</v>
      </c>
      <c r="F93" t="s">
        <v>2277</v>
      </c>
      <c r="G93" s="6">
        <f t="shared" si="1"/>
        <v>0.12824532551876544</v>
      </c>
    </row>
    <row r="94" spans="1:7">
      <c r="A94" t="s">
        <v>211</v>
      </c>
      <c r="B94" s="4">
        <v>46023</v>
      </c>
      <c r="C94" s="5">
        <v>16425.48</v>
      </c>
      <c r="D94" s="5">
        <v>18180.25</v>
      </c>
      <c r="E94" t="s">
        <v>336</v>
      </c>
      <c r="F94" t="s">
        <v>2277</v>
      </c>
      <c r="G94" s="6">
        <f t="shared" si="1"/>
        <v>0.10683218998775076</v>
      </c>
    </row>
    <row r="95" spans="1:7">
      <c r="A95" t="s">
        <v>159</v>
      </c>
      <c r="B95" s="4">
        <v>45901</v>
      </c>
      <c r="C95" s="5">
        <v>15167.33</v>
      </c>
      <c r="D95" s="5">
        <v>14108.02</v>
      </c>
      <c r="E95" t="s">
        <v>336</v>
      </c>
      <c r="F95" t="s">
        <v>2278</v>
      </c>
      <c r="G95" s="6">
        <f t="shared" si="1"/>
        <v>-6.984156077569352E-2</v>
      </c>
    </row>
    <row r="96" spans="1:7">
      <c r="A96" t="s">
        <v>159</v>
      </c>
      <c r="B96" s="4">
        <v>45870</v>
      </c>
      <c r="C96" s="5">
        <v>14953.36</v>
      </c>
      <c r="D96" s="5">
        <v>13783.81</v>
      </c>
      <c r="E96" t="s">
        <v>322</v>
      </c>
      <c r="F96" t="s">
        <v>2275</v>
      </c>
      <c r="G96" s="6">
        <f t="shared" si="1"/>
        <v>-7.8213190881514322E-2</v>
      </c>
    </row>
    <row r="97" spans="1:7">
      <c r="A97" t="s">
        <v>159</v>
      </c>
      <c r="B97" s="4">
        <v>46082</v>
      </c>
      <c r="C97" s="5">
        <v>21340.04</v>
      </c>
      <c r="D97" s="5">
        <v>16668.18</v>
      </c>
      <c r="E97" t="s">
        <v>336</v>
      </c>
      <c r="F97" t="s">
        <v>2275</v>
      </c>
      <c r="G97" s="6">
        <f t="shared" si="1"/>
        <v>-0.21892461307476463</v>
      </c>
    </row>
    <row r="98" spans="1:7">
      <c r="A98" t="s">
        <v>159</v>
      </c>
      <c r="B98" s="4">
        <v>46174</v>
      </c>
      <c r="C98" s="5">
        <v>27219.34</v>
      </c>
      <c r="D98" s="5">
        <v>27873.93</v>
      </c>
      <c r="E98" t="s">
        <v>322</v>
      </c>
      <c r="F98" t="s">
        <v>2276</v>
      </c>
      <c r="G98" s="6">
        <f t="shared" si="1"/>
        <v>2.4048709483771472E-2</v>
      </c>
    </row>
    <row r="99" spans="1:7">
      <c r="A99" t="s">
        <v>159</v>
      </c>
      <c r="B99" s="4">
        <v>45931</v>
      </c>
      <c r="C99" s="5">
        <v>22298.61</v>
      </c>
      <c r="D99" s="5">
        <v>18008.91</v>
      </c>
      <c r="E99" t="s">
        <v>336</v>
      </c>
      <c r="F99" t="s">
        <v>2276</v>
      </c>
      <c r="G99" s="6">
        <f t="shared" si="1"/>
        <v>-0.19237521980069613</v>
      </c>
    </row>
    <row r="100" spans="1:7">
      <c r="A100" t="s">
        <v>269</v>
      </c>
      <c r="B100" s="4">
        <v>46143</v>
      </c>
      <c r="C100" s="5">
        <v>58514.14</v>
      </c>
      <c r="D100" s="5">
        <v>71678.83</v>
      </c>
      <c r="E100" t="s">
        <v>322</v>
      </c>
      <c r="F100" t="s">
        <v>2278</v>
      </c>
      <c r="G100" s="6">
        <f t="shared" si="1"/>
        <v>0.22498305537772584</v>
      </c>
    </row>
    <row r="101" spans="1:7">
      <c r="A101" t="s">
        <v>269</v>
      </c>
      <c r="B101" s="4">
        <v>46082</v>
      </c>
      <c r="C101" s="5">
        <v>40630.660000000003</v>
      </c>
      <c r="D101" s="5">
        <v>45830.63</v>
      </c>
      <c r="E101" t="s">
        <v>327</v>
      </c>
      <c r="F101" t="s">
        <v>2275</v>
      </c>
      <c r="G101" s="6">
        <f t="shared" si="1"/>
        <v>0.12798143077173724</v>
      </c>
    </row>
    <row r="102" spans="1:7">
      <c r="A102" t="s">
        <v>269</v>
      </c>
      <c r="B102" s="4">
        <v>45839</v>
      </c>
      <c r="C102" s="5">
        <v>28161.89</v>
      </c>
      <c r="D102" s="5">
        <v>31900.9</v>
      </c>
      <c r="E102" t="s">
        <v>336</v>
      </c>
      <c r="F102" t="s">
        <v>2277</v>
      </c>
      <c r="G102" s="6">
        <f t="shared" si="1"/>
        <v>0.13276843280049749</v>
      </c>
    </row>
    <row r="103" spans="1:7">
      <c r="A103" t="s">
        <v>269</v>
      </c>
      <c r="B103" s="4">
        <v>46113</v>
      </c>
      <c r="C103" s="5">
        <v>54864.77</v>
      </c>
      <c r="D103" s="5">
        <v>60272.37</v>
      </c>
      <c r="E103" t="s">
        <v>327</v>
      </c>
      <c r="F103" t="s">
        <v>2277</v>
      </c>
      <c r="G103" s="6">
        <f t="shared" si="1"/>
        <v>9.8562337908278952E-2</v>
      </c>
    </row>
    <row r="104" spans="1:7">
      <c r="A104" t="s">
        <v>269</v>
      </c>
      <c r="B104" s="4">
        <v>45931</v>
      </c>
      <c r="C104" s="5">
        <v>29018.92</v>
      </c>
      <c r="D104" s="5">
        <v>30319.96</v>
      </c>
      <c r="E104" t="s">
        <v>322</v>
      </c>
      <c r="F104" t="s">
        <v>2276</v>
      </c>
      <c r="G104" s="6">
        <f t="shared" si="1"/>
        <v>4.4834197826797172E-2</v>
      </c>
    </row>
    <row r="105" spans="1:7">
      <c r="A105" t="s">
        <v>269</v>
      </c>
      <c r="B105" s="4">
        <v>46054</v>
      </c>
      <c r="C105" s="5">
        <v>51296.800000000003</v>
      </c>
      <c r="D105" s="5">
        <v>38656.050000000003</v>
      </c>
      <c r="E105" t="s">
        <v>327</v>
      </c>
      <c r="F105" t="s">
        <v>2277</v>
      </c>
      <c r="G105" s="6">
        <f t="shared" si="1"/>
        <v>-0.2464237535284852</v>
      </c>
    </row>
    <row r="106" spans="1:7">
      <c r="A106" t="s">
        <v>269</v>
      </c>
      <c r="B106" s="4">
        <v>46174</v>
      </c>
      <c r="C106" s="5">
        <v>51249.34</v>
      </c>
      <c r="D106" s="5">
        <v>47869.91</v>
      </c>
      <c r="E106" t="s">
        <v>322</v>
      </c>
      <c r="F106" t="s">
        <v>2275</v>
      </c>
      <c r="G106" s="6">
        <f t="shared" si="1"/>
        <v>-6.594094675170438E-2</v>
      </c>
    </row>
    <row r="107" spans="1:7">
      <c r="A107" t="s">
        <v>269</v>
      </c>
      <c r="B107" s="4">
        <v>45992</v>
      </c>
      <c r="C107" s="5">
        <v>36107.33</v>
      </c>
      <c r="D107" s="5">
        <v>36761.410000000003</v>
      </c>
      <c r="E107" t="s">
        <v>327</v>
      </c>
      <c r="F107" t="s">
        <v>2278</v>
      </c>
      <c r="G107" s="6">
        <f t="shared" si="1"/>
        <v>1.8114881382810685E-2</v>
      </c>
    </row>
    <row r="108" spans="1:7">
      <c r="A108" t="s">
        <v>269</v>
      </c>
      <c r="B108" s="4">
        <v>45870</v>
      </c>
      <c r="C108" s="5">
        <v>38277.949999999997</v>
      </c>
      <c r="D108" s="5">
        <v>35872.19</v>
      </c>
      <c r="E108" t="s">
        <v>336</v>
      </c>
      <c r="F108" t="s">
        <v>2276</v>
      </c>
      <c r="G108" s="6">
        <f t="shared" si="1"/>
        <v>-6.2849760763050141E-2</v>
      </c>
    </row>
    <row r="109" spans="1:7">
      <c r="A109" t="s">
        <v>204</v>
      </c>
      <c r="B109" s="4">
        <v>45962</v>
      </c>
      <c r="C109" s="5">
        <v>50762.080000000002</v>
      </c>
      <c r="D109" s="5">
        <v>49379.92</v>
      </c>
      <c r="E109" t="s">
        <v>327</v>
      </c>
      <c r="F109" t="s">
        <v>2275</v>
      </c>
      <c r="G109" s="6">
        <f t="shared" si="1"/>
        <v>-2.7228198686893908E-2</v>
      </c>
    </row>
    <row r="110" spans="1:7">
      <c r="A110" t="s">
        <v>204</v>
      </c>
      <c r="B110" s="4">
        <v>45992</v>
      </c>
      <c r="C110" s="5">
        <v>39547.67</v>
      </c>
      <c r="D110" s="5">
        <v>31889.13</v>
      </c>
      <c r="E110" t="s">
        <v>336</v>
      </c>
      <c r="F110" t="s">
        <v>2277</v>
      </c>
      <c r="G110" s="6">
        <f t="shared" si="1"/>
        <v>-0.1936533808439283</v>
      </c>
    </row>
    <row r="111" spans="1:7">
      <c r="A111" t="s">
        <v>204</v>
      </c>
      <c r="B111" s="4">
        <v>45931</v>
      </c>
      <c r="C111" s="5">
        <v>63978.44</v>
      </c>
      <c r="D111" s="5">
        <v>75949.899999999994</v>
      </c>
      <c r="E111" t="s">
        <v>322</v>
      </c>
      <c r="F111" t="s">
        <v>2278</v>
      </c>
      <c r="G111" s="6">
        <f t="shared" si="1"/>
        <v>0.18711709757224451</v>
      </c>
    </row>
    <row r="112" spans="1:7">
      <c r="A112" t="s">
        <v>204</v>
      </c>
      <c r="B112" s="4">
        <v>46143</v>
      </c>
      <c r="C112" s="5">
        <v>68068.960000000006</v>
      </c>
      <c r="D112" s="5">
        <v>73997.98</v>
      </c>
      <c r="E112" t="s">
        <v>327</v>
      </c>
      <c r="F112" t="s">
        <v>2278</v>
      </c>
      <c r="G112" s="6">
        <f t="shared" si="1"/>
        <v>8.7103137759119417E-2</v>
      </c>
    </row>
    <row r="113" spans="1:7">
      <c r="A113" t="s">
        <v>204</v>
      </c>
      <c r="B113" s="4">
        <v>46174</v>
      </c>
      <c r="C113" s="5">
        <v>46644.55</v>
      </c>
      <c r="D113" s="5">
        <v>36251.39</v>
      </c>
      <c r="E113" t="s">
        <v>327</v>
      </c>
      <c r="F113" t="s">
        <v>2276</v>
      </c>
      <c r="G113" s="6">
        <f t="shared" si="1"/>
        <v>-0.22281617037788987</v>
      </c>
    </row>
    <row r="114" spans="1:7">
      <c r="A114" t="s">
        <v>204</v>
      </c>
      <c r="B114" s="4">
        <v>46113</v>
      </c>
      <c r="C114" s="5">
        <v>55991.040000000001</v>
      </c>
      <c r="D114" s="5">
        <v>66751.97</v>
      </c>
      <c r="E114" t="s">
        <v>336</v>
      </c>
      <c r="F114" t="s">
        <v>2276</v>
      </c>
      <c r="G114" s="6">
        <f t="shared" si="1"/>
        <v>0.1921902147200695</v>
      </c>
    </row>
    <row r="115" spans="1:7">
      <c r="A115" t="s">
        <v>204</v>
      </c>
      <c r="B115" s="4">
        <v>45839</v>
      </c>
      <c r="C115" s="5">
        <v>53460.59</v>
      </c>
      <c r="D115" s="5">
        <v>48379.199999999997</v>
      </c>
      <c r="E115" t="s">
        <v>322</v>
      </c>
      <c r="F115" t="s">
        <v>2276</v>
      </c>
      <c r="G115" s="6">
        <f t="shared" si="1"/>
        <v>-9.5049269003578143E-2</v>
      </c>
    </row>
    <row r="116" spans="1:7">
      <c r="A116" t="s">
        <v>204</v>
      </c>
      <c r="B116" s="4">
        <v>45901</v>
      </c>
      <c r="C116" s="5">
        <v>69313.97</v>
      </c>
      <c r="D116" s="5">
        <v>59137.04</v>
      </c>
      <c r="E116" t="s">
        <v>327</v>
      </c>
      <c r="F116" t="s">
        <v>2275</v>
      </c>
      <c r="G116" s="6">
        <f t="shared" si="1"/>
        <v>-0.14682364897004169</v>
      </c>
    </row>
    <row r="117" spans="1:7">
      <c r="A117" t="s">
        <v>121</v>
      </c>
      <c r="B117" s="4">
        <v>46023</v>
      </c>
      <c r="C117" s="5">
        <v>40473.800000000003</v>
      </c>
      <c r="D117" s="5">
        <v>50324.74</v>
      </c>
      <c r="E117" t="s">
        <v>322</v>
      </c>
      <c r="F117" t="s">
        <v>2277</v>
      </c>
      <c r="G117" s="6">
        <f t="shared" si="1"/>
        <v>0.24339053906477756</v>
      </c>
    </row>
    <row r="118" spans="1:7">
      <c r="A118" t="s">
        <v>121</v>
      </c>
      <c r="B118" s="4">
        <v>46113</v>
      </c>
      <c r="C118" s="5">
        <v>54547.14</v>
      </c>
      <c r="D118" s="5">
        <v>65031.44</v>
      </c>
      <c r="E118" t="s">
        <v>322</v>
      </c>
      <c r="F118" t="s">
        <v>2277</v>
      </c>
      <c r="G118" s="6">
        <f t="shared" si="1"/>
        <v>0.19220622749423716</v>
      </c>
    </row>
    <row r="119" spans="1:7">
      <c r="A119" t="s">
        <v>121</v>
      </c>
      <c r="B119" s="4">
        <v>45901</v>
      </c>
      <c r="C119" s="5">
        <v>64784.35</v>
      </c>
      <c r="D119" s="5">
        <v>79256.759999999995</v>
      </c>
      <c r="E119" t="s">
        <v>322</v>
      </c>
      <c r="F119" t="s">
        <v>2278</v>
      </c>
      <c r="G119" s="6">
        <f t="shared" si="1"/>
        <v>0.2233936128092664</v>
      </c>
    </row>
    <row r="120" spans="1:7">
      <c r="A120" t="s">
        <v>121</v>
      </c>
      <c r="B120" s="4">
        <v>46054</v>
      </c>
      <c r="C120" s="5">
        <v>47264.07</v>
      </c>
      <c r="D120" s="5">
        <v>52669.86</v>
      </c>
      <c r="E120" t="s">
        <v>322</v>
      </c>
      <c r="F120" t="s">
        <v>2277</v>
      </c>
      <c r="G120" s="6">
        <f t="shared" si="1"/>
        <v>0.11437419587437139</v>
      </c>
    </row>
    <row r="121" spans="1:7">
      <c r="A121" t="s">
        <v>121</v>
      </c>
      <c r="B121" s="4">
        <v>46082</v>
      </c>
      <c r="C121" s="5">
        <v>30618.84</v>
      </c>
      <c r="D121" s="5">
        <v>26260.38</v>
      </c>
      <c r="E121" t="s">
        <v>322</v>
      </c>
      <c r="F121" t="s">
        <v>2275</v>
      </c>
      <c r="G121" s="6">
        <f t="shared" si="1"/>
        <v>-0.14234569304389061</v>
      </c>
    </row>
    <row r="122" spans="1:7">
      <c r="A122" t="s">
        <v>121</v>
      </c>
      <c r="B122" s="4">
        <v>45962</v>
      </c>
      <c r="C122" s="5">
        <v>59881.65</v>
      </c>
      <c r="D122" s="5">
        <v>56073.8</v>
      </c>
      <c r="E122" t="s">
        <v>336</v>
      </c>
      <c r="F122" t="s">
        <v>2275</v>
      </c>
      <c r="G122" s="6">
        <f t="shared" si="1"/>
        <v>-6.358959714703917E-2</v>
      </c>
    </row>
    <row r="123" spans="1:7">
      <c r="A123" t="s">
        <v>121</v>
      </c>
      <c r="B123" s="4">
        <v>46174</v>
      </c>
      <c r="C123" s="5">
        <v>56131.040000000001</v>
      </c>
      <c r="D123" s="5">
        <v>50446.93</v>
      </c>
      <c r="E123" t="s">
        <v>322</v>
      </c>
      <c r="F123" t="s">
        <v>2277</v>
      </c>
      <c r="G123" s="6">
        <f t="shared" si="1"/>
        <v>-0.10126500417594259</v>
      </c>
    </row>
    <row r="124" spans="1:7">
      <c r="A124" t="s">
        <v>235</v>
      </c>
      <c r="B124" s="4">
        <v>46054</v>
      </c>
      <c r="C124" s="5">
        <v>1821.72</v>
      </c>
      <c r="D124" s="5">
        <v>1444.71</v>
      </c>
      <c r="E124" t="s">
        <v>322</v>
      </c>
      <c r="F124" t="s">
        <v>2275</v>
      </c>
      <c r="G124" s="6">
        <f t="shared" si="1"/>
        <v>-0.20695276990975561</v>
      </c>
    </row>
    <row r="125" spans="1:7">
      <c r="A125" t="s">
        <v>235</v>
      </c>
      <c r="B125" s="4">
        <v>45931</v>
      </c>
      <c r="C125" s="5">
        <v>4110.05</v>
      </c>
      <c r="D125" s="5">
        <v>4273.99</v>
      </c>
      <c r="E125" t="s">
        <v>327</v>
      </c>
      <c r="F125" t="s">
        <v>2278</v>
      </c>
      <c r="G125" s="6">
        <f t="shared" si="1"/>
        <v>3.9887592608362332E-2</v>
      </c>
    </row>
    <row r="126" spans="1:7">
      <c r="A126" t="s">
        <v>235</v>
      </c>
      <c r="B126" s="4">
        <v>45870</v>
      </c>
      <c r="C126" s="5">
        <v>2505.7800000000002</v>
      </c>
      <c r="D126" s="5">
        <v>2759.96</v>
      </c>
      <c r="E126" t="s">
        <v>336</v>
      </c>
      <c r="F126" t="s">
        <v>2277</v>
      </c>
      <c r="G126" s="6">
        <f t="shared" si="1"/>
        <v>0.1014374765542066</v>
      </c>
    </row>
    <row r="127" spans="1:7">
      <c r="A127" t="s">
        <v>235</v>
      </c>
      <c r="B127" s="4">
        <v>45839</v>
      </c>
      <c r="C127" s="5">
        <v>3739.94</v>
      </c>
      <c r="D127" s="5">
        <v>3091.61</v>
      </c>
      <c r="E127" t="s">
        <v>322</v>
      </c>
      <c r="F127" t="s">
        <v>2275</v>
      </c>
      <c r="G127" s="6">
        <f t="shared" si="1"/>
        <v>-0.17335304844462743</v>
      </c>
    </row>
    <row r="128" spans="1:7">
      <c r="A128" t="s">
        <v>235</v>
      </c>
      <c r="B128" s="4">
        <v>46174</v>
      </c>
      <c r="C128" s="5">
        <v>3597.06</v>
      </c>
      <c r="D128" s="5">
        <v>2751.57</v>
      </c>
      <c r="E128" t="s">
        <v>336</v>
      </c>
      <c r="F128" t="s">
        <v>2275</v>
      </c>
      <c r="G128" s="6">
        <f t="shared" si="1"/>
        <v>-0.23505029107104131</v>
      </c>
    </row>
    <row r="129" spans="1:7">
      <c r="A129" t="s">
        <v>235</v>
      </c>
      <c r="B129" s="4">
        <v>46113</v>
      </c>
      <c r="C129" s="5">
        <v>4004.82</v>
      </c>
      <c r="D129" s="5">
        <v>3829.46</v>
      </c>
      <c r="E129" t="s">
        <v>322</v>
      </c>
      <c r="F129" t="s">
        <v>2277</v>
      </c>
      <c r="G129" s="6">
        <f t="shared" si="1"/>
        <v>-4.3787236380161937E-2</v>
      </c>
    </row>
    <row r="130" spans="1:7">
      <c r="A130" t="s">
        <v>96</v>
      </c>
      <c r="B130" s="4">
        <v>46174</v>
      </c>
      <c r="C130" s="5">
        <v>77289.84</v>
      </c>
      <c r="D130" s="5">
        <v>95189.77</v>
      </c>
      <c r="E130" t="s">
        <v>322</v>
      </c>
      <c r="F130" t="s">
        <v>2276</v>
      </c>
      <c r="G130" s="6">
        <f t="shared" ref="G130:G193" si="2">IF(C130=0,0,(D130-C130)/C130)</f>
        <v>0.23159486421501208</v>
      </c>
    </row>
    <row r="131" spans="1:7">
      <c r="A131" t="s">
        <v>96</v>
      </c>
      <c r="B131" s="4">
        <v>45962</v>
      </c>
      <c r="C131" s="5">
        <v>78354.67</v>
      </c>
      <c r="D131" s="5">
        <v>90513.51</v>
      </c>
      <c r="E131" t="s">
        <v>327</v>
      </c>
      <c r="F131" t="s">
        <v>2277</v>
      </c>
      <c r="G131" s="6">
        <f t="shared" si="2"/>
        <v>0.15517696647819457</v>
      </c>
    </row>
    <row r="132" spans="1:7">
      <c r="A132" t="s">
        <v>96</v>
      </c>
      <c r="B132" s="4">
        <v>46054</v>
      </c>
      <c r="C132" s="5">
        <v>88975.28</v>
      </c>
      <c r="D132" s="5">
        <v>103896.1</v>
      </c>
      <c r="E132" t="s">
        <v>336</v>
      </c>
      <c r="F132" t="s">
        <v>2275</v>
      </c>
      <c r="G132" s="6">
        <f t="shared" si="2"/>
        <v>0.16769624102334948</v>
      </c>
    </row>
    <row r="133" spans="1:7">
      <c r="A133" t="s">
        <v>96</v>
      </c>
      <c r="B133" s="4">
        <v>45931</v>
      </c>
      <c r="C133" s="5">
        <v>84263.79</v>
      </c>
      <c r="D133" s="5">
        <v>93346.13</v>
      </c>
      <c r="E133" t="s">
        <v>327</v>
      </c>
      <c r="F133" t="s">
        <v>2277</v>
      </c>
      <c r="G133" s="6">
        <f t="shared" si="2"/>
        <v>0.10778461305858675</v>
      </c>
    </row>
    <row r="134" spans="1:7">
      <c r="A134" t="s">
        <v>96</v>
      </c>
      <c r="B134" s="4">
        <v>46143</v>
      </c>
      <c r="C134" s="5">
        <v>55064.59</v>
      </c>
      <c r="D134" s="5">
        <v>43732.74</v>
      </c>
      <c r="E134" t="s">
        <v>336</v>
      </c>
      <c r="F134" t="s">
        <v>2275</v>
      </c>
      <c r="G134" s="6">
        <f t="shared" si="2"/>
        <v>-0.20579196176708114</v>
      </c>
    </row>
    <row r="135" spans="1:7">
      <c r="A135" t="s">
        <v>96</v>
      </c>
      <c r="B135" s="4">
        <v>45839</v>
      </c>
      <c r="C135" s="5">
        <v>85924.68</v>
      </c>
      <c r="D135" s="5">
        <v>87840.4</v>
      </c>
      <c r="E135" t="s">
        <v>336</v>
      </c>
      <c r="F135" t="s">
        <v>2278</v>
      </c>
      <c r="G135" s="6">
        <f t="shared" si="2"/>
        <v>2.2295340523816921E-2</v>
      </c>
    </row>
    <row r="136" spans="1:7">
      <c r="A136" t="s">
        <v>140</v>
      </c>
      <c r="B136" s="4">
        <v>45901</v>
      </c>
      <c r="C136" s="5">
        <v>60139.99</v>
      </c>
      <c r="D136" s="5">
        <v>55552.42</v>
      </c>
      <c r="E136" t="s">
        <v>336</v>
      </c>
      <c r="F136" t="s">
        <v>2276</v>
      </c>
      <c r="G136" s="6">
        <f t="shared" si="2"/>
        <v>-7.6281522494433401E-2</v>
      </c>
    </row>
    <row r="137" spans="1:7">
      <c r="A137" t="s">
        <v>140</v>
      </c>
      <c r="B137" s="4">
        <v>45992</v>
      </c>
      <c r="C137" s="5">
        <v>78526.55</v>
      </c>
      <c r="D137" s="5">
        <v>88407.52</v>
      </c>
      <c r="E137" t="s">
        <v>336</v>
      </c>
      <c r="F137" t="s">
        <v>2275</v>
      </c>
      <c r="G137" s="6">
        <f t="shared" si="2"/>
        <v>0.12582967162061751</v>
      </c>
    </row>
    <row r="138" spans="1:7">
      <c r="A138" t="s">
        <v>140</v>
      </c>
      <c r="B138" s="4">
        <v>46143</v>
      </c>
      <c r="C138" s="5">
        <v>54457.919999999998</v>
      </c>
      <c r="D138" s="5">
        <v>52598.49</v>
      </c>
      <c r="E138" t="s">
        <v>327</v>
      </c>
      <c r="F138" t="s">
        <v>2278</v>
      </c>
      <c r="G138" s="6">
        <f t="shared" si="2"/>
        <v>-3.4144344844606628E-2</v>
      </c>
    </row>
    <row r="139" spans="1:7">
      <c r="A139" t="s">
        <v>140</v>
      </c>
      <c r="B139" s="4">
        <v>46023</v>
      </c>
      <c r="C139" s="5">
        <v>82267.289999999994</v>
      </c>
      <c r="D139" s="5">
        <v>75389.91</v>
      </c>
      <c r="E139" t="s">
        <v>336</v>
      </c>
      <c r="F139" t="s">
        <v>2275</v>
      </c>
      <c r="G139" s="6">
        <f t="shared" si="2"/>
        <v>-8.3597988945545557E-2</v>
      </c>
    </row>
    <row r="140" spans="1:7">
      <c r="A140" t="s">
        <v>140</v>
      </c>
      <c r="B140" s="4">
        <v>46174</v>
      </c>
      <c r="C140" s="5">
        <v>59253.63</v>
      </c>
      <c r="D140" s="5">
        <v>60415.35</v>
      </c>
      <c r="E140" t="s">
        <v>327</v>
      </c>
      <c r="F140" t="s">
        <v>2276</v>
      </c>
      <c r="G140" s="6">
        <f t="shared" si="2"/>
        <v>1.9605887436769717E-2</v>
      </c>
    </row>
    <row r="141" spans="1:7">
      <c r="A141" t="s">
        <v>140</v>
      </c>
      <c r="B141" s="4">
        <v>45962</v>
      </c>
      <c r="C141" s="5">
        <v>82530.759999999995</v>
      </c>
      <c r="D141" s="5">
        <v>76070.820000000007</v>
      </c>
      <c r="E141" t="s">
        <v>327</v>
      </c>
      <c r="F141" t="s">
        <v>2276</v>
      </c>
      <c r="G141" s="6">
        <f t="shared" si="2"/>
        <v>-7.8273119016473228E-2</v>
      </c>
    </row>
    <row r="142" spans="1:7">
      <c r="A142" t="s">
        <v>140</v>
      </c>
      <c r="B142" s="4">
        <v>45931</v>
      </c>
      <c r="C142" s="5">
        <v>67102.8</v>
      </c>
      <c r="D142" s="5">
        <v>68451.94</v>
      </c>
      <c r="E142" t="s">
        <v>327</v>
      </c>
      <c r="F142" t="s">
        <v>2276</v>
      </c>
      <c r="G142" s="6">
        <f t="shared" si="2"/>
        <v>2.010556936521277E-2</v>
      </c>
    </row>
    <row r="143" spans="1:7">
      <c r="A143" t="s">
        <v>140</v>
      </c>
      <c r="B143" s="4">
        <v>46054</v>
      </c>
      <c r="C143" s="5">
        <v>80481.66</v>
      </c>
      <c r="D143" s="5">
        <v>83447.11</v>
      </c>
      <c r="E143" t="s">
        <v>322</v>
      </c>
      <c r="F143" t="s">
        <v>2275</v>
      </c>
      <c r="G143" s="6">
        <f t="shared" si="2"/>
        <v>3.6846282743173996E-2</v>
      </c>
    </row>
    <row r="144" spans="1:7">
      <c r="A144" t="s">
        <v>129</v>
      </c>
      <c r="B144" s="4">
        <v>45870</v>
      </c>
      <c r="C144" s="5">
        <v>6637.17</v>
      </c>
      <c r="D144" s="5">
        <v>6804.59</v>
      </c>
      <c r="E144" t="s">
        <v>322</v>
      </c>
      <c r="F144" t="s">
        <v>2276</v>
      </c>
      <c r="G144" s="6">
        <f t="shared" si="2"/>
        <v>2.5224606270443588E-2</v>
      </c>
    </row>
    <row r="145" spans="1:7">
      <c r="A145" t="s">
        <v>129</v>
      </c>
      <c r="B145" s="4">
        <v>46082</v>
      </c>
      <c r="C145" s="5">
        <v>9729.58</v>
      </c>
      <c r="D145" s="5">
        <v>11129.3</v>
      </c>
      <c r="E145" t="s">
        <v>336</v>
      </c>
      <c r="F145" t="s">
        <v>2277</v>
      </c>
      <c r="G145" s="6">
        <f t="shared" si="2"/>
        <v>0.14386232499244564</v>
      </c>
    </row>
    <row r="146" spans="1:7">
      <c r="A146" t="s">
        <v>129</v>
      </c>
      <c r="B146" s="4">
        <v>46143</v>
      </c>
      <c r="C146" s="5">
        <v>7146.96</v>
      </c>
      <c r="D146" s="5">
        <v>8349.32</v>
      </c>
      <c r="E146" t="s">
        <v>336</v>
      </c>
      <c r="F146" t="s">
        <v>2275</v>
      </c>
      <c r="G146" s="6">
        <f t="shared" si="2"/>
        <v>0.16823376652450828</v>
      </c>
    </row>
    <row r="147" spans="1:7">
      <c r="A147" t="s">
        <v>129</v>
      </c>
      <c r="B147" s="4">
        <v>45839</v>
      </c>
      <c r="C147" s="5">
        <v>8570.61</v>
      </c>
      <c r="D147" s="5">
        <v>9939.17</v>
      </c>
      <c r="E147" t="s">
        <v>322</v>
      </c>
      <c r="F147" t="s">
        <v>2278</v>
      </c>
      <c r="G147" s="6">
        <f t="shared" si="2"/>
        <v>0.15968058282899344</v>
      </c>
    </row>
    <row r="148" spans="1:7">
      <c r="A148" t="s">
        <v>129</v>
      </c>
      <c r="B148" s="4">
        <v>46174</v>
      </c>
      <c r="C148" s="5">
        <v>10203.68</v>
      </c>
      <c r="D148" s="5">
        <v>11161.81</v>
      </c>
      <c r="E148" t="s">
        <v>322</v>
      </c>
      <c r="F148" t="s">
        <v>2276</v>
      </c>
      <c r="G148" s="6">
        <f t="shared" si="2"/>
        <v>9.3900435921157779E-2</v>
      </c>
    </row>
    <row r="149" spans="1:7">
      <c r="A149" t="s">
        <v>129</v>
      </c>
      <c r="B149" s="4">
        <v>45962</v>
      </c>
      <c r="C149" s="5">
        <v>9415.93</v>
      </c>
      <c r="D149" s="5">
        <v>9197.74</v>
      </c>
      <c r="E149" t="s">
        <v>327</v>
      </c>
      <c r="F149" t="s">
        <v>2276</v>
      </c>
      <c r="G149" s="6">
        <f t="shared" si="2"/>
        <v>-2.3172432250452214E-2</v>
      </c>
    </row>
    <row r="150" spans="1:7">
      <c r="A150" t="s">
        <v>129</v>
      </c>
      <c r="B150" s="4">
        <v>46113</v>
      </c>
      <c r="C150" s="5">
        <v>9961.4699999999993</v>
      </c>
      <c r="D150" s="5">
        <v>11919.81</v>
      </c>
      <c r="E150" t="s">
        <v>327</v>
      </c>
      <c r="F150" t="s">
        <v>2277</v>
      </c>
      <c r="G150" s="6">
        <f t="shared" si="2"/>
        <v>0.19659146692205068</v>
      </c>
    </row>
    <row r="151" spans="1:7">
      <c r="A151" t="s">
        <v>138</v>
      </c>
      <c r="B151" s="4">
        <v>46174</v>
      </c>
      <c r="C151" s="5">
        <v>43798.62</v>
      </c>
      <c r="D151" s="5">
        <v>37431.26</v>
      </c>
      <c r="E151" t="s">
        <v>327</v>
      </c>
      <c r="F151" t="s">
        <v>2277</v>
      </c>
      <c r="G151" s="6">
        <f t="shared" si="2"/>
        <v>-0.14537809638751176</v>
      </c>
    </row>
    <row r="152" spans="1:7">
      <c r="A152" t="s">
        <v>138</v>
      </c>
      <c r="B152" s="4">
        <v>45962</v>
      </c>
      <c r="C152" s="5">
        <v>73103.570000000007</v>
      </c>
      <c r="D152" s="5">
        <v>61809.31</v>
      </c>
      <c r="E152" t="s">
        <v>322</v>
      </c>
      <c r="F152" t="s">
        <v>2277</v>
      </c>
      <c r="G152" s="6">
        <f t="shared" si="2"/>
        <v>-0.15449669557861551</v>
      </c>
    </row>
    <row r="153" spans="1:7">
      <c r="A153" t="s">
        <v>138</v>
      </c>
      <c r="B153" s="4">
        <v>45931</v>
      </c>
      <c r="C153" s="5">
        <v>43479.07</v>
      </c>
      <c r="D153" s="5">
        <v>37111.29</v>
      </c>
      <c r="E153" t="s">
        <v>327</v>
      </c>
      <c r="F153" t="s">
        <v>2277</v>
      </c>
      <c r="G153" s="6">
        <f t="shared" si="2"/>
        <v>-0.14645621444984908</v>
      </c>
    </row>
    <row r="154" spans="1:7">
      <c r="A154" t="s">
        <v>138</v>
      </c>
      <c r="B154" s="4">
        <v>46023</v>
      </c>
      <c r="C154" s="5">
        <v>33144.65</v>
      </c>
      <c r="D154" s="5">
        <v>32359.11</v>
      </c>
      <c r="E154" t="s">
        <v>322</v>
      </c>
      <c r="F154" t="s">
        <v>2275</v>
      </c>
      <c r="G154" s="6">
        <f t="shared" si="2"/>
        <v>-2.3700355864370293E-2</v>
      </c>
    </row>
    <row r="155" spans="1:7">
      <c r="A155" t="s">
        <v>76</v>
      </c>
      <c r="B155" s="4">
        <v>46023</v>
      </c>
      <c r="C155" s="5">
        <v>52981.74</v>
      </c>
      <c r="D155" s="5">
        <v>55357.73</v>
      </c>
      <c r="E155" t="s">
        <v>336</v>
      </c>
      <c r="F155" t="s">
        <v>2277</v>
      </c>
      <c r="G155" s="6">
        <f t="shared" si="2"/>
        <v>4.4845450526917491E-2</v>
      </c>
    </row>
    <row r="156" spans="1:7">
      <c r="A156" t="s">
        <v>76</v>
      </c>
      <c r="B156" s="4">
        <v>45839</v>
      </c>
      <c r="C156" s="5">
        <v>65104.63</v>
      </c>
      <c r="D156" s="5">
        <v>80632.52</v>
      </c>
      <c r="E156" t="s">
        <v>336</v>
      </c>
      <c r="F156" t="s">
        <v>2278</v>
      </c>
      <c r="G156" s="6">
        <f t="shared" si="2"/>
        <v>0.2385066929955674</v>
      </c>
    </row>
    <row r="157" spans="1:7">
      <c r="A157" t="s">
        <v>76</v>
      </c>
      <c r="B157" s="4">
        <v>46113</v>
      </c>
      <c r="C157" s="5">
        <v>49255.43</v>
      </c>
      <c r="D157" s="5">
        <v>43240.9</v>
      </c>
      <c r="E157" t="s">
        <v>336</v>
      </c>
      <c r="F157" t="s">
        <v>2275</v>
      </c>
      <c r="G157" s="6">
        <f t="shared" si="2"/>
        <v>-0.12210897356900546</v>
      </c>
    </row>
    <row r="158" spans="1:7">
      <c r="A158" t="s">
        <v>76</v>
      </c>
      <c r="B158" s="4">
        <v>45962</v>
      </c>
      <c r="C158" s="5">
        <v>68674.86</v>
      </c>
      <c r="D158" s="5">
        <v>77938.67</v>
      </c>
      <c r="E158" t="s">
        <v>336</v>
      </c>
      <c r="F158" t="s">
        <v>2278</v>
      </c>
      <c r="G158" s="6">
        <f t="shared" si="2"/>
        <v>0.13489375879324686</v>
      </c>
    </row>
    <row r="159" spans="1:7">
      <c r="A159" t="s">
        <v>76</v>
      </c>
      <c r="B159" s="4">
        <v>45992</v>
      </c>
      <c r="C159" s="5">
        <v>78166.59</v>
      </c>
      <c r="D159" s="5">
        <v>85391.07</v>
      </c>
      <c r="E159" t="s">
        <v>322</v>
      </c>
      <c r="F159" t="s">
        <v>2275</v>
      </c>
      <c r="G159" s="6">
        <f t="shared" si="2"/>
        <v>9.2424141823252245E-2</v>
      </c>
    </row>
    <row r="160" spans="1:7">
      <c r="A160" t="s">
        <v>76</v>
      </c>
      <c r="B160" s="4">
        <v>45931</v>
      </c>
      <c r="C160" s="5">
        <v>34121.96</v>
      </c>
      <c r="D160" s="5">
        <v>33907.82</v>
      </c>
      <c r="E160" t="s">
        <v>322</v>
      </c>
      <c r="F160" t="s">
        <v>2275</v>
      </c>
      <c r="G160" s="6">
        <f t="shared" si="2"/>
        <v>-6.2757239033162052E-3</v>
      </c>
    </row>
    <row r="161" spans="1:7">
      <c r="A161" t="s">
        <v>76</v>
      </c>
      <c r="B161" s="4">
        <v>45901</v>
      </c>
      <c r="C161" s="5">
        <v>44449.65</v>
      </c>
      <c r="D161" s="5">
        <v>35383.01</v>
      </c>
      <c r="E161" t="s">
        <v>322</v>
      </c>
      <c r="F161" t="s">
        <v>2277</v>
      </c>
      <c r="G161" s="6">
        <f t="shared" si="2"/>
        <v>-0.2039755093684652</v>
      </c>
    </row>
    <row r="162" spans="1:7">
      <c r="A162" t="s">
        <v>76</v>
      </c>
      <c r="B162" s="4">
        <v>45870</v>
      </c>
      <c r="C162" s="5">
        <v>54247.39</v>
      </c>
      <c r="D162" s="5">
        <v>61002.61</v>
      </c>
      <c r="E162" t="s">
        <v>322</v>
      </c>
      <c r="F162" t="s">
        <v>2275</v>
      </c>
      <c r="G162" s="6">
        <f t="shared" si="2"/>
        <v>0.1245261753606948</v>
      </c>
    </row>
    <row r="163" spans="1:7">
      <c r="A163" t="s">
        <v>76</v>
      </c>
      <c r="B163" s="4">
        <v>46054</v>
      </c>
      <c r="C163" s="5">
        <v>33912.51</v>
      </c>
      <c r="D163" s="5">
        <v>30687.66</v>
      </c>
      <c r="E163" t="s">
        <v>327</v>
      </c>
      <c r="F163" t="s">
        <v>2275</v>
      </c>
      <c r="G163" s="6">
        <f t="shared" si="2"/>
        <v>-9.5093226658834809E-2</v>
      </c>
    </row>
    <row r="164" spans="1:7">
      <c r="A164" t="s">
        <v>188</v>
      </c>
      <c r="B164" s="4">
        <v>45870</v>
      </c>
      <c r="C164" s="5">
        <v>13995.23</v>
      </c>
      <c r="D164" s="5">
        <v>12418.96</v>
      </c>
      <c r="E164" t="s">
        <v>327</v>
      </c>
      <c r="F164" t="s">
        <v>2275</v>
      </c>
      <c r="G164" s="6">
        <f t="shared" si="2"/>
        <v>-0.11262908862519591</v>
      </c>
    </row>
    <row r="165" spans="1:7">
      <c r="A165" t="s">
        <v>188</v>
      </c>
      <c r="B165" s="4">
        <v>45839</v>
      </c>
      <c r="C165" s="5">
        <v>24230.02</v>
      </c>
      <c r="D165" s="5">
        <v>24662.080000000002</v>
      </c>
      <c r="E165" t="s">
        <v>327</v>
      </c>
      <c r="F165" t="s">
        <v>2277</v>
      </c>
      <c r="G165" s="6">
        <f t="shared" si="2"/>
        <v>1.7831598983409889E-2</v>
      </c>
    </row>
    <row r="166" spans="1:7">
      <c r="A166" t="s">
        <v>188</v>
      </c>
      <c r="B166" s="4">
        <v>45901</v>
      </c>
      <c r="C166" s="5">
        <v>15183.16</v>
      </c>
      <c r="D166" s="5">
        <v>12280.66</v>
      </c>
      <c r="E166" t="s">
        <v>327</v>
      </c>
      <c r="F166" t="s">
        <v>2275</v>
      </c>
      <c r="G166" s="6">
        <f t="shared" si="2"/>
        <v>-0.19116573888439561</v>
      </c>
    </row>
    <row r="167" spans="1:7">
      <c r="A167" t="s">
        <v>188</v>
      </c>
      <c r="B167" s="4">
        <v>46143</v>
      </c>
      <c r="C167" s="5">
        <v>13874.49</v>
      </c>
      <c r="D167" s="5">
        <v>13539.6</v>
      </c>
      <c r="E167" t="s">
        <v>322</v>
      </c>
      <c r="F167" t="s">
        <v>2277</v>
      </c>
      <c r="G167" s="6">
        <f t="shared" si="2"/>
        <v>-2.4137103417855316E-2</v>
      </c>
    </row>
    <row r="168" spans="1:7">
      <c r="A168" t="s">
        <v>188</v>
      </c>
      <c r="B168" s="4">
        <v>46054</v>
      </c>
      <c r="C168" s="5">
        <v>15795.24</v>
      </c>
      <c r="D168" s="5">
        <v>14463.82</v>
      </c>
      <c r="E168" t="s">
        <v>322</v>
      </c>
      <c r="F168" t="s">
        <v>2276</v>
      </c>
      <c r="G168" s="6">
        <f t="shared" si="2"/>
        <v>-8.4292483051856132E-2</v>
      </c>
    </row>
    <row r="169" spans="1:7">
      <c r="A169" t="s">
        <v>188</v>
      </c>
      <c r="B169" s="4">
        <v>46082</v>
      </c>
      <c r="C169" s="5">
        <v>26990.73</v>
      </c>
      <c r="D169" s="5">
        <v>21279.77</v>
      </c>
      <c r="E169" t="s">
        <v>336</v>
      </c>
      <c r="F169" t="s">
        <v>2275</v>
      </c>
      <c r="G169" s="6">
        <f t="shared" si="2"/>
        <v>-0.21158968282814133</v>
      </c>
    </row>
    <row r="170" spans="1:7">
      <c r="A170" t="s">
        <v>188</v>
      </c>
      <c r="B170" s="4">
        <v>45962</v>
      </c>
      <c r="C170" s="5">
        <v>15114.47</v>
      </c>
      <c r="D170" s="5">
        <v>14262.8</v>
      </c>
      <c r="E170" t="s">
        <v>327</v>
      </c>
      <c r="F170" t="s">
        <v>2276</v>
      </c>
      <c r="G170" s="6">
        <f t="shared" si="2"/>
        <v>-5.6347989707875967E-2</v>
      </c>
    </row>
    <row r="171" spans="1:7">
      <c r="A171" t="s">
        <v>116</v>
      </c>
      <c r="B171" s="4">
        <v>45962</v>
      </c>
      <c r="C171" s="5">
        <v>42344.54</v>
      </c>
      <c r="D171" s="5">
        <v>44113.9</v>
      </c>
      <c r="E171" t="s">
        <v>336</v>
      </c>
      <c r="F171" t="s">
        <v>2276</v>
      </c>
      <c r="G171" s="6">
        <f t="shared" si="2"/>
        <v>4.178484404364767E-2</v>
      </c>
    </row>
    <row r="172" spans="1:7">
      <c r="A172" t="s">
        <v>116</v>
      </c>
      <c r="B172" s="4">
        <v>45901</v>
      </c>
      <c r="C172" s="5">
        <v>38151.14</v>
      </c>
      <c r="D172" s="5">
        <v>44034.400000000001</v>
      </c>
      <c r="E172" t="s">
        <v>322</v>
      </c>
      <c r="F172" t="s">
        <v>2277</v>
      </c>
      <c r="G172" s="6">
        <f t="shared" si="2"/>
        <v>0.15420928444077955</v>
      </c>
    </row>
    <row r="173" spans="1:7">
      <c r="A173" t="s">
        <v>116</v>
      </c>
      <c r="B173" s="4">
        <v>45931</v>
      </c>
      <c r="C173" s="5">
        <v>22968.15</v>
      </c>
      <c r="D173" s="5">
        <v>18742</v>
      </c>
      <c r="E173" t="s">
        <v>327</v>
      </c>
      <c r="F173" t="s">
        <v>2277</v>
      </c>
      <c r="G173" s="6">
        <f t="shared" si="2"/>
        <v>-0.18400045280094396</v>
      </c>
    </row>
    <row r="174" spans="1:7">
      <c r="A174" t="s">
        <v>116</v>
      </c>
      <c r="B174" s="4">
        <v>45992</v>
      </c>
      <c r="C174" s="5">
        <v>30531.09</v>
      </c>
      <c r="D174" s="5">
        <v>28495.82</v>
      </c>
      <c r="E174" t="s">
        <v>327</v>
      </c>
      <c r="F174" t="s">
        <v>2275</v>
      </c>
      <c r="G174" s="6">
        <f t="shared" si="2"/>
        <v>-6.666221219091753E-2</v>
      </c>
    </row>
    <row r="175" spans="1:7">
      <c r="A175" t="s">
        <v>173</v>
      </c>
      <c r="B175" s="4">
        <v>46174</v>
      </c>
      <c r="C175" s="5">
        <v>29164.45</v>
      </c>
      <c r="D175" s="5">
        <v>32110.76</v>
      </c>
      <c r="E175" t="s">
        <v>322</v>
      </c>
      <c r="F175" t="s">
        <v>2277</v>
      </c>
      <c r="G175" s="6">
        <f t="shared" si="2"/>
        <v>0.10102402068271465</v>
      </c>
    </row>
    <row r="176" spans="1:7">
      <c r="A176" t="s">
        <v>173</v>
      </c>
      <c r="B176" s="4">
        <v>45992</v>
      </c>
      <c r="C176" s="5">
        <v>19934.91</v>
      </c>
      <c r="D176" s="5">
        <v>23700.43</v>
      </c>
      <c r="E176" t="s">
        <v>327</v>
      </c>
      <c r="F176" t="s">
        <v>2278</v>
      </c>
      <c r="G176" s="6">
        <f t="shared" si="2"/>
        <v>0.18889074492937266</v>
      </c>
    </row>
    <row r="177" spans="1:7">
      <c r="A177" t="s">
        <v>173</v>
      </c>
      <c r="B177" s="4">
        <v>46082</v>
      </c>
      <c r="C177" s="5">
        <v>30178.09</v>
      </c>
      <c r="D177" s="5">
        <v>30285.43</v>
      </c>
      <c r="E177" t="s">
        <v>322</v>
      </c>
      <c r="F177" t="s">
        <v>2276</v>
      </c>
      <c r="G177" s="6">
        <f t="shared" si="2"/>
        <v>3.5568851441559138E-3</v>
      </c>
    </row>
    <row r="178" spans="1:7">
      <c r="A178" t="s">
        <v>173</v>
      </c>
      <c r="B178" s="4">
        <v>45870</v>
      </c>
      <c r="C178" s="5">
        <v>20827.8</v>
      </c>
      <c r="D178" s="5">
        <v>17307.849999999999</v>
      </c>
      <c r="E178" t="s">
        <v>327</v>
      </c>
      <c r="F178" t="s">
        <v>2276</v>
      </c>
      <c r="G178" s="6">
        <f t="shared" si="2"/>
        <v>-0.16900248706056334</v>
      </c>
    </row>
    <row r="179" spans="1:7">
      <c r="A179" t="s">
        <v>173</v>
      </c>
      <c r="B179" s="4">
        <v>46023</v>
      </c>
      <c r="C179" s="5">
        <v>35202.49</v>
      </c>
      <c r="D179" s="5">
        <v>34253.82</v>
      </c>
      <c r="E179" t="s">
        <v>327</v>
      </c>
      <c r="F179" t="s">
        <v>2278</v>
      </c>
      <c r="G179" s="6">
        <f t="shared" si="2"/>
        <v>-2.6948945941039918E-2</v>
      </c>
    </row>
    <row r="180" spans="1:7">
      <c r="A180" t="s">
        <v>173</v>
      </c>
      <c r="B180" s="4">
        <v>45931</v>
      </c>
      <c r="C180" s="5">
        <v>32365.98</v>
      </c>
      <c r="D180" s="5">
        <v>32008.01</v>
      </c>
      <c r="E180" t="s">
        <v>327</v>
      </c>
      <c r="F180" t="s">
        <v>2276</v>
      </c>
      <c r="G180" s="6">
        <f t="shared" si="2"/>
        <v>-1.1060069863480147E-2</v>
      </c>
    </row>
    <row r="181" spans="1:7">
      <c r="A181" t="s">
        <v>173</v>
      </c>
      <c r="B181" s="4">
        <v>45839</v>
      </c>
      <c r="C181" s="5">
        <v>33020.480000000003</v>
      </c>
      <c r="D181" s="5">
        <v>26678.07</v>
      </c>
      <c r="E181" t="s">
        <v>322</v>
      </c>
      <c r="F181" t="s">
        <v>2276</v>
      </c>
      <c r="G181" s="6">
        <f t="shared" si="2"/>
        <v>-0.19207503949064347</v>
      </c>
    </row>
    <row r="182" spans="1:7">
      <c r="A182" t="s">
        <v>173</v>
      </c>
      <c r="B182" s="4">
        <v>45901</v>
      </c>
      <c r="C182" s="5">
        <v>22981.14</v>
      </c>
      <c r="D182" s="5">
        <v>20686.97</v>
      </c>
      <c r="E182" t="s">
        <v>327</v>
      </c>
      <c r="F182" t="s">
        <v>2275</v>
      </c>
      <c r="G182" s="6">
        <f t="shared" si="2"/>
        <v>-9.9828381011559844E-2</v>
      </c>
    </row>
    <row r="183" spans="1:7">
      <c r="A183" t="s">
        <v>45</v>
      </c>
      <c r="B183" s="4">
        <v>46082</v>
      </c>
      <c r="C183" s="5">
        <v>35572.46</v>
      </c>
      <c r="D183" s="5">
        <v>37094.480000000003</v>
      </c>
      <c r="E183" t="s">
        <v>322</v>
      </c>
      <c r="F183" t="s">
        <v>2278</v>
      </c>
      <c r="G183" s="6">
        <f t="shared" si="2"/>
        <v>4.2786470207570801E-2</v>
      </c>
    </row>
    <row r="184" spans="1:7">
      <c r="A184" t="s">
        <v>45</v>
      </c>
      <c r="B184" s="4">
        <v>45839</v>
      </c>
      <c r="C184" s="5">
        <v>41297.72</v>
      </c>
      <c r="D184" s="5">
        <v>33803.46</v>
      </c>
      <c r="E184" t="s">
        <v>322</v>
      </c>
      <c r="F184" t="s">
        <v>2275</v>
      </c>
      <c r="G184" s="6">
        <f t="shared" si="2"/>
        <v>-0.18146909805190217</v>
      </c>
    </row>
    <row r="185" spans="1:7">
      <c r="A185" t="s">
        <v>45</v>
      </c>
      <c r="B185" s="4">
        <v>45870</v>
      </c>
      <c r="C185" s="5">
        <v>39184.6</v>
      </c>
      <c r="D185" s="5">
        <v>33084.870000000003</v>
      </c>
      <c r="E185" t="s">
        <v>336</v>
      </c>
      <c r="F185" t="s">
        <v>2275</v>
      </c>
      <c r="G185" s="6">
        <f t="shared" si="2"/>
        <v>-0.15566651184393859</v>
      </c>
    </row>
    <row r="186" spans="1:7">
      <c r="A186" t="s">
        <v>45</v>
      </c>
      <c r="B186" s="4">
        <v>46174</v>
      </c>
      <c r="C186" s="5">
        <v>30575.88</v>
      </c>
      <c r="D186" s="5">
        <v>24446.13</v>
      </c>
      <c r="E186" t="s">
        <v>336</v>
      </c>
      <c r="F186" t="s">
        <v>2277</v>
      </c>
      <c r="G186" s="6">
        <f t="shared" si="2"/>
        <v>-0.2004766502223321</v>
      </c>
    </row>
    <row r="187" spans="1:7">
      <c r="A187" t="s">
        <v>66</v>
      </c>
      <c r="B187" s="4">
        <v>46082</v>
      </c>
      <c r="C187" s="5">
        <v>60386.29</v>
      </c>
      <c r="D187" s="5">
        <v>52749.47</v>
      </c>
      <c r="E187" t="s">
        <v>336</v>
      </c>
      <c r="F187" t="s">
        <v>2278</v>
      </c>
      <c r="G187" s="6">
        <f t="shared" si="2"/>
        <v>-0.1264661233534963</v>
      </c>
    </row>
    <row r="188" spans="1:7">
      <c r="A188" t="s">
        <v>66</v>
      </c>
      <c r="B188" s="4">
        <v>45901</v>
      </c>
      <c r="C188" s="5">
        <v>78580.740000000005</v>
      </c>
      <c r="D188" s="5">
        <v>91467.02</v>
      </c>
      <c r="E188" t="s">
        <v>336</v>
      </c>
      <c r="F188" t="s">
        <v>2277</v>
      </c>
      <c r="G188" s="6">
        <f t="shared" si="2"/>
        <v>0.16398776595893597</v>
      </c>
    </row>
    <row r="189" spans="1:7">
      <c r="A189" t="s">
        <v>66</v>
      </c>
      <c r="B189" s="4">
        <v>45870</v>
      </c>
      <c r="C189" s="5">
        <v>69507.42</v>
      </c>
      <c r="D189" s="5">
        <v>53621.81</v>
      </c>
      <c r="E189" t="s">
        <v>336</v>
      </c>
      <c r="F189" t="s">
        <v>2275</v>
      </c>
      <c r="G189" s="6">
        <f t="shared" si="2"/>
        <v>-0.22854552794507407</v>
      </c>
    </row>
    <row r="190" spans="1:7">
      <c r="A190" t="s">
        <v>66</v>
      </c>
      <c r="B190" s="4">
        <v>46054</v>
      </c>
      <c r="C190" s="5">
        <v>34009.82</v>
      </c>
      <c r="D190" s="5">
        <v>36928.81</v>
      </c>
      <c r="E190" t="s">
        <v>336</v>
      </c>
      <c r="F190" t="s">
        <v>2275</v>
      </c>
      <c r="G190" s="6">
        <f t="shared" si="2"/>
        <v>8.5827857953967357E-2</v>
      </c>
    </row>
    <row r="191" spans="1:7">
      <c r="A191" t="s">
        <v>66</v>
      </c>
      <c r="B191" s="4">
        <v>46113</v>
      </c>
      <c r="C191" s="5">
        <v>54688.25</v>
      </c>
      <c r="D191" s="5">
        <v>63886.06</v>
      </c>
      <c r="E191" t="s">
        <v>322</v>
      </c>
      <c r="F191" t="s">
        <v>2276</v>
      </c>
      <c r="G191" s="6">
        <f t="shared" si="2"/>
        <v>0.1681862191604229</v>
      </c>
    </row>
    <row r="192" spans="1:7">
      <c r="A192" t="s">
        <v>34</v>
      </c>
      <c r="B192" s="4">
        <v>46023</v>
      </c>
      <c r="C192" s="5">
        <v>10766.74</v>
      </c>
      <c r="D192" s="5">
        <v>10321.620000000001</v>
      </c>
      <c r="E192" t="s">
        <v>327</v>
      </c>
      <c r="F192" t="s">
        <v>2277</v>
      </c>
      <c r="G192" s="6">
        <f t="shared" si="2"/>
        <v>-4.1342133273395566E-2</v>
      </c>
    </row>
    <row r="193" spans="1:7">
      <c r="A193" t="s">
        <v>34</v>
      </c>
      <c r="B193" s="4">
        <v>46143</v>
      </c>
      <c r="C193" s="5">
        <v>11656.42</v>
      </c>
      <c r="D193" s="5">
        <v>13271.11</v>
      </c>
      <c r="E193" t="s">
        <v>327</v>
      </c>
      <c r="F193" t="s">
        <v>2277</v>
      </c>
      <c r="G193" s="6">
        <f t="shared" si="2"/>
        <v>0.13852366335461491</v>
      </c>
    </row>
    <row r="194" spans="1:7">
      <c r="A194" t="s">
        <v>34</v>
      </c>
      <c r="B194" s="4">
        <v>45901</v>
      </c>
      <c r="C194" s="5">
        <v>8808.9</v>
      </c>
      <c r="D194" s="5">
        <v>8338.7999999999993</v>
      </c>
      <c r="E194" t="s">
        <v>336</v>
      </c>
      <c r="F194" t="s">
        <v>2278</v>
      </c>
      <c r="G194" s="6">
        <f t="shared" ref="G194:G257" si="3">IF(C194=0,0,(D194-C194)/C194)</f>
        <v>-5.3366481626536844E-2</v>
      </c>
    </row>
    <row r="195" spans="1:7">
      <c r="A195" t="s">
        <v>34</v>
      </c>
      <c r="B195" s="4">
        <v>45931</v>
      </c>
      <c r="C195" s="5">
        <v>8247.61</v>
      </c>
      <c r="D195" s="5">
        <v>8393.14</v>
      </c>
      <c r="E195" t="s">
        <v>336</v>
      </c>
      <c r="F195" t="s">
        <v>2278</v>
      </c>
      <c r="G195" s="6">
        <f t="shared" si="3"/>
        <v>1.7645111735399566E-2</v>
      </c>
    </row>
    <row r="196" spans="1:7">
      <c r="A196" t="s">
        <v>34</v>
      </c>
      <c r="B196" s="4">
        <v>45962</v>
      </c>
      <c r="C196" s="5">
        <v>12939.3</v>
      </c>
      <c r="D196" s="5">
        <v>12744.64</v>
      </c>
      <c r="E196" t="s">
        <v>336</v>
      </c>
      <c r="F196" t="s">
        <v>2275</v>
      </c>
      <c r="G196" s="6">
        <f t="shared" si="3"/>
        <v>-1.5044090484029264E-2</v>
      </c>
    </row>
    <row r="197" spans="1:7">
      <c r="A197" t="s">
        <v>34</v>
      </c>
      <c r="B197" s="4">
        <v>46082</v>
      </c>
      <c r="C197" s="5">
        <v>12106.51</v>
      </c>
      <c r="D197" s="5">
        <v>14161.64</v>
      </c>
      <c r="E197" t="s">
        <v>327</v>
      </c>
      <c r="F197" t="s">
        <v>2276</v>
      </c>
      <c r="G197" s="6">
        <f t="shared" si="3"/>
        <v>0.16975412402087794</v>
      </c>
    </row>
    <row r="198" spans="1:7">
      <c r="A198" t="s">
        <v>34</v>
      </c>
      <c r="B198" s="4">
        <v>45839</v>
      </c>
      <c r="C198" s="5">
        <v>9657.3799999999992</v>
      </c>
      <c r="D198" s="5">
        <v>7682.39</v>
      </c>
      <c r="E198" t="s">
        <v>336</v>
      </c>
      <c r="F198" t="s">
        <v>2278</v>
      </c>
      <c r="G198" s="6">
        <f t="shared" si="3"/>
        <v>-0.20450577692914632</v>
      </c>
    </row>
    <row r="199" spans="1:7">
      <c r="A199" t="s">
        <v>34</v>
      </c>
      <c r="B199" s="4">
        <v>46174</v>
      </c>
      <c r="C199" s="5">
        <v>10196.459999999999</v>
      </c>
      <c r="D199" s="5">
        <v>10789.72</v>
      </c>
      <c r="E199" t="s">
        <v>322</v>
      </c>
      <c r="F199" t="s">
        <v>2278</v>
      </c>
      <c r="G199" s="6">
        <f t="shared" si="3"/>
        <v>5.8182938000051025E-2</v>
      </c>
    </row>
    <row r="200" spans="1:7">
      <c r="A200" t="s">
        <v>190</v>
      </c>
      <c r="B200" s="4">
        <v>45962</v>
      </c>
      <c r="C200" s="5">
        <v>61608.800000000003</v>
      </c>
      <c r="D200" s="5">
        <v>63642.35</v>
      </c>
      <c r="E200" t="s">
        <v>336</v>
      </c>
      <c r="F200" t="s">
        <v>2278</v>
      </c>
      <c r="G200" s="6">
        <f t="shared" si="3"/>
        <v>3.3007459973250504E-2</v>
      </c>
    </row>
    <row r="201" spans="1:7">
      <c r="A201" t="s">
        <v>190</v>
      </c>
      <c r="B201" s="4">
        <v>46113</v>
      </c>
      <c r="C201" s="5">
        <v>33606.01</v>
      </c>
      <c r="D201" s="5">
        <v>30833.49</v>
      </c>
      <c r="E201" t="s">
        <v>327</v>
      </c>
      <c r="F201" t="s">
        <v>2275</v>
      </c>
      <c r="G201" s="6">
        <f t="shared" si="3"/>
        <v>-8.2500719365375424E-2</v>
      </c>
    </row>
    <row r="202" spans="1:7">
      <c r="A202" t="s">
        <v>190</v>
      </c>
      <c r="B202" s="4">
        <v>46082</v>
      </c>
      <c r="C202" s="5">
        <v>36998.870000000003</v>
      </c>
      <c r="D202" s="5">
        <v>38807.379999999997</v>
      </c>
      <c r="E202" t="s">
        <v>327</v>
      </c>
      <c r="F202" t="s">
        <v>2276</v>
      </c>
      <c r="G202" s="6">
        <f t="shared" si="3"/>
        <v>4.8880141474590834E-2</v>
      </c>
    </row>
    <row r="203" spans="1:7">
      <c r="A203" t="s">
        <v>190</v>
      </c>
      <c r="B203" s="4">
        <v>45931</v>
      </c>
      <c r="C203" s="5">
        <v>56171.5</v>
      </c>
      <c r="D203" s="5">
        <v>67140.399999999994</v>
      </c>
      <c r="E203" t="s">
        <v>322</v>
      </c>
      <c r="F203" t="s">
        <v>2278</v>
      </c>
      <c r="G203" s="6">
        <f t="shared" si="3"/>
        <v>0.1952751840346082</v>
      </c>
    </row>
    <row r="204" spans="1:7">
      <c r="A204" t="s">
        <v>190</v>
      </c>
      <c r="B204" s="4">
        <v>45992</v>
      </c>
      <c r="C204" s="5">
        <v>33532.400000000001</v>
      </c>
      <c r="D204" s="5">
        <v>36650.57</v>
      </c>
      <c r="E204" t="s">
        <v>327</v>
      </c>
      <c r="F204" t="s">
        <v>2278</v>
      </c>
      <c r="G204" s="6">
        <f t="shared" si="3"/>
        <v>9.2989765122687251E-2</v>
      </c>
    </row>
    <row r="205" spans="1:7">
      <c r="A205" t="s">
        <v>190</v>
      </c>
      <c r="B205" s="4">
        <v>45901</v>
      </c>
      <c r="C205" s="5">
        <v>34099.93</v>
      </c>
      <c r="D205" s="5">
        <v>33463.800000000003</v>
      </c>
      <c r="E205" t="s">
        <v>327</v>
      </c>
      <c r="F205" t="s">
        <v>2276</v>
      </c>
      <c r="G205" s="6">
        <f t="shared" si="3"/>
        <v>-1.8654877004146267E-2</v>
      </c>
    </row>
    <row r="206" spans="1:7">
      <c r="A206" t="s">
        <v>225</v>
      </c>
      <c r="B206" s="4">
        <v>45962</v>
      </c>
      <c r="C206" s="5">
        <v>20606.7</v>
      </c>
      <c r="D206" s="5">
        <v>20445.38</v>
      </c>
      <c r="E206" t="s">
        <v>336</v>
      </c>
      <c r="F206" t="s">
        <v>2275</v>
      </c>
      <c r="G206" s="6">
        <f t="shared" si="3"/>
        <v>-7.8285217914561625E-3</v>
      </c>
    </row>
    <row r="207" spans="1:7">
      <c r="A207" t="s">
        <v>225</v>
      </c>
      <c r="B207" s="4">
        <v>46143</v>
      </c>
      <c r="C207" s="5">
        <v>27197.200000000001</v>
      </c>
      <c r="D207" s="5">
        <v>22387.919999999998</v>
      </c>
      <c r="E207" t="s">
        <v>327</v>
      </c>
      <c r="F207" t="s">
        <v>2277</v>
      </c>
      <c r="G207" s="6">
        <f t="shared" si="3"/>
        <v>-0.17682996779080207</v>
      </c>
    </row>
    <row r="208" spans="1:7">
      <c r="A208" t="s">
        <v>225</v>
      </c>
      <c r="B208" s="4">
        <v>45931</v>
      </c>
      <c r="C208" s="5">
        <v>20762.599999999999</v>
      </c>
      <c r="D208" s="5">
        <v>25605.62</v>
      </c>
      <c r="E208" t="s">
        <v>327</v>
      </c>
      <c r="F208" t="s">
        <v>2275</v>
      </c>
      <c r="G208" s="6">
        <f t="shared" si="3"/>
        <v>0.23325691387398498</v>
      </c>
    </row>
    <row r="209" spans="1:7">
      <c r="A209" t="s">
        <v>225</v>
      </c>
      <c r="B209" s="4">
        <v>46113</v>
      </c>
      <c r="C209" s="5">
        <v>15132.21</v>
      </c>
      <c r="D209" s="5">
        <v>12778.61</v>
      </c>
      <c r="E209" t="s">
        <v>336</v>
      </c>
      <c r="F209" t="s">
        <v>2275</v>
      </c>
      <c r="G209" s="6">
        <f t="shared" si="3"/>
        <v>-0.15553577435153218</v>
      </c>
    </row>
    <row r="210" spans="1:7">
      <c r="A210" t="s">
        <v>225</v>
      </c>
      <c r="B210" s="4">
        <v>45992</v>
      </c>
      <c r="C210" s="5">
        <v>25330.38</v>
      </c>
      <c r="D210" s="5">
        <v>31547.14</v>
      </c>
      <c r="E210" t="s">
        <v>327</v>
      </c>
      <c r="F210" t="s">
        <v>2278</v>
      </c>
      <c r="G210" s="6">
        <f t="shared" si="3"/>
        <v>0.24542703267775684</v>
      </c>
    </row>
    <row r="211" spans="1:7">
      <c r="A211" t="s">
        <v>225</v>
      </c>
      <c r="B211" s="4">
        <v>45870</v>
      </c>
      <c r="C211" s="5">
        <v>26603.37</v>
      </c>
      <c r="D211" s="5">
        <v>25545.8</v>
      </c>
      <c r="E211" t="s">
        <v>336</v>
      </c>
      <c r="F211" t="s">
        <v>2277</v>
      </c>
      <c r="G211" s="6">
        <f t="shared" si="3"/>
        <v>-3.975323427069577E-2</v>
      </c>
    </row>
    <row r="212" spans="1:7">
      <c r="A212" t="s">
        <v>225</v>
      </c>
      <c r="B212" s="4">
        <v>46054</v>
      </c>
      <c r="C212" s="5">
        <v>37229.93</v>
      </c>
      <c r="D212" s="5">
        <v>39614.74</v>
      </c>
      <c r="E212" t="s">
        <v>336</v>
      </c>
      <c r="F212" t="s">
        <v>2277</v>
      </c>
      <c r="G212" s="6">
        <f t="shared" si="3"/>
        <v>6.4056257962343668E-2</v>
      </c>
    </row>
    <row r="213" spans="1:7">
      <c r="A213" t="s">
        <v>225</v>
      </c>
      <c r="B213" s="4">
        <v>46082</v>
      </c>
      <c r="C213" s="5">
        <v>25818.45</v>
      </c>
      <c r="D213" s="5">
        <v>24358.22</v>
      </c>
      <c r="E213" t="s">
        <v>322</v>
      </c>
      <c r="F213" t="s">
        <v>2276</v>
      </c>
      <c r="G213" s="6">
        <f t="shared" si="3"/>
        <v>-5.6557616743065503E-2</v>
      </c>
    </row>
    <row r="214" spans="1:7">
      <c r="A214" t="s">
        <v>225</v>
      </c>
      <c r="B214" s="4">
        <v>45901</v>
      </c>
      <c r="C214" s="5">
        <v>19149.14</v>
      </c>
      <c r="D214" s="5">
        <v>17821.48</v>
      </c>
      <c r="E214" t="s">
        <v>322</v>
      </c>
      <c r="F214" t="s">
        <v>2277</v>
      </c>
      <c r="G214" s="6">
        <f t="shared" si="3"/>
        <v>-6.9332617548359871E-2</v>
      </c>
    </row>
    <row r="215" spans="1:7">
      <c r="A215" t="s">
        <v>155</v>
      </c>
      <c r="B215" s="4">
        <v>45870</v>
      </c>
      <c r="C215" s="5">
        <v>37620.07</v>
      </c>
      <c r="D215" s="5">
        <v>42191.34</v>
      </c>
      <c r="E215" t="s">
        <v>336</v>
      </c>
      <c r="F215" t="s">
        <v>2276</v>
      </c>
      <c r="G215" s="6">
        <f t="shared" si="3"/>
        <v>0.12151146980853562</v>
      </c>
    </row>
    <row r="216" spans="1:7">
      <c r="A216" t="s">
        <v>155</v>
      </c>
      <c r="B216" s="4">
        <v>46082</v>
      </c>
      <c r="C216" s="5">
        <v>34859.67</v>
      </c>
      <c r="D216" s="5">
        <v>37653.620000000003</v>
      </c>
      <c r="E216" t="s">
        <v>322</v>
      </c>
      <c r="F216" t="s">
        <v>2277</v>
      </c>
      <c r="G216" s="6">
        <f t="shared" si="3"/>
        <v>8.0148492512981465E-2</v>
      </c>
    </row>
    <row r="217" spans="1:7">
      <c r="A217" t="s">
        <v>155</v>
      </c>
      <c r="B217" s="4">
        <v>46143</v>
      </c>
      <c r="C217" s="5">
        <v>38386.79</v>
      </c>
      <c r="D217" s="5">
        <v>47538.9</v>
      </c>
      <c r="E217" t="s">
        <v>327</v>
      </c>
      <c r="F217" t="s">
        <v>2278</v>
      </c>
      <c r="G217" s="6">
        <f t="shared" si="3"/>
        <v>0.23841821626658546</v>
      </c>
    </row>
    <row r="218" spans="1:7">
      <c r="A218" t="s">
        <v>155</v>
      </c>
      <c r="B218" s="4">
        <v>45962</v>
      </c>
      <c r="C218" s="5">
        <v>46909.55</v>
      </c>
      <c r="D218" s="5">
        <v>40827.26</v>
      </c>
      <c r="E218" t="s">
        <v>322</v>
      </c>
      <c r="F218" t="s">
        <v>2278</v>
      </c>
      <c r="G218" s="6">
        <f t="shared" si="3"/>
        <v>-0.12965995197140029</v>
      </c>
    </row>
    <row r="219" spans="1:7">
      <c r="A219" t="s">
        <v>155</v>
      </c>
      <c r="B219" s="4">
        <v>45901</v>
      </c>
      <c r="C219" s="5">
        <v>78664.100000000006</v>
      </c>
      <c r="D219" s="5">
        <v>72903.98</v>
      </c>
      <c r="E219" t="s">
        <v>322</v>
      </c>
      <c r="F219" t="s">
        <v>2276</v>
      </c>
      <c r="G219" s="6">
        <f t="shared" si="3"/>
        <v>-7.3224253503186454E-2</v>
      </c>
    </row>
    <row r="220" spans="1:7">
      <c r="A220" t="s">
        <v>155</v>
      </c>
      <c r="B220" s="4">
        <v>46023</v>
      </c>
      <c r="C220" s="5">
        <v>34021.81</v>
      </c>
      <c r="D220" s="5">
        <v>35452.769999999997</v>
      </c>
      <c r="E220" t="s">
        <v>322</v>
      </c>
      <c r="F220" t="s">
        <v>2276</v>
      </c>
      <c r="G220" s="6">
        <f t="shared" si="3"/>
        <v>4.2060078520219799E-2</v>
      </c>
    </row>
    <row r="221" spans="1:7">
      <c r="A221" t="s">
        <v>245</v>
      </c>
      <c r="B221" s="4">
        <v>45931</v>
      </c>
      <c r="C221" s="5">
        <v>88305.35</v>
      </c>
      <c r="D221" s="5">
        <v>109440.02</v>
      </c>
      <c r="E221" t="s">
        <v>336</v>
      </c>
      <c r="F221" t="s">
        <v>2275</v>
      </c>
      <c r="G221" s="6">
        <f t="shared" si="3"/>
        <v>0.23933623500727869</v>
      </c>
    </row>
    <row r="222" spans="1:7">
      <c r="A222" t="s">
        <v>245</v>
      </c>
      <c r="B222" s="4">
        <v>46082</v>
      </c>
      <c r="C222" s="5">
        <v>49654.400000000001</v>
      </c>
      <c r="D222" s="5">
        <v>43353.08</v>
      </c>
      <c r="E222" t="s">
        <v>336</v>
      </c>
      <c r="F222" t="s">
        <v>2276</v>
      </c>
      <c r="G222" s="6">
        <f t="shared" si="3"/>
        <v>-0.12690355738867048</v>
      </c>
    </row>
    <row r="223" spans="1:7">
      <c r="A223" t="s">
        <v>245</v>
      </c>
      <c r="B223" s="4">
        <v>46113</v>
      </c>
      <c r="C223" s="5">
        <v>57025.79</v>
      </c>
      <c r="D223" s="5">
        <v>60151.01</v>
      </c>
      <c r="E223" t="s">
        <v>322</v>
      </c>
      <c r="F223" t="s">
        <v>2276</v>
      </c>
      <c r="G223" s="6">
        <f t="shared" si="3"/>
        <v>5.4803624816070082E-2</v>
      </c>
    </row>
    <row r="224" spans="1:7">
      <c r="A224" t="s">
        <v>245</v>
      </c>
      <c r="B224" s="4">
        <v>45839</v>
      </c>
      <c r="C224" s="5">
        <v>59375.76</v>
      </c>
      <c r="D224" s="5">
        <v>44625.88</v>
      </c>
      <c r="E224" t="s">
        <v>327</v>
      </c>
      <c r="F224" t="s">
        <v>2278</v>
      </c>
      <c r="G224" s="6">
        <f t="shared" si="3"/>
        <v>-0.24841585185604367</v>
      </c>
    </row>
    <row r="225" spans="1:7">
      <c r="A225" t="s">
        <v>245</v>
      </c>
      <c r="B225" s="4">
        <v>45901</v>
      </c>
      <c r="C225" s="5">
        <v>69148.289999999994</v>
      </c>
      <c r="D225" s="5">
        <v>81625.929999999993</v>
      </c>
      <c r="E225" t="s">
        <v>336</v>
      </c>
      <c r="F225" t="s">
        <v>2275</v>
      </c>
      <c r="G225" s="6">
        <f t="shared" si="3"/>
        <v>0.18044755698224788</v>
      </c>
    </row>
    <row r="226" spans="1:7">
      <c r="A226" t="s">
        <v>245</v>
      </c>
      <c r="B226" s="4">
        <v>46143</v>
      </c>
      <c r="C226" s="5">
        <v>55228.67</v>
      </c>
      <c r="D226" s="5">
        <v>44193.06</v>
      </c>
      <c r="E226" t="s">
        <v>322</v>
      </c>
      <c r="F226" t="s">
        <v>2275</v>
      </c>
      <c r="G226" s="6">
        <f t="shared" si="3"/>
        <v>-0.19981668941149588</v>
      </c>
    </row>
    <row r="227" spans="1:7">
      <c r="A227" t="s">
        <v>245</v>
      </c>
      <c r="B227" s="4">
        <v>45962</v>
      </c>
      <c r="C227" s="5">
        <v>86546.23</v>
      </c>
      <c r="D227" s="5">
        <v>84059.22</v>
      </c>
      <c r="E227" t="s">
        <v>327</v>
      </c>
      <c r="F227" t="s">
        <v>2275</v>
      </c>
      <c r="G227" s="6">
        <f t="shared" si="3"/>
        <v>-2.8736202605243403E-2</v>
      </c>
    </row>
    <row r="228" spans="1:7">
      <c r="A228" t="s">
        <v>101</v>
      </c>
      <c r="B228" s="4">
        <v>45839</v>
      </c>
      <c r="C228" s="5">
        <v>26537.27</v>
      </c>
      <c r="D228" s="5">
        <v>20177.82</v>
      </c>
      <c r="E228" t="s">
        <v>327</v>
      </c>
      <c r="F228" t="s">
        <v>2275</v>
      </c>
      <c r="G228" s="6">
        <f t="shared" si="3"/>
        <v>-0.23964220886323276</v>
      </c>
    </row>
    <row r="229" spans="1:7">
      <c r="A229" t="s">
        <v>101</v>
      </c>
      <c r="B229" s="4">
        <v>46082</v>
      </c>
      <c r="C229" s="5">
        <v>39581.1</v>
      </c>
      <c r="D229" s="5">
        <v>41689.86</v>
      </c>
      <c r="E229" t="s">
        <v>336</v>
      </c>
      <c r="F229" t="s">
        <v>2276</v>
      </c>
      <c r="G229" s="6">
        <f t="shared" si="3"/>
        <v>5.3276942783298142E-2</v>
      </c>
    </row>
    <row r="230" spans="1:7">
      <c r="A230" t="s">
        <v>101</v>
      </c>
      <c r="B230" s="4">
        <v>45962</v>
      </c>
      <c r="C230" s="5">
        <v>36036.61</v>
      </c>
      <c r="D230" s="5">
        <v>37855.620000000003</v>
      </c>
      <c r="E230" t="s">
        <v>327</v>
      </c>
      <c r="F230" t="s">
        <v>2275</v>
      </c>
      <c r="G230" s="6">
        <f t="shared" si="3"/>
        <v>5.0476723531985998E-2</v>
      </c>
    </row>
    <row r="231" spans="1:7">
      <c r="A231" t="s">
        <v>101</v>
      </c>
      <c r="B231" s="4">
        <v>45931</v>
      </c>
      <c r="C231" s="5">
        <v>21963.22</v>
      </c>
      <c r="D231" s="5">
        <v>20909.05</v>
      </c>
      <c r="E231" t="s">
        <v>322</v>
      </c>
      <c r="F231" t="s">
        <v>2278</v>
      </c>
      <c r="G231" s="6">
        <f t="shared" si="3"/>
        <v>-4.7997060540303373E-2</v>
      </c>
    </row>
    <row r="232" spans="1:7">
      <c r="A232" t="s">
        <v>101</v>
      </c>
      <c r="B232" s="4">
        <v>46054</v>
      </c>
      <c r="C232" s="5">
        <v>26825.98</v>
      </c>
      <c r="D232" s="5">
        <v>23796.55</v>
      </c>
      <c r="E232" t="s">
        <v>327</v>
      </c>
      <c r="F232" t="s">
        <v>2278</v>
      </c>
      <c r="G232" s="6">
        <f t="shared" si="3"/>
        <v>-0.11292895916570431</v>
      </c>
    </row>
    <row r="233" spans="1:7">
      <c r="A233" t="s">
        <v>101</v>
      </c>
      <c r="B233" s="4">
        <v>46143</v>
      </c>
      <c r="C233" s="5">
        <v>41165.35</v>
      </c>
      <c r="D233" s="5">
        <v>38683.99</v>
      </c>
      <c r="E233" t="s">
        <v>336</v>
      </c>
      <c r="F233" t="s">
        <v>2277</v>
      </c>
      <c r="G233" s="6">
        <f t="shared" si="3"/>
        <v>-6.0277879332982731E-2</v>
      </c>
    </row>
    <row r="234" spans="1:7">
      <c r="A234" t="s">
        <v>101</v>
      </c>
      <c r="B234" s="4">
        <v>46113</v>
      </c>
      <c r="C234" s="5">
        <v>35590.42</v>
      </c>
      <c r="D234" s="5">
        <v>36717.019999999997</v>
      </c>
      <c r="E234" t="s">
        <v>327</v>
      </c>
      <c r="F234" t="s">
        <v>2277</v>
      </c>
      <c r="G234" s="6">
        <f t="shared" si="3"/>
        <v>3.1654585700309198E-2</v>
      </c>
    </row>
    <row r="235" spans="1:7">
      <c r="A235" t="s">
        <v>103</v>
      </c>
      <c r="B235" s="4">
        <v>46023</v>
      </c>
      <c r="C235" s="5">
        <v>3862.71</v>
      </c>
      <c r="D235" s="5">
        <v>3845.25</v>
      </c>
      <c r="E235" t="s">
        <v>327</v>
      </c>
      <c r="F235" t="s">
        <v>2275</v>
      </c>
      <c r="G235" s="6">
        <f t="shared" si="3"/>
        <v>-4.520142594189063E-3</v>
      </c>
    </row>
    <row r="236" spans="1:7">
      <c r="A236" t="s">
        <v>103</v>
      </c>
      <c r="B236" s="4">
        <v>46113</v>
      </c>
      <c r="C236" s="5">
        <v>5810.28</v>
      </c>
      <c r="D236" s="5">
        <v>4617.6099999999997</v>
      </c>
      <c r="E236" t="s">
        <v>336</v>
      </c>
      <c r="F236" t="s">
        <v>2278</v>
      </c>
      <c r="G236" s="6">
        <f t="shared" si="3"/>
        <v>-0.20526893712523323</v>
      </c>
    </row>
    <row r="237" spans="1:7">
      <c r="A237" t="s">
        <v>103</v>
      </c>
      <c r="B237" s="4">
        <v>45992</v>
      </c>
      <c r="C237" s="5">
        <v>3300.75</v>
      </c>
      <c r="D237" s="5">
        <v>3080.58</v>
      </c>
      <c r="E237" t="s">
        <v>336</v>
      </c>
      <c r="F237" t="s">
        <v>2275</v>
      </c>
      <c r="G237" s="6">
        <f t="shared" si="3"/>
        <v>-6.670302204044537E-2</v>
      </c>
    </row>
    <row r="238" spans="1:7">
      <c r="A238" t="s">
        <v>103</v>
      </c>
      <c r="B238" s="4">
        <v>46143</v>
      </c>
      <c r="C238" s="5">
        <v>3040.96</v>
      </c>
      <c r="D238" s="5">
        <v>2613.91</v>
      </c>
      <c r="E238" t="s">
        <v>327</v>
      </c>
      <c r="F238" t="s">
        <v>2276</v>
      </c>
      <c r="G238" s="6">
        <f t="shared" si="3"/>
        <v>-0.14043262653898775</v>
      </c>
    </row>
    <row r="239" spans="1:7">
      <c r="A239" t="s">
        <v>123</v>
      </c>
      <c r="B239" s="4">
        <v>45992</v>
      </c>
      <c r="C239" s="5">
        <v>88690.29</v>
      </c>
      <c r="D239" s="5">
        <v>68737.86</v>
      </c>
      <c r="E239" t="s">
        <v>322</v>
      </c>
      <c r="F239" t="s">
        <v>2278</v>
      </c>
      <c r="G239" s="6">
        <f t="shared" si="3"/>
        <v>-0.22496746825385275</v>
      </c>
    </row>
    <row r="240" spans="1:7">
      <c r="A240" t="s">
        <v>123</v>
      </c>
      <c r="B240" s="4">
        <v>45839</v>
      </c>
      <c r="C240" s="5">
        <v>72917.77</v>
      </c>
      <c r="D240" s="5">
        <v>65376.35</v>
      </c>
      <c r="E240" t="s">
        <v>336</v>
      </c>
      <c r="F240" t="s">
        <v>2278</v>
      </c>
      <c r="G240" s="6">
        <f t="shared" si="3"/>
        <v>-0.10342362362425517</v>
      </c>
    </row>
    <row r="241" spans="1:7">
      <c r="A241" t="s">
        <v>123</v>
      </c>
      <c r="B241" s="4">
        <v>45931</v>
      </c>
      <c r="C241" s="5">
        <v>100131.37</v>
      </c>
      <c r="D241" s="5">
        <v>84411.75</v>
      </c>
      <c r="E241" t="s">
        <v>336</v>
      </c>
      <c r="F241" t="s">
        <v>2278</v>
      </c>
      <c r="G241" s="6">
        <f t="shared" si="3"/>
        <v>-0.15698996228654413</v>
      </c>
    </row>
    <row r="242" spans="1:7">
      <c r="A242" t="s">
        <v>123</v>
      </c>
      <c r="B242" s="4">
        <v>45870</v>
      </c>
      <c r="C242" s="5">
        <v>54263.09</v>
      </c>
      <c r="D242" s="5">
        <v>42509.13</v>
      </c>
      <c r="E242" t="s">
        <v>322</v>
      </c>
      <c r="F242" t="s">
        <v>2277</v>
      </c>
      <c r="G242" s="6">
        <f t="shared" si="3"/>
        <v>-0.2166105911034554</v>
      </c>
    </row>
    <row r="243" spans="1:7">
      <c r="A243" t="s">
        <v>123</v>
      </c>
      <c r="B243" s="4">
        <v>45901</v>
      </c>
      <c r="C243" s="5">
        <v>80699.990000000005</v>
      </c>
      <c r="D243" s="5">
        <v>92123.1</v>
      </c>
      <c r="E243" t="s">
        <v>327</v>
      </c>
      <c r="F243" t="s">
        <v>2276</v>
      </c>
      <c r="G243" s="6">
        <f t="shared" si="3"/>
        <v>0.14155032732965642</v>
      </c>
    </row>
    <row r="244" spans="1:7">
      <c r="A244" t="s">
        <v>123</v>
      </c>
      <c r="B244" s="4">
        <v>46143</v>
      </c>
      <c r="C244" s="5">
        <v>62182.45</v>
      </c>
      <c r="D244" s="5">
        <v>61257.440000000002</v>
      </c>
      <c r="E244" t="s">
        <v>336</v>
      </c>
      <c r="F244" t="s">
        <v>2276</v>
      </c>
      <c r="G244" s="6">
        <f t="shared" si="3"/>
        <v>-1.4875740663161307E-2</v>
      </c>
    </row>
    <row r="245" spans="1:7">
      <c r="A245" t="s">
        <v>123</v>
      </c>
      <c r="B245" s="4">
        <v>45962</v>
      </c>
      <c r="C245" s="5">
        <v>58796.42</v>
      </c>
      <c r="D245" s="5">
        <v>67843.09</v>
      </c>
      <c r="E245" t="s">
        <v>322</v>
      </c>
      <c r="F245" t="s">
        <v>2277</v>
      </c>
      <c r="G245" s="6">
        <f t="shared" si="3"/>
        <v>0.15386429990125247</v>
      </c>
    </row>
    <row r="246" spans="1:7">
      <c r="A246" t="s">
        <v>194</v>
      </c>
      <c r="B246" s="4">
        <v>45962</v>
      </c>
      <c r="C246" s="5">
        <v>55688.11</v>
      </c>
      <c r="D246" s="5">
        <v>57176.06</v>
      </c>
      <c r="E246" t="s">
        <v>336</v>
      </c>
      <c r="F246" t="s">
        <v>2276</v>
      </c>
      <c r="G246" s="6">
        <f t="shared" si="3"/>
        <v>2.6719348169654118E-2</v>
      </c>
    </row>
    <row r="247" spans="1:7">
      <c r="A247" t="s">
        <v>194</v>
      </c>
      <c r="B247" s="4">
        <v>45901</v>
      </c>
      <c r="C247" s="5">
        <v>31562.01</v>
      </c>
      <c r="D247" s="5">
        <v>38381.769999999997</v>
      </c>
      <c r="E247" t="s">
        <v>322</v>
      </c>
      <c r="F247" t="s">
        <v>2277</v>
      </c>
      <c r="G247" s="6">
        <f t="shared" si="3"/>
        <v>0.21607495847064237</v>
      </c>
    </row>
    <row r="248" spans="1:7">
      <c r="A248" t="s">
        <v>194</v>
      </c>
      <c r="B248" s="4">
        <v>46082</v>
      </c>
      <c r="C248" s="5">
        <v>38216.54</v>
      </c>
      <c r="D248" s="5">
        <v>31945.1</v>
      </c>
      <c r="E248" t="s">
        <v>336</v>
      </c>
      <c r="F248" t="s">
        <v>2277</v>
      </c>
      <c r="G248" s="6">
        <f t="shared" si="3"/>
        <v>-0.16410276806848559</v>
      </c>
    </row>
    <row r="249" spans="1:7">
      <c r="A249" t="s">
        <v>194</v>
      </c>
      <c r="B249" s="4">
        <v>45870</v>
      </c>
      <c r="C249" s="5">
        <v>44974.16</v>
      </c>
      <c r="D249" s="5">
        <v>53852.92</v>
      </c>
      <c r="E249" t="s">
        <v>336</v>
      </c>
      <c r="F249" t="s">
        <v>2276</v>
      </c>
      <c r="G249" s="6">
        <f t="shared" si="3"/>
        <v>0.19741914023519269</v>
      </c>
    </row>
    <row r="250" spans="1:7">
      <c r="A250" t="s">
        <v>27</v>
      </c>
      <c r="B250" s="4">
        <v>45901</v>
      </c>
      <c r="C250" s="5">
        <v>51657.15</v>
      </c>
      <c r="D250" s="5">
        <v>57086.55</v>
      </c>
      <c r="E250" t="s">
        <v>327</v>
      </c>
      <c r="F250" t="s">
        <v>2276</v>
      </c>
      <c r="G250" s="6">
        <f t="shared" si="3"/>
        <v>0.10510452086497225</v>
      </c>
    </row>
    <row r="251" spans="1:7">
      <c r="A251" t="s">
        <v>27</v>
      </c>
      <c r="B251" s="4">
        <v>46174</v>
      </c>
      <c r="C251" s="5">
        <v>38169.25</v>
      </c>
      <c r="D251" s="5">
        <v>40192.43</v>
      </c>
      <c r="E251" t="s">
        <v>322</v>
      </c>
      <c r="F251" t="s">
        <v>2277</v>
      </c>
      <c r="G251" s="6">
        <f t="shared" si="3"/>
        <v>5.3005495261237781E-2</v>
      </c>
    </row>
    <row r="252" spans="1:7">
      <c r="A252" t="s">
        <v>27</v>
      </c>
      <c r="B252" s="4">
        <v>45931</v>
      </c>
      <c r="C252" s="5">
        <v>75970.78</v>
      </c>
      <c r="D252" s="5">
        <v>62140.46</v>
      </c>
      <c r="E252" t="s">
        <v>336</v>
      </c>
      <c r="F252" t="s">
        <v>2275</v>
      </c>
      <c r="G252" s="6">
        <f t="shared" si="3"/>
        <v>-0.18204788735879768</v>
      </c>
    </row>
    <row r="253" spans="1:7">
      <c r="A253" t="s">
        <v>27</v>
      </c>
      <c r="B253" s="4">
        <v>45992</v>
      </c>
      <c r="C253" s="5">
        <v>55062.96</v>
      </c>
      <c r="D253" s="5">
        <v>54786.45</v>
      </c>
      <c r="E253" t="s">
        <v>336</v>
      </c>
      <c r="F253" t="s">
        <v>2275</v>
      </c>
      <c r="G253" s="6">
        <f t="shared" si="3"/>
        <v>-5.0217060615702835E-3</v>
      </c>
    </row>
    <row r="254" spans="1:7">
      <c r="A254" t="s">
        <v>27</v>
      </c>
      <c r="B254" s="4">
        <v>45962</v>
      </c>
      <c r="C254" s="5">
        <v>71638.570000000007</v>
      </c>
      <c r="D254" s="5">
        <v>70442.929999999993</v>
      </c>
      <c r="E254" t="s">
        <v>327</v>
      </c>
      <c r="F254" t="s">
        <v>2278</v>
      </c>
      <c r="G254" s="6">
        <f t="shared" si="3"/>
        <v>-1.6689892051167603E-2</v>
      </c>
    </row>
    <row r="255" spans="1:7">
      <c r="A255" t="s">
        <v>27</v>
      </c>
      <c r="B255" s="4">
        <v>46113</v>
      </c>
      <c r="C255" s="5">
        <v>66922.05</v>
      </c>
      <c r="D255" s="5">
        <v>69514.34</v>
      </c>
      <c r="E255" t="s">
        <v>327</v>
      </c>
      <c r="F255" t="s">
        <v>2275</v>
      </c>
      <c r="G255" s="6">
        <f t="shared" si="3"/>
        <v>3.8735962212753397E-2</v>
      </c>
    </row>
    <row r="256" spans="1:7">
      <c r="A256" t="s">
        <v>27</v>
      </c>
      <c r="B256" s="4">
        <v>45870</v>
      </c>
      <c r="C256" s="5">
        <v>65321.43</v>
      </c>
      <c r="D256" s="5">
        <v>66087.990000000005</v>
      </c>
      <c r="E256" t="s">
        <v>336</v>
      </c>
      <c r="F256" t="s">
        <v>2276</v>
      </c>
      <c r="G256" s="6">
        <f t="shared" si="3"/>
        <v>1.1735199305955258E-2</v>
      </c>
    </row>
    <row r="257" spans="1:7">
      <c r="A257" t="s">
        <v>262</v>
      </c>
      <c r="B257" s="4">
        <v>45901</v>
      </c>
      <c r="C257" s="5">
        <v>6406.72</v>
      </c>
      <c r="D257" s="5">
        <v>7701.41</v>
      </c>
      <c r="E257" t="s">
        <v>336</v>
      </c>
      <c r="F257" t="s">
        <v>2275</v>
      </c>
      <c r="G257" s="6">
        <f t="shared" si="3"/>
        <v>0.20208312521852048</v>
      </c>
    </row>
    <row r="258" spans="1:7">
      <c r="A258" t="s">
        <v>262</v>
      </c>
      <c r="B258" s="4">
        <v>45839</v>
      </c>
      <c r="C258" s="5">
        <v>7913.64</v>
      </c>
      <c r="D258" s="5">
        <v>6029.7</v>
      </c>
      <c r="E258" t="s">
        <v>336</v>
      </c>
      <c r="F258" t="s">
        <v>2276</v>
      </c>
      <c r="G258" s="6">
        <f t="shared" ref="G258:G321" si="4">IF(C258=0,0,(D258-C258)/C258)</f>
        <v>-0.23806238342911737</v>
      </c>
    </row>
    <row r="259" spans="1:7">
      <c r="A259" t="s">
        <v>262</v>
      </c>
      <c r="B259" s="4">
        <v>45931</v>
      </c>
      <c r="C259" s="5">
        <v>11605.92</v>
      </c>
      <c r="D259" s="5">
        <v>9955.39</v>
      </c>
      <c r="E259" t="s">
        <v>327</v>
      </c>
      <c r="F259" t="s">
        <v>2276</v>
      </c>
      <c r="G259" s="6">
        <f t="shared" si="4"/>
        <v>-0.14221449053586452</v>
      </c>
    </row>
    <row r="260" spans="1:7">
      <c r="A260" t="s">
        <v>262</v>
      </c>
      <c r="B260" s="4">
        <v>45870</v>
      </c>
      <c r="C260" s="5">
        <v>9145.7000000000007</v>
      </c>
      <c r="D260" s="5">
        <v>9559.2199999999993</v>
      </c>
      <c r="E260" t="s">
        <v>327</v>
      </c>
      <c r="F260" t="s">
        <v>2276</v>
      </c>
      <c r="G260" s="6">
        <f t="shared" si="4"/>
        <v>4.5214691056999309E-2</v>
      </c>
    </row>
    <row r="261" spans="1:7">
      <c r="A261" t="s">
        <v>262</v>
      </c>
      <c r="B261" s="4">
        <v>45992</v>
      </c>
      <c r="C261" s="5">
        <v>10776.7</v>
      </c>
      <c r="D261" s="5">
        <v>9709.66</v>
      </c>
      <c r="E261" t="s">
        <v>322</v>
      </c>
      <c r="F261" t="s">
        <v>2276</v>
      </c>
      <c r="G261" s="6">
        <f t="shared" si="4"/>
        <v>-9.9013612701476406E-2</v>
      </c>
    </row>
    <row r="262" spans="1:7">
      <c r="A262" t="s">
        <v>262</v>
      </c>
      <c r="B262" s="4">
        <v>46023</v>
      </c>
      <c r="C262" s="5">
        <v>5594.56</v>
      </c>
      <c r="D262" s="5">
        <v>4831.1000000000004</v>
      </c>
      <c r="E262" t="s">
        <v>336</v>
      </c>
      <c r="F262" t="s">
        <v>2278</v>
      </c>
      <c r="G262" s="6">
        <f t="shared" si="4"/>
        <v>-0.13646470857404336</v>
      </c>
    </row>
    <row r="263" spans="1:7">
      <c r="A263" t="s">
        <v>262</v>
      </c>
      <c r="B263" s="4">
        <v>46174</v>
      </c>
      <c r="C263" s="5">
        <v>9447.4</v>
      </c>
      <c r="D263" s="5">
        <v>9288.44</v>
      </c>
      <c r="E263" t="s">
        <v>336</v>
      </c>
      <c r="F263" t="s">
        <v>2278</v>
      </c>
      <c r="G263" s="6">
        <f t="shared" si="4"/>
        <v>-1.682579333996646E-2</v>
      </c>
    </row>
    <row r="264" spans="1:7">
      <c r="A264" t="s">
        <v>253</v>
      </c>
      <c r="B264" s="4">
        <v>45901</v>
      </c>
      <c r="C264" s="5">
        <v>40019.129999999997</v>
      </c>
      <c r="D264" s="5">
        <v>31077.24</v>
      </c>
      <c r="E264" t="s">
        <v>336</v>
      </c>
      <c r="F264" t="s">
        <v>2275</v>
      </c>
      <c r="G264" s="6">
        <f t="shared" si="4"/>
        <v>-0.22344038963365762</v>
      </c>
    </row>
    <row r="265" spans="1:7">
      <c r="A265" t="s">
        <v>253</v>
      </c>
      <c r="B265" s="4">
        <v>46023</v>
      </c>
      <c r="C265" s="5">
        <v>64628.66</v>
      </c>
      <c r="D265" s="5">
        <v>76653.240000000005</v>
      </c>
      <c r="E265" t="s">
        <v>322</v>
      </c>
      <c r="F265" t="s">
        <v>2278</v>
      </c>
      <c r="G265" s="6">
        <f t="shared" si="4"/>
        <v>0.18605646473251961</v>
      </c>
    </row>
    <row r="266" spans="1:7">
      <c r="A266" t="s">
        <v>253</v>
      </c>
      <c r="B266" s="4">
        <v>45839</v>
      </c>
      <c r="C266" s="5">
        <v>42488.13</v>
      </c>
      <c r="D266" s="5">
        <v>42754.99</v>
      </c>
      <c r="E266" t="s">
        <v>336</v>
      </c>
      <c r="F266" t="s">
        <v>2277</v>
      </c>
      <c r="G266" s="6">
        <f t="shared" si="4"/>
        <v>6.280813017659299E-3</v>
      </c>
    </row>
    <row r="267" spans="1:7">
      <c r="A267" t="s">
        <v>253</v>
      </c>
      <c r="B267" s="4">
        <v>45931</v>
      </c>
      <c r="C267" s="5">
        <v>66580.800000000003</v>
      </c>
      <c r="D267" s="5">
        <v>78852.61</v>
      </c>
      <c r="E267" t="s">
        <v>336</v>
      </c>
      <c r="F267" t="s">
        <v>2277</v>
      </c>
      <c r="G267" s="6">
        <f t="shared" si="4"/>
        <v>0.18431454713671205</v>
      </c>
    </row>
    <row r="268" spans="1:7">
      <c r="A268" t="s">
        <v>253</v>
      </c>
      <c r="B268" s="4">
        <v>46174</v>
      </c>
      <c r="C268" s="5">
        <v>42392.79</v>
      </c>
      <c r="D268" s="5">
        <v>35895.660000000003</v>
      </c>
      <c r="E268" t="s">
        <v>327</v>
      </c>
      <c r="F268" t="s">
        <v>2276</v>
      </c>
      <c r="G268" s="6">
        <f t="shared" si="4"/>
        <v>-0.15326025958659473</v>
      </c>
    </row>
    <row r="269" spans="1:7">
      <c r="A269" t="s">
        <v>253</v>
      </c>
      <c r="B269" s="4">
        <v>45992</v>
      </c>
      <c r="C269" s="5">
        <v>28190.74</v>
      </c>
      <c r="D269" s="5">
        <v>22570.95</v>
      </c>
      <c r="E269" t="s">
        <v>327</v>
      </c>
      <c r="F269" t="s">
        <v>2278</v>
      </c>
      <c r="G269" s="6">
        <f t="shared" si="4"/>
        <v>-0.19934879325622529</v>
      </c>
    </row>
    <row r="270" spans="1:7">
      <c r="A270" t="s">
        <v>253</v>
      </c>
      <c r="B270" s="4">
        <v>46113</v>
      </c>
      <c r="C270" s="5">
        <v>30221.91</v>
      </c>
      <c r="D270" s="5">
        <v>30365.57</v>
      </c>
      <c r="E270" t="s">
        <v>327</v>
      </c>
      <c r="F270" t="s">
        <v>2278</v>
      </c>
      <c r="G270" s="6">
        <f t="shared" si="4"/>
        <v>4.7535049902537544E-3</v>
      </c>
    </row>
    <row r="271" spans="1:7">
      <c r="A271" t="s">
        <v>49</v>
      </c>
      <c r="B271" s="4">
        <v>45992</v>
      </c>
      <c r="C271" s="5">
        <v>8801.0300000000007</v>
      </c>
      <c r="D271" s="5">
        <v>8875.83</v>
      </c>
      <c r="E271" t="s">
        <v>322</v>
      </c>
      <c r="F271" t="s">
        <v>2275</v>
      </c>
      <c r="G271" s="6">
        <f t="shared" si="4"/>
        <v>8.4990052300695784E-3</v>
      </c>
    </row>
    <row r="272" spans="1:7">
      <c r="A272" t="s">
        <v>49</v>
      </c>
      <c r="B272" s="4">
        <v>46113</v>
      </c>
      <c r="C272" s="5">
        <v>17479.34</v>
      </c>
      <c r="D272" s="5">
        <v>16897.349999999999</v>
      </c>
      <c r="E272" t="s">
        <v>327</v>
      </c>
      <c r="F272" t="s">
        <v>2277</v>
      </c>
      <c r="G272" s="6">
        <f t="shared" si="4"/>
        <v>-3.3295879592707828E-2</v>
      </c>
    </row>
    <row r="273" spans="1:7">
      <c r="A273" t="s">
        <v>49</v>
      </c>
      <c r="B273" s="4">
        <v>46054</v>
      </c>
      <c r="C273" s="5">
        <v>16348.86</v>
      </c>
      <c r="D273" s="5">
        <v>16741.150000000001</v>
      </c>
      <c r="E273" t="s">
        <v>327</v>
      </c>
      <c r="F273" t="s">
        <v>2277</v>
      </c>
      <c r="G273" s="6">
        <f t="shared" si="4"/>
        <v>2.3994945213305446E-2</v>
      </c>
    </row>
    <row r="274" spans="1:7">
      <c r="A274" t="s">
        <v>49</v>
      </c>
      <c r="B274" s="4">
        <v>46174</v>
      </c>
      <c r="C274" s="5">
        <v>20424.759999999998</v>
      </c>
      <c r="D274" s="5">
        <v>16884.43</v>
      </c>
      <c r="E274" t="s">
        <v>336</v>
      </c>
      <c r="F274" t="s">
        <v>2278</v>
      </c>
      <c r="G274" s="6">
        <f t="shared" si="4"/>
        <v>-0.17333520687635978</v>
      </c>
    </row>
    <row r="275" spans="1:7">
      <c r="A275" t="s">
        <v>49</v>
      </c>
      <c r="B275" s="4">
        <v>46082</v>
      </c>
      <c r="C275" s="5">
        <v>16278.9</v>
      </c>
      <c r="D275" s="5">
        <v>15789.41</v>
      </c>
      <c r="E275" t="s">
        <v>327</v>
      </c>
      <c r="F275" t="s">
        <v>2278</v>
      </c>
      <c r="G275" s="6">
        <f t="shared" si="4"/>
        <v>-3.0068985005129327E-2</v>
      </c>
    </row>
    <row r="276" spans="1:7">
      <c r="A276" t="s">
        <v>49</v>
      </c>
      <c r="B276" s="4">
        <v>45901</v>
      </c>
      <c r="C276" s="5">
        <v>9942.09</v>
      </c>
      <c r="D276" s="5">
        <v>11245.04</v>
      </c>
      <c r="E276" t="s">
        <v>322</v>
      </c>
      <c r="F276" t="s">
        <v>2277</v>
      </c>
      <c r="G276" s="6">
        <f t="shared" si="4"/>
        <v>0.13105393332790194</v>
      </c>
    </row>
    <row r="277" spans="1:7">
      <c r="A277" t="s">
        <v>49</v>
      </c>
      <c r="B277" s="4">
        <v>46023</v>
      </c>
      <c r="C277" s="5">
        <v>15742.41</v>
      </c>
      <c r="D277" s="5">
        <v>13977.37</v>
      </c>
      <c r="E277" t="s">
        <v>322</v>
      </c>
      <c r="F277" t="s">
        <v>2277</v>
      </c>
      <c r="G277" s="6">
        <f t="shared" si="4"/>
        <v>-0.11212006293826669</v>
      </c>
    </row>
    <row r="278" spans="1:7">
      <c r="A278" t="s">
        <v>212</v>
      </c>
      <c r="B278" s="4">
        <v>45901</v>
      </c>
      <c r="C278" s="5">
        <v>27909.23</v>
      </c>
      <c r="D278" s="5">
        <v>32457.35</v>
      </c>
      <c r="E278" t="s">
        <v>322</v>
      </c>
      <c r="F278" t="s">
        <v>2275</v>
      </c>
      <c r="G278" s="6">
        <f t="shared" si="4"/>
        <v>0.16296114224577313</v>
      </c>
    </row>
    <row r="279" spans="1:7">
      <c r="A279" t="s">
        <v>212</v>
      </c>
      <c r="B279" s="4">
        <v>45931</v>
      </c>
      <c r="C279" s="5">
        <v>31241.77</v>
      </c>
      <c r="D279" s="5">
        <v>27416.959999999999</v>
      </c>
      <c r="E279" t="s">
        <v>322</v>
      </c>
      <c r="F279" t="s">
        <v>2277</v>
      </c>
      <c r="G279" s="6">
        <f t="shared" si="4"/>
        <v>-0.12242616215406493</v>
      </c>
    </row>
    <row r="280" spans="1:7">
      <c r="A280" t="s">
        <v>212</v>
      </c>
      <c r="B280" s="4">
        <v>46023</v>
      </c>
      <c r="C280" s="5">
        <v>42669.77</v>
      </c>
      <c r="D280" s="5">
        <v>35488.269999999997</v>
      </c>
      <c r="E280" t="s">
        <v>322</v>
      </c>
      <c r="F280" t="s">
        <v>2278</v>
      </c>
      <c r="G280" s="6">
        <f t="shared" si="4"/>
        <v>-0.1683041647517669</v>
      </c>
    </row>
    <row r="281" spans="1:7">
      <c r="A281" t="s">
        <v>212</v>
      </c>
      <c r="B281" s="4">
        <v>46143</v>
      </c>
      <c r="C281" s="5">
        <v>35879.730000000003</v>
      </c>
      <c r="D281" s="5">
        <v>41028.69</v>
      </c>
      <c r="E281" t="s">
        <v>322</v>
      </c>
      <c r="F281" t="s">
        <v>2275</v>
      </c>
      <c r="G281" s="6">
        <f t="shared" si="4"/>
        <v>0.14350609661778388</v>
      </c>
    </row>
    <row r="282" spans="1:7">
      <c r="A282" t="s">
        <v>18</v>
      </c>
      <c r="B282" s="4">
        <v>46143</v>
      </c>
      <c r="C282" s="5">
        <v>114677.84</v>
      </c>
      <c r="D282" s="5">
        <v>105660.56</v>
      </c>
      <c r="E282" t="s">
        <v>327</v>
      </c>
      <c r="F282" t="s">
        <v>2278</v>
      </c>
      <c r="G282" s="6">
        <f t="shared" si="4"/>
        <v>-7.8631407776777087E-2</v>
      </c>
    </row>
    <row r="283" spans="1:7">
      <c r="A283" t="s">
        <v>18</v>
      </c>
      <c r="B283" s="4">
        <v>46054</v>
      </c>
      <c r="C283" s="5">
        <v>117695.67999999999</v>
      </c>
      <c r="D283" s="5">
        <v>144510.78</v>
      </c>
      <c r="E283" t="s">
        <v>336</v>
      </c>
      <c r="F283" t="s">
        <v>2278</v>
      </c>
      <c r="G283" s="6">
        <f t="shared" si="4"/>
        <v>0.22783419068567348</v>
      </c>
    </row>
    <row r="284" spans="1:7">
      <c r="A284" t="s">
        <v>18</v>
      </c>
      <c r="B284" s="4">
        <v>45870</v>
      </c>
      <c r="C284" s="5">
        <v>100702.21</v>
      </c>
      <c r="D284" s="5">
        <v>91967.96</v>
      </c>
      <c r="E284" t="s">
        <v>322</v>
      </c>
      <c r="F284" t="s">
        <v>2278</v>
      </c>
      <c r="G284" s="6">
        <f t="shared" si="4"/>
        <v>-8.6733449047443942E-2</v>
      </c>
    </row>
    <row r="285" spans="1:7">
      <c r="A285" t="s">
        <v>18</v>
      </c>
      <c r="B285" s="4">
        <v>46113</v>
      </c>
      <c r="C285" s="5">
        <v>114251.14</v>
      </c>
      <c r="D285" s="5">
        <v>130148.96</v>
      </c>
      <c r="E285" t="s">
        <v>322</v>
      </c>
      <c r="F285" t="s">
        <v>2276</v>
      </c>
      <c r="G285" s="6">
        <f t="shared" si="4"/>
        <v>0.13914802075497895</v>
      </c>
    </row>
    <row r="286" spans="1:7">
      <c r="A286" t="s">
        <v>18</v>
      </c>
      <c r="B286" s="4">
        <v>46174</v>
      </c>
      <c r="C286" s="5">
        <v>114929.33</v>
      </c>
      <c r="D286" s="5">
        <v>111129.39</v>
      </c>
      <c r="E286" t="s">
        <v>336</v>
      </c>
      <c r="F286" t="s">
        <v>2278</v>
      </c>
      <c r="G286" s="6">
        <f t="shared" si="4"/>
        <v>-3.3063274622761679E-2</v>
      </c>
    </row>
    <row r="287" spans="1:7">
      <c r="A287" t="s">
        <v>89</v>
      </c>
      <c r="B287" s="4">
        <v>46054</v>
      </c>
      <c r="C287" s="5">
        <v>43304.41</v>
      </c>
      <c r="D287" s="5">
        <v>44495.59</v>
      </c>
      <c r="E287" t="s">
        <v>322</v>
      </c>
      <c r="F287" t="s">
        <v>2276</v>
      </c>
      <c r="G287" s="6">
        <f t="shared" si="4"/>
        <v>2.7507129181531233E-2</v>
      </c>
    </row>
    <row r="288" spans="1:7">
      <c r="A288" t="s">
        <v>89</v>
      </c>
      <c r="B288" s="4">
        <v>46023</v>
      </c>
      <c r="C288" s="5">
        <v>32854.86</v>
      </c>
      <c r="D288" s="5">
        <v>27158.78</v>
      </c>
      <c r="E288" t="s">
        <v>322</v>
      </c>
      <c r="F288" t="s">
        <v>2278</v>
      </c>
      <c r="G288" s="6">
        <f t="shared" si="4"/>
        <v>-0.17337100203744596</v>
      </c>
    </row>
    <row r="289" spans="1:7">
      <c r="A289" t="s">
        <v>89</v>
      </c>
      <c r="B289" s="4">
        <v>45839</v>
      </c>
      <c r="C289" s="5">
        <v>31352.95</v>
      </c>
      <c r="D289" s="5">
        <v>29782.959999999999</v>
      </c>
      <c r="E289" t="s">
        <v>327</v>
      </c>
      <c r="F289" t="s">
        <v>2278</v>
      </c>
      <c r="G289" s="6">
        <f t="shared" si="4"/>
        <v>-5.007471386265093E-2</v>
      </c>
    </row>
    <row r="290" spans="1:7">
      <c r="A290" t="s">
        <v>89</v>
      </c>
      <c r="B290" s="4">
        <v>45962</v>
      </c>
      <c r="C290" s="5">
        <v>28054.13</v>
      </c>
      <c r="D290" s="5">
        <v>24442.080000000002</v>
      </c>
      <c r="E290" t="s">
        <v>327</v>
      </c>
      <c r="F290" t="s">
        <v>2275</v>
      </c>
      <c r="G290" s="6">
        <f t="shared" si="4"/>
        <v>-0.12875287880964403</v>
      </c>
    </row>
    <row r="291" spans="1:7">
      <c r="A291" t="s">
        <v>89</v>
      </c>
      <c r="B291" s="4">
        <v>46082</v>
      </c>
      <c r="C291" s="5">
        <v>46918.77</v>
      </c>
      <c r="D291" s="5">
        <v>50739.89</v>
      </c>
      <c r="E291" t="s">
        <v>336</v>
      </c>
      <c r="F291" t="s">
        <v>2277</v>
      </c>
      <c r="G291" s="6">
        <f t="shared" si="4"/>
        <v>8.1441180150289588E-2</v>
      </c>
    </row>
    <row r="292" spans="1:7">
      <c r="A292" t="s">
        <v>89</v>
      </c>
      <c r="B292" s="4">
        <v>46113</v>
      </c>
      <c r="C292" s="5">
        <v>32020.45</v>
      </c>
      <c r="D292" s="5">
        <v>37064.639999999999</v>
      </c>
      <c r="E292" t="s">
        <v>322</v>
      </c>
      <c r="F292" t="s">
        <v>2275</v>
      </c>
      <c r="G292" s="6">
        <f t="shared" si="4"/>
        <v>0.15753026581450288</v>
      </c>
    </row>
    <row r="293" spans="1:7">
      <c r="A293" t="s">
        <v>59</v>
      </c>
      <c r="B293" s="4">
        <v>45992</v>
      </c>
      <c r="C293" s="5">
        <v>45111.49</v>
      </c>
      <c r="D293" s="5">
        <v>53662.5</v>
      </c>
      <c r="E293" t="s">
        <v>336</v>
      </c>
      <c r="F293" t="s">
        <v>2275</v>
      </c>
      <c r="G293" s="6">
        <f t="shared" si="4"/>
        <v>0.18955281681008546</v>
      </c>
    </row>
    <row r="294" spans="1:7">
      <c r="A294" t="s">
        <v>59</v>
      </c>
      <c r="B294" s="4">
        <v>46174</v>
      </c>
      <c r="C294" s="5">
        <v>62746.2</v>
      </c>
      <c r="D294" s="5">
        <v>59775.72</v>
      </c>
      <c r="E294" t="s">
        <v>322</v>
      </c>
      <c r="F294" t="s">
        <v>2278</v>
      </c>
      <c r="G294" s="6">
        <f t="shared" si="4"/>
        <v>-4.7341193570287862E-2</v>
      </c>
    </row>
    <row r="295" spans="1:7">
      <c r="A295" t="s">
        <v>59</v>
      </c>
      <c r="B295" s="4">
        <v>45870</v>
      </c>
      <c r="C295" s="5">
        <v>45489.11</v>
      </c>
      <c r="D295" s="5">
        <v>52415.5</v>
      </c>
      <c r="E295" t="s">
        <v>336</v>
      </c>
      <c r="F295" t="s">
        <v>2276</v>
      </c>
      <c r="G295" s="6">
        <f t="shared" si="4"/>
        <v>0.15226479480473457</v>
      </c>
    </row>
    <row r="296" spans="1:7">
      <c r="A296" t="s">
        <v>59</v>
      </c>
      <c r="B296" s="4">
        <v>45962</v>
      </c>
      <c r="C296" s="5">
        <v>63224.08</v>
      </c>
      <c r="D296" s="5">
        <v>66178.100000000006</v>
      </c>
      <c r="E296" t="s">
        <v>322</v>
      </c>
      <c r="F296" t="s">
        <v>2277</v>
      </c>
      <c r="G296" s="6">
        <f t="shared" si="4"/>
        <v>4.6723020722484278E-2</v>
      </c>
    </row>
    <row r="297" spans="1:7">
      <c r="A297" t="s">
        <v>351</v>
      </c>
      <c r="B297" s="4">
        <v>45839</v>
      </c>
      <c r="C297" s="5">
        <v>16013.8</v>
      </c>
      <c r="D297" s="5">
        <v>13432.16</v>
      </c>
      <c r="E297" t="s">
        <v>322</v>
      </c>
      <c r="F297" t="s">
        <v>2278</v>
      </c>
      <c r="G297" s="6">
        <f t="shared" si="4"/>
        <v>-0.16121345339644555</v>
      </c>
    </row>
    <row r="298" spans="1:7">
      <c r="A298" t="s">
        <v>351</v>
      </c>
      <c r="B298" s="4">
        <v>45901</v>
      </c>
      <c r="C298" s="5">
        <v>39519.25</v>
      </c>
      <c r="D298" s="5">
        <v>36886.620000000003</v>
      </c>
      <c r="E298" t="s">
        <v>327</v>
      </c>
      <c r="F298" t="s">
        <v>2278</v>
      </c>
      <c r="G298" s="6">
        <f t="shared" si="4"/>
        <v>-6.6616395807106599E-2</v>
      </c>
    </row>
    <row r="299" spans="1:7">
      <c r="A299" t="s">
        <v>351</v>
      </c>
      <c r="B299" s="4">
        <v>46082</v>
      </c>
      <c r="C299" s="5">
        <v>31913.07</v>
      </c>
      <c r="D299" s="5">
        <v>25331.32</v>
      </c>
      <c r="E299" t="s">
        <v>322</v>
      </c>
      <c r="F299" t="s">
        <v>2278</v>
      </c>
      <c r="G299" s="6">
        <f t="shared" si="4"/>
        <v>-0.20623995121747923</v>
      </c>
    </row>
    <row r="300" spans="1:7">
      <c r="A300" t="s">
        <v>351</v>
      </c>
      <c r="B300" s="4">
        <v>46023</v>
      </c>
      <c r="C300" s="5">
        <v>23869.3</v>
      </c>
      <c r="D300" s="5">
        <v>18366.740000000002</v>
      </c>
      <c r="E300" t="s">
        <v>327</v>
      </c>
      <c r="F300" t="s">
        <v>2277</v>
      </c>
      <c r="G300" s="6">
        <f t="shared" si="4"/>
        <v>-0.23052875450892979</v>
      </c>
    </row>
    <row r="301" spans="1:7">
      <c r="A301" t="s">
        <v>351</v>
      </c>
      <c r="B301" s="4">
        <v>46054</v>
      </c>
      <c r="C301" s="5">
        <v>39626.620000000003</v>
      </c>
      <c r="D301" s="5">
        <v>41892.54</v>
      </c>
      <c r="E301" t="s">
        <v>322</v>
      </c>
      <c r="F301" t="s">
        <v>2276</v>
      </c>
      <c r="G301" s="6">
        <f t="shared" si="4"/>
        <v>5.7181763168294396E-2</v>
      </c>
    </row>
    <row r="302" spans="1:7">
      <c r="A302" t="s">
        <v>351</v>
      </c>
      <c r="B302" s="4">
        <v>46174</v>
      </c>
      <c r="C302" s="5">
        <v>37444.480000000003</v>
      </c>
      <c r="D302" s="5">
        <v>43514.06</v>
      </c>
      <c r="E302" t="s">
        <v>336</v>
      </c>
      <c r="F302" t="s">
        <v>2277</v>
      </c>
      <c r="G302" s="6">
        <f t="shared" si="4"/>
        <v>0.16209545439007281</v>
      </c>
    </row>
    <row r="303" spans="1:7">
      <c r="A303" t="s">
        <v>351</v>
      </c>
      <c r="B303" s="4">
        <v>45992</v>
      </c>
      <c r="C303" s="5">
        <v>22365.24</v>
      </c>
      <c r="D303" s="5">
        <v>20032.86</v>
      </c>
      <c r="E303" t="s">
        <v>327</v>
      </c>
      <c r="F303" t="s">
        <v>2277</v>
      </c>
      <c r="G303" s="6">
        <f t="shared" si="4"/>
        <v>-0.10428593656942653</v>
      </c>
    </row>
    <row r="304" spans="1:7">
      <c r="A304" t="s">
        <v>351</v>
      </c>
      <c r="B304" s="4">
        <v>45870</v>
      </c>
      <c r="C304" s="5">
        <v>35881.93</v>
      </c>
      <c r="D304" s="5">
        <v>32014.66</v>
      </c>
      <c r="E304" t="s">
        <v>322</v>
      </c>
      <c r="F304" t="s">
        <v>2275</v>
      </c>
      <c r="G304" s="6">
        <f t="shared" si="4"/>
        <v>-0.10777764741194246</v>
      </c>
    </row>
    <row r="305" spans="1:7">
      <c r="A305" t="s">
        <v>351</v>
      </c>
      <c r="B305" s="4">
        <v>46113</v>
      </c>
      <c r="C305" s="5">
        <v>30478.94</v>
      </c>
      <c r="D305" s="5">
        <v>26821.200000000001</v>
      </c>
      <c r="E305" t="s">
        <v>327</v>
      </c>
      <c r="F305" t="s">
        <v>2277</v>
      </c>
      <c r="G305" s="6">
        <f t="shared" si="4"/>
        <v>-0.12000876670907841</v>
      </c>
    </row>
    <row r="306" spans="1:7">
      <c r="A306" t="s">
        <v>183</v>
      </c>
      <c r="B306" s="4">
        <v>46174</v>
      </c>
      <c r="C306" s="5">
        <v>38854.07</v>
      </c>
      <c r="D306" s="5">
        <v>42640.57</v>
      </c>
      <c r="E306" t="s">
        <v>336</v>
      </c>
      <c r="F306" t="s">
        <v>2278</v>
      </c>
      <c r="G306" s="6">
        <f t="shared" si="4"/>
        <v>9.7454397956250147E-2</v>
      </c>
    </row>
    <row r="307" spans="1:7">
      <c r="A307" t="s">
        <v>183</v>
      </c>
      <c r="B307" s="4">
        <v>45962</v>
      </c>
      <c r="C307" s="5">
        <v>47218.96</v>
      </c>
      <c r="D307" s="5">
        <v>42648.14</v>
      </c>
      <c r="E307" t="s">
        <v>327</v>
      </c>
      <c r="F307" t="s">
        <v>2275</v>
      </c>
      <c r="G307" s="6">
        <f t="shared" si="4"/>
        <v>-9.6800522501978015E-2</v>
      </c>
    </row>
    <row r="308" spans="1:7">
      <c r="A308" t="s">
        <v>183</v>
      </c>
      <c r="B308" s="4">
        <v>45839</v>
      </c>
      <c r="C308" s="5">
        <v>31646.26</v>
      </c>
      <c r="D308" s="5">
        <v>38458.07</v>
      </c>
      <c r="E308" t="s">
        <v>336</v>
      </c>
      <c r="F308" t="s">
        <v>2278</v>
      </c>
      <c r="G308" s="6">
        <f t="shared" si="4"/>
        <v>0.21524850013872102</v>
      </c>
    </row>
    <row r="309" spans="1:7">
      <c r="A309" t="s">
        <v>183</v>
      </c>
      <c r="B309" s="4">
        <v>46023</v>
      </c>
      <c r="C309" s="5">
        <v>25594.33</v>
      </c>
      <c r="D309" s="5">
        <v>25098.91</v>
      </c>
      <c r="E309" t="s">
        <v>327</v>
      </c>
      <c r="F309" t="s">
        <v>2276</v>
      </c>
      <c r="G309" s="6">
        <f t="shared" si="4"/>
        <v>-1.9356630941306213E-2</v>
      </c>
    </row>
    <row r="310" spans="1:7">
      <c r="A310" t="s">
        <v>183</v>
      </c>
      <c r="B310" s="4">
        <v>45992</v>
      </c>
      <c r="C310" s="5">
        <v>20524.87</v>
      </c>
      <c r="D310" s="5">
        <v>15996.55</v>
      </c>
      <c r="E310" t="s">
        <v>322</v>
      </c>
      <c r="F310" t="s">
        <v>2276</v>
      </c>
      <c r="G310" s="6">
        <f t="shared" si="4"/>
        <v>-0.2206260015288769</v>
      </c>
    </row>
    <row r="311" spans="1:7">
      <c r="A311" t="s">
        <v>215</v>
      </c>
      <c r="B311" s="4">
        <v>45901</v>
      </c>
      <c r="C311" s="5">
        <v>42318.78</v>
      </c>
      <c r="D311" s="5">
        <v>46945.08</v>
      </c>
      <c r="E311" t="s">
        <v>336</v>
      </c>
      <c r="F311" t="s">
        <v>2275</v>
      </c>
      <c r="G311" s="6">
        <f t="shared" si="4"/>
        <v>0.10932025923242596</v>
      </c>
    </row>
    <row r="312" spans="1:7">
      <c r="A312" t="s">
        <v>215</v>
      </c>
      <c r="B312" s="4">
        <v>46174</v>
      </c>
      <c r="C312" s="5">
        <v>26808.400000000001</v>
      </c>
      <c r="D312" s="5">
        <v>28742.77</v>
      </c>
      <c r="E312" t="s">
        <v>327</v>
      </c>
      <c r="F312" t="s">
        <v>2278</v>
      </c>
      <c r="G312" s="6">
        <f t="shared" si="4"/>
        <v>7.215536921263481E-2</v>
      </c>
    </row>
    <row r="313" spans="1:7">
      <c r="A313" t="s">
        <v>215</v>
      </c>
      <c r="B313" s="4">
        <v>45870</v>
      </c>
      <c r="C313" s="5">
        <v>54484.03</v>
      </c>
      <c r="D313" s="5">
        <v>46577.63</v>
      </c>
      <c r="E313" t="s">
        <v>336</v>
      </c>
      <c r="F313" t="s">
        <v>2277</v>
      </c>
      <c r="G313" s="6">
        <f t="shared" si="4"/>
        <v>-0.14511408205303467</v>
      </c>
    </row>
    <row r="314" spans="1:7">
      <c r="A314" t="s">
        <v>215</v>
      </c>
      <c r="B314" s="4">
        <v>45962</v>
      </c>
      <c r="C314" s="5">
        <v>35014.14</v>
      </c>
      <c r="D314" s="5">
        <v>33102.269999999997</v>
      </c>
      <c r="E314" t="s">
        <v>336</v>
      </c>
      <c r="F314" t="s">
        <v>2277</v>
      </c>
      <c r="G314" s="6">
        <f t="shared" si="4"/>
        <v>-5.4602797612621719E-2</v>
      </c>
    </row>
    <row r="315" spans="1:7">
      <c r="A315" t="s">
        <v>215</v>
      </c>
      <c r="B315" s="4">
        <v>45992</v>
      </c>
      <c r="C315" s="5">
        <v>24304.94</v>
      </c>
      <c r="D315" s="5">
        <v>28450.41</v>
      </c>
      <c r="E315" t="s">
        <v>336</v>
      </c>
      <c r="F315" t="s">
        <v>2275</v>
      </c>
      <c r="G315" s="6">
        <f t="shared" si="4"/>
        <v>0.17056079957407841</v>
      </c>
    </row>
    <row r="316" spans="1:7">
      <c r="A316" t="s">
        <v>215</v>
      </c>
      <c r="B316" s="4">
        <v>46054</v>
      </c>
      <c r="C316" s="5">
        <v>28980.29</v>
      </c>
      <c r="D316" s="5">
        <v>28945.759999999998</v>
      </c>
      <c r="E316" t="s">
        <v>327</v>
      </c>
      <c r="F316" t="s">
        <v>2275</v>
      </c>
      <c r="G316" s="6">
        <f t="shared" si="4"/>
        <v>-1.1914994639460983E-3</v>
      </c>
    </row>
    <row r="317" spans="1:7">
      <c r="A317" t="s">
        <v>215</v>
      </c>
      <c r="B317" s="4">
        <v>46143</v>
      </c>
      <c r="C317" s="5">
        <v>49263.16</v>
      </c>
      <c r="D317" s="5">
        <v>58193.94</v>
      </c>
      <c r="E317" t="s">
        <v>336</v>
      </c>
      <c r="F317" t="s">
        <v>2276</v>
      </c>
      <c r="G317" s="6">
        <f t="shared" si="4"/>
        <v>0.18128719310738486</v>
      </c>
    </row>
    <row r="318" spans="1:7">
      <c r="A318" t="s">
        <v>232</v>
      </c>
      <c r="B318" s="4">
        <v>46174</v>
      </c>
      <c r="C318" s="5">
        <v>8986.82</v>
      </c>
      <c r="D318" s="5">
        <v>10674.19</v>
      </c>
      <c r="E318" t="s">
        <v>336</v>
      </c>
      <c r="F318" t="s">
        <v>2276</v>
      </c>
      <c r="G318" s="6">
        <f t="shared" si="4"/>
        <v>0.18776052040655103</v>
      </c>
    </row>
    <row r="319" spans="1:7">
      <c r="A319" t="s">
        <v>232</v>
      </c>
      <c r="B319" s="4">
        <v>46023</v>
      </c>
      <c r="C319" s="5">
        <v>8381.41</v>
      </c>
      <c r="D319" s="5">
        <v>6874.19</v>
      </c>
      <c r="E319" t="s">
        <v>327</v>
      </c>
      <c r="F319" t="s">
        <v>2275</v>
      </c>
      <c r="G319" s="6">
        <f t="shared" si="4"/>
        <v>-0.17982893093166905</v>
      </c>
    </row>
    <row r="320" spans="1:7">
      <c r="A320" t="s">
        <v>232</v>
      </c>
      <c r="B320" s="4">
        <v>45992</v>
      </c>
      <c r="C320" s="5">
        <v>19203.18</v>
      </c>
      <c r="D320" s="5">
        <v>23113.97</v>
      </c>
      <c r="E320" t="s">
        <v>327</v>
      </c>
      <c r="F320" t="s">
        <v>2276</v>
      </c>
      <c r="G320" s="6">
        <f t="shared" si="4"/>
        <v>0.20365324909728497</v>
      </c>
    </row>
    <row r="321" spans="1:7">
      <c r="A321" t="s">
        <v>232</v>
      </c>
      <c r="B321" s="4">
        <v>45901</v>
      </c>
      <c r="C321" s="5">
        <v>12826.37</v>
      </c>
      <c r="D321" s="5">
        <v>14563.44</v>
      </c>
      <c r="E321" t="s">
        <v>327</v>
      </c>
      <c r="F321" t="s">
        <v>2278</v>
      </c>
      <c r="G321" s="6">
        <f t="shared" si="4"/>
        <v>0.13542958763859139</v>
      </c>
    </row>
    <row r="322" spans="1:7">
      <c r="A322" t="s">
        <v>232</v>
      </c>
      <c r="B322" s="4">
        <v>45839</v>
      </c>
      <c r="C322" s="5">
        <v>16297.42</v>
      </c>
      <c r="D322" s="5">
        <v>18743.73</v>
      </c>
      <c r="E322" t="s">
        <v>336</v>
      </c>
      <c r="F322" t="s">
        <v>2278</v>
      </c>
      <c r="G322" s="6">
        <f t="shared" ref="G322:G385" si="5">IF(C322=0,0,(D322-C322)/C322)</f>
        <v>0.15010412691088526</v>
      </c>
    </row>
    <row r="323" spans="1:7">
      <c r="A323" t="s">
        <v>232</v>
      </c>
      <c r="B323" s="4">
        <v>46143</v>
      </c>
      <c r="C323" s="5">
        <v>7916.77</v>
      </c>
      <c r="D323" s="5">
        <v>7848.68</v>
      </c>
      <c r="E323" t="s">
        <v>327</v>
      </c>
      <c r="F323" t="s">
        <v>2276</v>
      </c>
      <c r="G323" s="6">
        <f t="shared" si="5"/>
        <v>-8.6007298431052242E-3</v>
      </c>
    </row>
    <row r="324" spans="1:7">
      <c r="A324" t="s">
        <v>232</v>
      </c>
      <c r="B324" s="4">
        <v>45870</v>
      </c>
      <c r="C324" s="5">
        <v>10380.530000000001</v>
      </c>
      <c r="D324" s="5">
        <v>9511.25</v>
      </c>
      <c r="E324" t="s">
        <v>327</v>
      </c>
      <c r="F324" t="s">
        <v>2278</v>
      </c>
      <c r="G324" s="6">
        <f t="shared" si="5"/>
        <v>-8.3741388927155033E-2</v>
      </c>
    </row>
    <row r="325" spans="1:7">
      <c r="A325" t="s">
        <v>232</v>
      </c>
      <c r="B325" s="4">
        <v>46082</v>
      </c>
      <c r="C325" s="5">
        <v>14162.76</v>
      </c>
      <c r="D325" s="5">
        <v>16921.57</v>
      </c>
      <c r="E325" t="s">
        <v>327</v>
      </c>
      <c r="F325" t="s">
        <v>2276</v>
      </c>
      <c r="G325" s="6">
        <f t="shared" si="5"/>
        <v>0.19479324651409749</v>
      </c>
    </row>
    <row r="326" spans="1:7">
      <c r="A326" t="s">
        <v>232</v>
      </c>
      <c r="B326" s="4">
        <v>45931</v>
      </c>
      <c r="C326" s="5">
        <v>13028.22</v>
      </c>
      <c r="D326" s="5">
        <v>15958.38</v>
      </c>
      <c r="E326" t="s">
        <v>322</v>
      </c>
      <c r="F326" t="s">
        <v>2275</v>
      </c>
      <c r="G326" s="6">
        <f t="shared" si="5"/>
        <v>0.22490869819514869</v>
      </c>
    </row>
    <row r="327" spans="1:7">
      <c r="A327" t="s">
        <v>63</v>
      </c>
      <c r="B327" s="4">
        <v>46082</v>
      </c>
      <c r="C327" s="5">
        <v>27423.360000000001</v>
      </c>
      <c r="D327" s="5">
        <v>29165.33</v>
      </c>
      <c r="E327" t="s">
        <v>322</v>
      </c>
      <c r="F327" t="s">
        <v>2275</v>
      </c>
      <c r="G327" s="6">
        <f t="shared" si="5"/>
        <v>6.3521391981143122E-2</v>
      </c>
    </row>
    <row r="328" spans="1:7">
      <c r="A328" t="s">
        <v>63</v>
      </c>
      <c r="B328" s="4">
        <v>45962</v>
      </c>
      <c r="C328" s="5">
        <v>38204.15</v>
      </c>
      <c r="D328" s="5">
        <v>36623.360000000001</v>
      </c>
      <c r="E328" t="s">
        <v>336</v>
      </c>
      <c r="F328" t="s">
        <v>2276</v>
      </c>
      <c r="G328" s="6">
        <f t="shared" si="5"/>
        <v>-4.1377441979470839E-2</v>
      </c>
    </row>
    <row r="329" spans="1:7">
      <c r="A329" t="s">
        <v>63</v>
      </c>
      <c r="B329" s="4">
        <v>46174</v>
      </c>
      <c r="C329" s="5">
        <v>40592.49</v>
      </c>
      <c r="D329" s="5">
        <v>47387.72</v>
      </c>
      <c r="E329" t="s">
        <v>322</v>
      </c>
      <c r="F329" t="s">
        <v>2275</v>
      </c>
      <c r="G329" s="6">
        <f t="shared" si="5"/>
        <v>0.16740116213614892</v>
      </c>
    </row>
    <row r="330" spans="1:7">
      <c r="A330" t="s">
        <v>63</v>
      </c>
      <c r="B330" s="4">
        <v>46054</v>
      </c>
      <c r="C330" s="5">
        <v>23781.33</v>
      </c>
      <c r="D330" s="5">
        <v>28436.68</v>
      </c>
      <c r="E330" t="s">
        <v>322</v>
      </c>
      <c r="F330" t="s">
        <v>2276</v>
      </c>
      <c r="G330" s="6">
        <f t="shared" si="5"/>
        <v>0.19575650310558737</v>
      </c>
    </row>
    <row r="331" spans="1:7">
      <c r="A331" t="s">
        <v>63</v>
      </c>
      <c r="B331" s="4">
        <v>45839</v>
      </c>
      <c r="C331" s="5">
        <v>34090.129999999997</v>
      </c>
      <c r="D331" s="5">
        <v>35446.300000000003</v>
      </c>
      <c r="E331" t="s">
        <v>336</v>
      </c>
      <c r="F331" t="s">
        <v>2278</v>
      </c>
      <c r="G331" s="6">
        <f t="shared" si="5"/>
        <v>3.9781895815592536E-2</v>
      </c>
    </row>
    <row r="332" spans="1:7">
      <c r="A332" t="s">
        <v>63</v>
      </c>
      <c r="B332" s="4">
        <v>45901</v>
      </c>
      <c r="C332" s="5">
        <v>17131.939999999999</v>
      </c>
      <c r="D332" s="5">
        <v>14812.45</v>
      </c>
      <c r="E332" t="s">
        <v>322</v>
      </c>
      <c r="F332" t="s">
        <v>2275</v>
      </c>
      <c r="G332" s="6">
        <f t="shared" si="5"/>
        <v>-0.13538980407356074</v>
      </c>
    </row>
    <row r="333" spans="1:7">
      <c r="A333" t="s">
        <v>63</v>
      </c>
      <c r="B333" s="4">
        <v>46023</v>
      </c>
      <c r="C333" s="5">
        <v>23124.59</v>
      </c>
      <c r="D333" s="5">
        <v>17369.46</v>
      </c>
      <c r="E333" t="s">
        <v>322</v>
      </c>
      <c r="F333" t="s">
        <v>2277</v>
      </c>
      <c r="G333" s="6">
        <f t="shared" si="5"/>
        <v>-0.24887489897118181</v>
      </c>
    </row>
    <row r="334" spans="1:7">
      <c r="A334" t="s">
        <v>63</v>
      </c>
      <c r="B334" s="4">
        <v>46113</v>
      </c>
      <c r="C334" s="5">
        <v>37510.61</v>
      </c>
      <c r="D334" s="5">
        <v>33265.06</v>
      </c>
      <c r="E334" t="s">
        <v>327</v>
      </c>
      <c r="F334" t="s">
        <v>2275</v>
      </c>
      <c r="G334" s="6">
        <f t="shared" si="5"/>
        <v>-0.113182643524059</v>
      </c>
    </row>
    <row r="335" spans="1:7">
      <c r="A335" t="s">
        <v>185</v>
      </c>
      <c r="B335" s="4">
        <v>46143</v>
      </c>
      <c r="C335" s="5">
        <v>63461.63</v>
      </c>
      <c r="D335" s="5">
        <v>74733.490000000005</v>
      </c>
      <c r="E335" t="s">
        <v>336</v>
      </c>
      <c r="F335" t="s">
        <v>2278</v>
      </c>
      <c r="G335" s="6">
        <f t="shared" si="5"/>
        <v>0.1776169316798199</v>
      </c>
    </row>
    <row r="336" spans="1:7">
      <c r="A336" t="s">
        <v>185</v>
      </c>
      <c r="B336" s="4">
        <v>45962</v>
      </c>
      <c r="C336" s="5">
        <v>37028.25</v>
      </c>
      <c r="D336" s="5">
        <v>39918.35</v>
      </c>
      <c r="E336" t="s">
        <v>322</v>
      </c>
      <c r="F336" t="s">
        <v>2275</v>
      </c>
      <c r="G336" s="6">
        <f t="shared" si="5"/>
        <v>7.8051217651387755E-2</v>
      </c>
    </row>
    <row r="337" spans="1:7">
      <c r="A337" t="s">
        <v>185</v>
      </c>
      <c r="B337" s="4">
        <v>46113</v>
      </c>
      <c r="C337" s="5">
        <v>32747.58</v>
      </c>
      <c r="D337" s="5">
        <v>35151.96</v>
      </c>
      <c r="E337" t="s">
        <v>336</v>
      </c>
      <c r="F337" t="s">
        <v>2277</v>
      </c>
      <c r="G337" s="6">
        <f t="shared" si="5"/>
        <v>7.3421608558555992E-2</v>
      </c>
    </row>
    <row r="338" spans="1:7">
      <c r="A338" t="s">
        <v>185</v>
      </c>
      <c r="B338" s="4">
        <v>45839</v>
      </c>
      <c r="C338" s="5">
        <v>33615.61</v>
      </c>
      <c r="D338" s="5">
        <v>40861.15</v>
      </c>
      <c r="E338" t="s">
        <v>327</v>
      </c>
      <c r="F338" t="s">
        <v>2278</v>
      </c>
      <c r="G338" s="6">
        <f t="shared" si="5"/>
        <v>0.21554093470265751</v>
      </c>
    </row>
    <row r="339" spans="1:7">
      <c r="A339" t="s">
        <v>185</v>
      </c>
      <c r="B339" s="4">
        <v>46054</v>
      </c>
      <c r="C339" s="5">
        <v>36667.83</v>
      </c>
      <c r="D339" s="5">
        <v>32860.18</v>
      </c>
      <c r="E339" t="s">
        <v>336</v>
      </c>
      <c r="F339" t="s">
        <v>2275</v>
      </c>
      <c r="G339" s="6">
        <f t="shared" si="5"/>
        <v>-0.1038417053858928</v>
      </c>
    </row>
    <row r="340" spans="1:7">
      <c r="A340" t="s">
        <v>185</v>
      </c>
      <c r="B340" s="4">
        <v>46174</v>
      </c>
      <c r="C340" s="5">
        <v>36353.620000000003</v>
      </c>
      <c r="D340" s="5">
        <v>35016.699999999997</v>
      </c>
      <c r="E340" t="s">
        <v>327</v>
      </c>
      <c r="F340" t="s">
        <v>2276</v>
      </c>
      <c r="G340" s="6">
        <f t="shared" si="5"/>
        <v>-3.6775429792136397E-2</v>
      </c>
    </row>
    <row r="341" spans="1:7">
      <c r="A341" t="s">
        <v>185</v>
      </c>
      <c r="B341" s="4">
        <v>45870</v>
      </c>
      <c r="C341" s="5">
        <v>45110.14</v>
      </c>
      <c r="D341" s="5">
        <v>51089.32</v>
      </c>
      <c r="E341" t="s">
        <v>336</v>
      </c>
      <c r="F341" t="s">
        <v>2278</v>
      </c>
      <c r="G341" s="6">
        <f t="shared" si="5"/>
        <v>0.1325462523503585</v>
      </c>
    </row>
    <row r="342" spans="1:7">
      <c r="A342" t="s">
        <v>185</v>
      </c>
      <c r="B342" s="4">
        <v>46023</v>
      </c>
      <c r="C342" s="5">
        <v>73036.12</v>
      </c>
      <c r="D342" s="5">
        <v>80031.429999999993</v>
      </c>
      <c r="E342" t="s">
        <v>327</v>
      </c>
      <c r="F342" t="s">
        <v>2277</v>
      </c>
      <c r="G342" s="6">
        <f t="shared" si="5"/>
        <v>9.5778773571213782E-2</v>
      </c>
    </row>
    <row r="343" spans="1:7">
      <c r="A343" t="s">
        <v>185</v>
      </c>
      <c r="B343" s="4">
        <v>45901</v>
      </c>
      <c r="C343" s="5">
        <v>32596.15</v>
      </c>
      <c r="D343" s="5">
        <v>26982.58</v>
      </c>
      <c r="E343" t="s">
        <v>322</v>
      </c>
      <c r="F343" t="s">
        <v>2277</v>
      </c>
      <c r="G343" s="6">
        <f t="shared" si="5"/>
        <v>-0.17221573713460023</v>
      </c>
    </row>
    <row r="344" spans="1:7">
      <c r="A344" t="s">
        <v>29</v>
      </c>
      <c r="B344" s="4">
        <v>45962</v>
      </c>
      <c r="C344" s="5">
        <v>28350.89</v>
      </c>
      <c r="D344" s="5">
        <v>28357.45</v>
      </c>
      <c r="E344" t="s">
        <v>327</v>
      </c>
      <c r="F344" t="s">
        <v>2275</v>
      </c>
      <c r="G344" s="6">
        <f t="shared" si="5"/>
        <v>2.3138603408927585E-4</v>
      </c>
    </row>
    <row r="345" spans="1:7">
      <c r="A345" t="s">
        <v>29</v>
      </c>
      <c r="B345" s="4">
        <v>45901</v>
      </c>
      <c r="C345" s="5">
        <v>33242.14</v>
      </c>
      <c r="D345" s="5">
        <v>32930.36</v>
      </c>
      <c r="E345" t="s">
        <v>327</v>
      </c>
      <c r="F345" t="s">
        <v>2278</v>
      </c>
      <c r="G345" s="6">
        <f t="shared" si="5"/>
        <v>-9.3790592302420619E-3</v>
      </c>
    </row>
    <row r="346" spans="1:7">
      <c r="A346" t="s">
        <v>29</v>
      </c>
      <c r="B346" s="4">
        <v>45870</v>
      </c>
      <c r="C346" s="5">
        <v>40998.080000000002</v>
      </c>
      <c r="D346" s="5">
        <v>38051.53</v>
      </c>
      <c r="E346" t="s">
        <v>322</v>
      </c>
      <c r="F346" t="s">
        <v>2278</v>
      </c>
      <c r="G346" s="6">
        <f t="shared" si="5"/>
        <v>-7.1870438810793164E-2</v>
      </c>
    </row>
    <row r="347" spans="1:7">
      <c r="A347" t="s">
        <v>29</v>
      </c>
      <c r="B347" s="4">
        <v>46054</v>
      </c>
      <c r="C347" s="5">
        <v>23801.759999999998</v>
      </c>
      <c r="D347" s="5">
        <v>27450.59</v>
      </c>
      <c r="E347" t="s">
        <v>327</v>
      </c>
      <c r="F347" t="s">
        <v>2278</v>
      </c>
      <c r="G347" s="6">
        <f t="shared" si="5"/>
        <v>0.15330084834062699</v>
      </c>
    </row>
    <row r="348" spans="1:7">
      <c r="A348" t="s">
        <v>285</v>
      </c>
      <c r="B348" s="4">
        <v>45870</v>
      </c>
      <c r="C348" s="5">
        <v>34350.89</v>
      </c>
      <c r="D348" s="5">
        <v>42785.98</v>
      </c>
      <c r="E348" t="s">
        <v>327</v>
      </c>
      <c r="F348" t="s">
        <v>2278</v>
      </c>
      <c r="G348" s="6">
        <f t="shared" si="5"/>
        <v>0.24555666534404214</v>
      </c>
    </row>
    <row r="349" spans="1:7">
      <c r="A349" t="s">
        <v>285</v>
      </c>
      <c r="B349" s="4">
        <v>46174</v>
      </c>
      <c r="C349" s="5">
        <v>27791.41</v>
      </c>
      <c r="D349" s="5">
        <v>32703.63</v>
      </c>
      <c r="E349" t="s">
        <v>336</v>
      </c>
      <c r="F349" t="s">
        <v>2277</v>
      </c>
      <c r="G349" s="6">
        <f t="shared" si="5"/>
        <v>0.17675317661104639</v>
      </c>
    </row>
    <row r="350" spans="1:7">
      <c r="A350" t="s">
        <v>285</v>
      </c>
      <c r="B350" s="4">
        <v>45901</v>
      </c>
      <c r="C350" s="5">
        <v>58816.25</v>
      </c>
      <c r="D350" s="5">
        <v>66928.84</v>
      </c>
      <c r="E350" t="s">
        <v>336</v>
      </c>
      <c r="F350" t="s">
        <v>2276</v>
      </c>
      <c r="G350" s="6">
        <f t="shared" si="5"/>
        <v>0.13793109897349792</v>
      </c>
    </row>
    <row r="351" spans="1:7">
      <c r="A351" t="s">
        <v>285</v>
      </c>
      <c r="B351" s="4">
        <v>46113</v>
      </c>
      <c r="C351" s="5">
        <v>33287.550000000003</v>
      </c>
      <c r="D351" s="5">
        <v>35302.699999999997</v>
      </c>
      <c r="E351" t="s">
        <v>336</v>
      </c>
      <c r="F351" t="s">
        <v>2277</v>
      </c>
      <c r="G351" s="6">
        <f t="shared" si="5"/>
        <v>6.0537648460159847E-2</v>
      </c>
    </row>
    <row r="352" spans="1:7">
      <c r="A352" t="s">
        <v>285</v>
      </c>
      <c r="B352" s="4">
        <v>45992</v>
      </c>
      <c r="C352" s="5">
        <v>65554.539999999994</v>
      </c>
      <c r="D352" s="5">
        <v>73573.539999999994</v>
      </c>
      <c r="E352" t="s">
        <v>327</v>
      </c>
      <c r="F352" t="s">
        <v>2275</v>
      </c>
      <c r="G352" s="6">
        <f t="shared" si="5"/>
        <v>0.12232562382407078</v>
      </c>
    </row>
    <row r="353" spans="1:7">
      <c r="A353" t="s">
        <v>285</v>
      </c>
      <c r="B353" s="4">
        <v>46143</v>
      </c>
      <c r="C353" s="5">
        <v>48847.53</v>
      </c>
      <c r="D353" s="5">
        <v>47818.15</v>
      </c>
      <c r="E353" t="s">
        <v>336</v>
      </c>
      <c r="F353" t="s">
        <v>2278</v>
      </c>
      <c r="G353" s="6">
        <f t="shared" si="5"/>
        <v>-2.1073327556173208E-2</v>
      </c>
    </row>
    <row r="354" spans="1:7">
      <c r="A354" t="s">
        <v>285</v>
      </c>
      <c r="B354" s="4">
        <v>45962</v>
      </c>
      <c r="C354" s="5">
        <v>34548.120000000003</v>
      </c>
      <c r="D354" s="5">
        <v>26635.99</v>
      </c>
      <c r="E354" t="s">
        <v>336</v>
      </c>
      <c r="F354" t="s">
        <v>2276</v>
      </c>
      <c r="G354" s="6">
        <f t="shared" si="5"/>
        <v>-0.22901767158386624</v>
      </c>
    </row>
    <row r="355" spans="1:7">
      <c r="A355" t="s">
        <v>285</v>
      </c>
      <c r="B355" s="4">
        <v>46054</v>
      </c>
      <c r="C355" s="5">
        <v>26751.22</v>
      </c>
      <c r="D355" s="5">
        <v>24817.39</v>
      </c>
      <c r="E355" t="s">
        <v>327</v>
      </c>
      <c r="F355" t="s">
        <v>2278</v>
      </c>
      <c r="G355" s="6">
        <f t="shared" si="5"/>
        <v>-7.2289413342643868E-2</v>
      </c>
    </row>
    <row r="356" spans="1:7">
      <c r="A356" t="s">
        <v>56</v>
      </c>
      <c r="B356" s="4">
        <v>46174</v>
      </c>
      <c r="C356" s="5">
        <v>34272.85</v>
      </c>
      <c r="D356" s="5">
        <v>35325.24</v>
      </c>
      <c r="E356" t="s">
        <v>322</v>
      </c>
      <c r="F356" t="s">
        <v>2276</v>
      </c>
      <c r="G356" s="6">
        <f t="shared" si="5"/>
        <v>3.0706229566551935E-2</v>
      </c>
    </row>
    <row r="357" spans="1:7">
      <c r="A357" t="s">
        <v>56</v>
      </c>
      <c r="B357" s="4">
        <v>45839</v>
      </c>
      <c r="C357" s="5">
        <v>30979.06</v>
      </c>
      <c r="D357" s="5">
        <v>31809.07</v>
      </c>
      <c r="E357" t="s">
        <v>327</v>
      </c>
      <c r="F357" t="s">
        <v>2278</v>
      </c>
      <c r="G357" s="6">
        <f t="shared" si="5"/>
        <v>2.6792614107723035E-2</v>
      </c>
    </row>
    <row r="358" spans="1:7">
      <c r="A358" t="s">
        <v>56</v>
      </c>
      <c r="B358" s="4">
        <v>45992</v>
      </c>
      <c r="C358" s="5">
        <v>21368.84</v>
      </c>
      <c r="D358" s="5">
        <v>24689.87</v>
      </c>
      <c r="E358" t="s">
        <v>327</v>
      </c>
      <c r="F358" t="s">
        <v>2278</v>
      </c>
      <c r="G358" s="6">
        <f t="shared" si="5"/>
        <v>0.15541461305339918</v>
      </c>
    </row>
    <row r="359" spans="1:7">
      <c r="A359" t="s">
        <v>56</v>
      </c>
      <c r="B359" s="4">
        <v>46054</v>
      </c>
      <c r="C359" s="5">
        <v>24800.29</v>
      </c>
      <c r="D359" s="5">
        <v>25260.11</v>
      </c>
      <c r="E359" t="s">
        <v>336</v>
      </c>
      <c r="F359" t="s">
        <v>2278</v>
      </c>
      <c r="G359" s="6">
        <f t="shared" si="5"/>
        <v>1.854091222320383E-2</v>
      </c>
    </row>
    <row r="360" spans="1:7">
      <c r="A360" t="s">
        <v>56</v>
      </c>
      <c r="B360" s="4">
        <v>45870</v>
      </c>
      <c r="C360" s="5">
        <v>19172.93</v>
      </c>
      <c r="D360" s="5">
        <v>15401.37</v>
      </c>
      <c r="E360" t="s">
        <v>336</v>
      </c>
      <c r="F360" t="s">
        <v>2276</v>
      </c>
      <c r="G360" s="6">
        <f t="shared" si="5"/>
        <v>-0.1967127611690023</v>
      </c>
    </row>
    <row r="361" spans="1:7">
      <c r="A361" t="s">
        <v>56</v>
      </c>
      <c r="B361" s="4">
        <v>46082</v>
      </c>
      <c r="C361" s="5">
        <v>37024.28</v>
      </c>
      <c r="D361" s="5">
        <v>42868.44</v>
      </c>
      <c r="E361" t="s">
        <v>322</v>
      </c>
      <c r="F361" t="s">
        <v>2278</v>
      </c>
      <c r="G361" s="6">
        <f t="shared" si="5"/>
        <v>0.15784668871346055</v>
      </c>
    </row>
    <row r="362" spans="1:7">
      <c r="A362" t="s">
        <v>56</v>
      </c>
      <c r="B362" s="4">
        <v>46143</v>
      </c>
      <c r="C362" s="5">
        <v>27351.87</v>
      </c>
      <c r="D362" s="5">
        <v>26148.799999999999</v>
      </c>
      <c r="E362" t="s">
        <v>322</v>
      </c>
      <c r="F362" t="s">
        <v>2278</v>
      </c>
      <c r="G362" s="6">
        <f t="shared" si="5"/>
        <v>-4.3984926807563787E-2</v>
      </c>
    </row>
    <row r="363" spans="1:7">
      <c r="A363" t="s">
        <v>260</v>
      </c>
      <c r="B363" s="4">
        <v>46174</v>
      </c>
      <c r="C363" s="5">
        <v>41557.15</v>
      </c>
      <c r="D363" s="5">
        <v>45958.06</v>
      </c>
      <c r="E363" t="s">
        <v>322</v>
      </c>
      <c r="F363" t="s">
        <v>2277</v>
      </c>
      <c r="G363" s="6">
        <f t="shared" si="5"/>
        <v>0.10590018805428178</v>
      </c>
    </row>
    <row r="364" spans="1:7">
      <c r="A364" t="s">
        <v>260</v>
      </c>
      <c r="B364" s="4">
        <v>45962</v>
      </c>
      <c r="C364" s="5">
        <v>43010.55</v>
      </c>
      <c r="D364" s="5">
        <v>34304.300000000003</v>
      </c>
      <c r="E364" t="s">
        <v>336</v>
      </c>
      <c r="F364" t="s">
        <v>2278</v>
      </c>
      <c r="G364" s="6">
        <f t="shared" si="5"/>
        <v>-0.20242126641021793</v>
      </c>
    </row>
    <row r="365" spans="1:7">
      <c r="A365" t="s">
        <v>260</v>
      </c>
      <c r="B365" s="4">
        <v>46023</v>
      </c>
      <c r="C365" s="5">
        <v>41162.57</v>
      </c>
      <c r="D365" s="5">
        <v>33418.39</v>
      </c>
      <c r="E365" t="s">
        <v>327</v>
      </c>
      <c r="F365" t="s">
        <v>2276</v>
      </c>
      <c r="G365" s="6">
        <f t="shared" si="5"/>
        <v>-0.18813645503669962</v>
      </c>
    </row>
    <row r="366" spans="1:7">
      <c r="A366" t="s">
        <v>260</v>
      </c>
      <c r="B366" s="4">
        <v>45839</v>
      </c>
      <c r="C366" s="5">
        <v>52191.72</v>
      </c>
      <c r="D366" s="5">
        <v>41201.160000000003</v>
      </c>
      <c r="E366" t="s">
        <v>322</v>
      </c>
      <c r="F366" t="s">
        <v>2278</v>
      </c>
      <c r="G366" s="6">
        <f t="shared" si="5"/>
        <v>-0.21058052886549816</v>
      </c>
    </row>
    <row r="367" spans="1:7">
      <c r="A367" t="s">
        <v>260</v>
      </c>
      <c r="B367" s="4">
        <v>46082</v>
      </c>
      <c r="C367" s="5">
        <v>40877.42</v>
      </c>
      <c r="D367" s="5">
        <v>46204.45</v>
      </c>
      <c r="E367" t="s">
        <v>327</v>
      </c>
      <c r="F367" t="s">
        <v>2277</v>
      </c>
      <c r="G367" s="6">
        <f t="shared" si="5"/>
        <v>0.13031717755181221</v>
      </c>
    </row>
    <row r="368" spans="1:7">
      <c r="A368" t="s">
        <v>260</v>
      </c>
      <c r="B368" s="4">
        <v>45901</v>
      </c>
      <c r="C368" s="5">
        <v>61776.29</v>
      </c>
      <c r="D368" s="5">
        <v>63287.85</v>
      </c>
      <c r="E368" t="s">
        <v>327</v>
      </c>
      <c r="F368" t="s">
        <v>2278</v>
      </c>
      <c r="G368" s="6">
        <f t="shared" si="5"/>
        <v>2.446828710497179E-2</v>
      </c>
    </row>
    <row r="369" spans="1:7">
      <c r="A369" t="s">
        <v>286</v>
      </c>
      <c r="B369" s="4">
        <v>45962</v>
      </c>
      <c r="C369" s="5">
        <v>96317.67</v>
      </c>
      <c r="D369" s="5">
        <v>78830.789999999994</v>
      </c>
      <c r="E369" t="s">
        <v>322</v>
      </c>
      <c r="F369" t="s">
        <v>2277</v>
      </c>
      <c r="G369" s="6">
        <f t="shared" si="5"/>
        <v>-0.18155422571995361</v>
      </c>
    </row>
    <row r="370" spans="1:7">
      <c r="A370" t="s">
        <v>286</v>
      </c>
      <c r="B370" s="4">
        <v>45870</v>
      </c>
      <c r="C370" s="5">
        <v>52921.82</v>
      </c>
      <c r="D370" s="5">
        <v>52312.61</v>
      </c>
      <c r="E370" t="s">
        <v>336</v>
      </c>
      <c r="F370" t="s">
        <v>2278</v>
      </c>
      <c r="G370" s="6">
        <f t="shared" si="5"/>
        <v>-1.151150886345177E-2</v>
      </c>
    </row>
    <row r="371" spans="1:7">
      <c r="A371" t="s">
        <v>286</v>
      </c>
      <c r="B371" s="4">
        <v>46023</v>
      </c>
      <c r="C371" s="5">
        <v>73390.06</v>
      </c>
      <c r="D371" s="5">
        <v>58964.91</v>
      </c>
      <c r="E371" t="s">
        <v>322</v>
      </c>
      <c r="F371" t="s">
        <v>2276</v>
      </c>
      <c r="G371" s="6">
        <f t="shared" si="5"/>
        <v>-0.19655454703266348</v>
      </c>
    </row>
    <row r="372" spans="1:7">
      <c r="A372" t="s">
        <v>286</v>
      </c>
      <c r="B372" s="4">
        <v>45839</v>
      </c>
      <c r="C372" s="5">
        <v>51223.67</v>
      </c>
      <c r="D372" s="5">
        <v>42730.27</v>
      </c>
      <c r="E372" t="s">
        <v>327</v>
      </c>
      <c r="F372" t="s">
        <v>2277</v>
      </c>
      <c r="G372" s="6">
        <f t="shared" si="5"/>
        <v>-0.16581006398018733</v>
      </c>
    </row>
    <row r="373" spans="1:7">
      <c r="A373" t="s">
        <v>286</v>
      </c>
      <c r="B373" s="4">
        <v>46174</v>
      </c>
      <c r="C373" s="5">
        <v>88774.1</v>
      </c>
      <c r="D373" s="5">
        <v>67328.3</v>
      </c>
      <c r="E373" t="s">
        <v>322</v>
      </c>
      <c r="F373" t="s">
        <v>2276</v>
      </c>
      <c r="G373" s="6">
        <f t="shared" si="5"/>
        <v>-0.24157721677831712</v>
      </c>
    </row>
    <row r="374" spans="1:7">
      <c r="A374" t="s">
        <v>286</v>
      </c>
      <c r="B374" s="4">
        <v>45931</v>
      </c>
      <c r="C374" s="5">
        <v>57200.81</v>
      </c>
      <c r="D374" s="5">
        <v>70279.53</v>
      </c>
      <c r="E374" t="s">
        <v>327</v>
      </c>
      <c r="F374" t="s">
        <v>2276</v>
      </c>
      <c r="G374" s="6">
        <f t="shared" si="5"/>
        <v>0.22864571323378116</v>
      </c>
    </row>
    <row r="375" spans="1:7">
      <c r="A375" t="s">
        <v>286</v>
      </c>
      <c r="B375" s="4">
        <v>46082</v>
      </c>
      <c r="C375" s="5">
        <v>113323.4</v>
      </c>
      <c r="D375" s="5">
        <v>85292.09</v>
      </c>
      <c r="E375" t="s">
        <v>327</v>
      </c>
      <c r="F375" t="s">
        <v>2278</v>
      </c>
      <c r="G375" s="6">
        <f t="shared" si="5"/>
        <v>-0.24735676832851819</v>
      </c>
    </row>
    <row r="376" spans="1:7">
      <c r="A376" t="s">
        <v>286</v>
      </c>
      <c r="B376" s="4">
        <v>45901</v>
      </c>
      <c r="C376" s="5">
        <v>85069.33</v>
      </c>
      <c r="D376" s="5">
        <v>94845.98</v>
      </c>
      <c r="E376" t="s">
        <v>322</v>
      </c>
      <c r="F376" t="s">
        <v>2275</v>
      </c>
      <c r="G376" s="6">
        <f t="shared" si="5"/>
        <v>0.11492567297755835</v>
      </c>
    </row>
    <row r="377" spans="1:7">
      <c r="A377" t="s">
        <v>286</v>
      </c>
      <c r="B377" s="4">
        <v>46054</v>
      </c>
      <c r="C377" s="5">
        <v>83076.490000000005</v>
      </c>
      <c r="D377" s="5">
        <v>64773.56</v>
      </c>
      <c r="E377" t="s">
        <v>322</v>
      </c>
      <c r="F377" t="s">
        <v>2275</v>
      </c>
      <c r="G377" s="6">
        <f t="shared" si="5"/>
        <v>-0.22031419478603401</v>
      </c>
    </row>
    <row r="378" spans="1:7">
      <c r="A378" t="s">
        <v>196</v>
      </c>
      <c r="B378" s="4">
        <v>45962</v>
      </c>
      <c r="C378" s="5">
        <v>9286.44</v>
      </c>
      <c r="D378" s="5">
        <v>10940.08</v>
      </c>
      <c r="E378" t="s">
        <v>322</v>
      </c>
      <c r="F378" t="s">
        <v>2275</v>
      </c>
      <c r="G378" s="6">
        <f t="shared" si="5"/>
        <v>0.17807039080637999</v>
      </c>
    </row>
    <row r="379" spans="1:7">
      <c r="A379" t="s">
        <v>196</v>
      </c>
      <c r="B379" s="4">
        <v>45992</v>
      </c>
      <c r="C379" s="5">
        <v>9346.9699999999993</v>
      </c>
      <c r="D379" s="5">
        <v>9838.8799999999992</v>
      </c>
      <c r="E379" t="s">
        <v>322</v>
      </c>
      <c r="F379" t="s">
        <v>2277</v>
      </c>
      <c r="G379" s="6">
        <f t="shared" si="5"/>
        <v>5.2627749955333106E-2</v>
      </c>
    </row>
    <row r="380" spans="1:7">
      <c r="A380" t="s">
        <v>196</v>
      </c>
      <c r="B380" s="4">
        <v>45901</v>
      </c>
      <c r="C380" s="5">
        <v>10873.71</v>
      </c>
      <c r="D380" s="5">
        <v>9194.6200000000008</v>
      </c>
      <c r="E380" t="s">
        <v>336</v>
      </c>
      <c r="F380" t="s">
        <v>2276</v>
      </c>
      <c r="G380" s="6">
        <f t="shared" si="5"/>
        <v>-0.15441739755796305</v>
      </c>
    </row>
    <row r="381" spans="1:7">
      <c r="A381" t="s">
        <v>196</v>
      </c>
      <c r="B381" s="4">
        <v>46023</v>
      </c>
      <c r="C381" s="5">
        <v>12608.61</v>
      </c>
      <c r="D381" s="5">
        <v>14590.97</v>
      </c>
      <c r="E381" t="s">
        <v>327</v>
      </c>
      <c r="F381" t="s">
        <v>2277</v>
      </c>
      <c r="G381" s="6">
        <f t="shared" si="5"/>
        <v>0.15722272320263683</v>
      </c>
    </row>
    <row r="382" spans="1:7">
      <c r="A382" t="s">
        <v>196</v>
      </c>
      <c r="B382" s="4">
        <v>46082</v>
      </c>
      <c r="C382" s="5">
        <v>16569.419999999998</v>
      </c>
      <c r="D382" s="5">
        <v>14488.14</v>
      </c>
      <c r="E382" t="s">
        <v>327</v>
      </c>
      <c r="F382" t="s">
        <v>2277</v>
      </c>
      <c r="G382" s="6">
        <f t="shared" si="5"/>
        <v>-0.12560970752144607</v>
      </c>
    </row>
    <row r="383" spans="1:7">
      <c r="A383" t="s">
        <v>196</v>
      </c>
      <c r="B383" s="4">
        <v>46174</v>
      </c>
      <c r="C383" s="5">
        <v>9102.1200000000008</v>
      </c>
      <c r="D383" s="5">
        <v>7964.34</v>
      </c>
      <c r="E383" t="s">
        <v>322</v>
      </c>
      <c r="F383" t="s">
        <v>2277</v>
      </c>
      <c r="G383" s="6">
        <f t="shared" si="5"/>
        <v>-0.12500164796772625</v>
      </c>
    </row>
    <row r="384" spans="1:7">
      <c r="A384" t="s">
        <v>196</v>
      </c>
      <c r="B384" s="4">
        <v>46113</v>
      </c>
      <c r="C384" s="5">
        <v>13698.33</v>
      </c>
      <c r="D384" s="5">
        <v>11184.43</v>
      </c>
      <c r="E384" t="s">
        <v>322</v>
      </c>
      <c r="F384" t="s">
        <v>2278</v>
      </c>
      <c r="G384" s="6">
        <f t="shared" si="5"/>
        <v>-0.18351872089517479</v>
      </c>
    </row>
    <row r="385" spans="1:7">
      <c r="A385" t="s">
        <v>196</v>
      </c>
      <c r="B385" s="4">
        <v>46143</v>
      </c>
      <c r="C385" s="5">
        <v>16490.57</v>
      </c>
      <c r="D385" s="5">
        <v>17105.46</v>
      </c>
      <c r="E385" t="s">
        <v>327</v>
      </c>
      <c r="F385" t="s">
        <v>2276</v>
      </c>
      <c r="G385" s="6">
        <f t="shared" si="5"/>
        <v>3.728737090349208E-2</v>
      </c>
    </row>
    <row r="386" spans="1:7">
      <c r="A386" t="s">
        <v>124</v>
      </c>
      <c r="B386" s="4">
        <v>45839</v>
      </c>
      <c r="C386" s="5">
        <v>12969.78</v>
      </c>
      <c r="D386" s="5">
        <v>11835.65</v>
      </c>
      <c r="E386" t="s">
        <v>336</v>
      </c>
      <c r="F386" t="s">
        <v>2275</v>
      </c>
      <c r="G386" s="6">
        <f t="shared" ref="G386:G449" si="6">IF(C386=0,0,(D386-C386)/C386)</f>
        <v>-8.7444042998416391E-2</v>
      </c>
    </row>
    <row r="387" spans="1:7">
      <c r="A387" t="s">
        <v>124</v>
      </c>
      <c r="B387" s="4">
        <v>46023</v>
      </c>
      <c r="C387" s="5">
        <v>11202.02</v>
      </c>
      <c r="D387" s="5">
        <v>12211.96</v>
      </c>
      <c r="E387" t="s">
        <v>336</v>
      </c>
      <c r="F387" t="s">
        <v>2276</v>
      </c>
      <c r="G387" s="6">
        <f t="shared" si="6"/>
        <v>9.0156953835111756E-2</v>
      </c>
    </row>
    <row r="388" spans="1:7">
      <c r="A388" t="s">
        <v>124</v>
      </c>
      <c r="B388" s="4">
        <v>45870</v>
      </c>
      <c r="C388" s="5">
        <v>12876.48</v>
      </c>
      <c r="D388" s="5">
        <v>10596.8</v>
      </c>
      <c r="E388" t="s">
        <v>336</v>
      </c>
      <c r="F388" t="s">
        <v>2278</v>
      </c>
      <c r="G388" s="6">
        <f t="shared" si="6"/>
        <v>-0.17704217301622807</v>
      </c>
    </row>
    <row r="389" spans="1:7">
      <c r="A389" t="s">
        <v>124</v>
      </c>
      <c r="B389" s="4">
        <v>45992</v>
      </c>
      <c r="C389" s="5">
        <v>7219.2</v>
      </c>
      <c r="D389" s="5">
        <v>7817.88</v>
      </c>
      <c r="E389" t="s">
        <v>327</v>
      </c>
      <c r="F389" t="s">
        <v>2276</v>
      </c>
      <c r="G389" s="6">
        <f t="shared" si="6"/>
        <v>8.2928856382978769E-2</v>
      </c>
    </row>
    <row r="390" spans="1:7">
      <c r="A390" t="s">
        <v>124</v>
      </c>
      <c r="B390" s="4">
        <v>45931</v>
      </c>
      <c r="C390" s="5">
        <v>9769.39</v>
      </c>
      <c r="D390" s="5">
        <v>11963.32</v>
      </c>
      <c r="E390" t="s">
        <v>336</v>
      </c>
      <c r="F390" t="s">
        <v>2277</v>
      </c>
      <c r="G390" s="6">
        <f t="shared" si="6"/>
        <v>0.22457185146667299</v>
      </c>
    </row>
    <row r="391" spans="1:7">
      <c r="A391" t="s">
        <v>124</v>
      </c>
      <c r="B391" s="4">
        <v>46054</v>
      </c>
      <c r="C391" s="5">
        <v>7760.72</v>
      </c>
      <c r="D391" s="5">
        <v>7501.87</v>
      </c>
      <c r="E391" t="s">
        <v>322</v>
      </c>
      <c r="F391" t="s">
        <v>2277</v>
      </c>
      <c r="G391" s="6">
        <f t="shared" si="6"/>
        <v>-3.335386407446736E-2</v>
      </c>
    </row>
    <row r="392" spans="1:7">
      <c r="A392" t="s">
        <v>124</v>
      </c>
      <c r="B392" s="4">
        <v>46113</v>
      </c>
      <c r="C392" s="5">
        <v>12231.46</v>
      </c>
      <c r="D392" s="5">
        <v>14272.22</v>
      </c>
      <c r="E392" t="s">
        <v>327</v>
      </c>
      <c r="F392" t="s">
        <v>2275</v>
      </c>
      <c r="G392" s="6">
        <f t="shared" si="6"/>
        <v>0.16684516811566244</v>
      </c>
    </row>
    <row r="393" spans="1:7">
      <c r="A393" t="s">
        <v>124</v>
      </c>
      <c r="B393" s="4">
        <v>46082</v>
      </c>
      <c r="C393" s="5">
        <v>10059.69</v>
      </c>
      <c r="D393" s="5">
        <v>8570.0499999999993</v>
      </c>
      <c r="E393" t="s">
        <v>322</v>
      </c>
      <c r="F393" t="s">
        <v>2278</v>
      </c>
      <c r="G393" s="6">
        <f t="shared" si="6"/>
        <v>-0.14808010982445793</v>
      </c>
    </row>
    <row r="394" spans="1:7">
      <c r="A394" t="s">
        <v>124</v>
      </c>
      <c r="B394" s="4">
        <v>46174</v>
      </c>
      <c r="C394" s="5">
        <v>6819.64</v>
      </c>
      <c r="D394" s="5">
        <v>6067.19</v>
      </c>
      <c r="E394" t="s">
        <v>336</v>
      </c>
      <c r="F394" t="s">
        <v>2277</v>
      </c>
      <c r="G394" s="6">
        <f t="shared" si="6"/>
        <v>-0.11033573619721872</v>
      </c>
    </row>
    <row r="395" spans="1:7">
      <c r="A395" t="s">
        <v>193</v>
      </c>
      <c r="B395" s="4">
        <v>45870</v>
      </c>
      <c r="C395" s="5">
        <v>29513.29</v>
      </c>
      <c r="D395" s="5">
        <v>34882.46</v>
      </c>
      <c r="E395" t="s">
        <v>336</v>
      </c>
      <c r="F395" t="s">
        <v>2275</v>
      </c>
      <c r="G395" s="6">
        <f t="shared" si="6"/>
        <v>0.18192380449621165</v>
      </c>
    </row>
    <row r="396" spans="1:7">
      <c r="A396" t="s">
        <v>193</v>
      </c>
      <c r="B396" s="4">
        <v>46113</v>
      </c>
      <c r="C396" s="5">
        <v>31850.82</v>
      </c>
      <c r="D396" s="5">
        <v>31537.89</v>
      </c>
      <c r="E396" t="s">
        <v>336</v>
      </c>
      <c r="F396" t="s">
        <v>2276</v>
      </c>
      <c r="G396" s="6">
        <f t="shared" si="6"/>
        <v>-9.8248647915501162E-3</v>
      </c>
    </row>
    <row r="397" spans="1:7">
      <c r="A397" t="s">
        <v>193</v>
      </c>
      <c r="B397" s="4">
        <v>46054</v>
      </c>
      <c r="C397" s="5">
        <v>23261.61</v>
      </c>
      <c r="D397" s="5">
        <v>20172.71</v>
      </c>
      <c r="E397" t="s">
        <v>336</v>
      </c>
      <c r="F397" t="s">
        <v>2275</v>
      </c>
      <c r="G397" s="6">
        <f t="shared" si="6"/>
        <v>-0.13278960484678409</v>
      </c>
    </row>
    <row r="398" spans="1:7">
      <c r="A398" t="s">
        <v>193</v>
      </c>
      <c r="B398" s="4">
        <v>45992</v>
      </c>
      <c r="C398" s="5">
        <v>30123.86</v>
      </c>
      <c r="D398" s="5">
        <v>36879.370000000003</v>
      </c>
      <c r="E398" t="s">
        <v>327</v>
      </c>
      <c r="F398" t="s">
        <v>2276</v>
      </c>
      <c r="G398" s="6">
        <f t="shared" si="6"/>
        <v>0.22425778104134073</v>
      </c>
    </row>
    <row r="399" spans="1:7">
      <c r="A399" t="s">
        <v>193</v>
      </c>
      <c r="B399" s="4">
        <v>45962</v>
      </c>
      <c r="C399" s="5">
        <v>26414.3</v>
      </c>
      <c r="D399" s="5">
        <v>29336.29</v>
      </c>
      <c r="E399" t="s">
        <v>327</v>
      </c>
      <c r="F399" t="s">
        <v>2278</v>
      </c>
      <c r="G399" s="6">
        <f t="shared" si="6"/>
        <v>0.11062151940426215</v>
      </c>
    </row>
    <row r="400" spans="1:7">
      <c r="A400" t="s">
        <v>193</v>
      </c>
      <c r="B400" s="4">
        <v>46082</v>
      </c>
      <c r="C400" s="5">
        <v>46147.31</v>
      </c>
      <c r="D400" s="5">
        <v>40882.18</v>
      </c>
      <c r="E400" t="s">
        <v>327</v>
      </c>
      <c r="F400" t="s">
        <v>2278</v>
      </c>
      <c r="G400" s="6">
        <f t="shared" si="6"/>
        <v>-0.1140939742749902</v>
      </c>
    </row>
    <row r="401" spans="1:7">
      <c r="A401" t="s">
        <v>193</v>
      </c>
      <c r="B401" s="4">
        <v>46174</v>
      </c>
      <c r="C401" s="5">
        <v>48069.13</v>
      </c>
      <c r="D401" s="5">
        <v>36539.74</v>
      </c>
      <c r="E401" t="s">
        <v>327</v>
      </c>
      <c r="F401" t="s">
        <v>2277</v>
      </c>
      <c r="G401" s="6">
        <f t="shared" si="6"/>
        <v>-0.23985019075652086</v>
      </c>
    </row>
    <row r="402" spans="1:7">
      <c r="A402" t="s">
        <v>193</v>
      </c>
      <c r="B402" s="4">
        <v>45931</v>
      </c>
      <c r="C402" s="5">
        <v>30884.25</v>
      </c>
      <c r="D402" s="5">
        <v>27530.43</v>
      </c>
      <c r="E402" t="s">
        <v>322</v>
      </c>
      <c r="F402" t="s">
        <v>2276</v>
      </c>
      <c r="G402" s="6">
        <f t="shared" si="6"/>
        <v>-0.10859321498822214</v>
      </c>
    </row>
    <row r="403" spans="1:7">
      <c r="A403" t="s">
        <v>112</v>
      </c>
      <c r="B403" s="4">
        <v>45839</v>
      </c>
      <c r="C403" s="5">
        <v>6557.43</v>
      </c>
      <c r="D403" s="5">
        <v>5532.41</v>
      </c>
      <c r="E403" t="s">
        <v>327</v>
      </c>
      <c r="F403" t="s">
        <v>2278</v>
      </c>
      <c r="G403" s="6">
        <f t="shared" si="6"/>
        <v>-0.15631428776212639</v>
      </c>
    </row>
    <row r="404" spans="1:7">
      <c r="A404" t="s">
        <v>112</v>
      </c>
      <c r="B404" s="4">
        <v>45901</v>
      </c>
      <c r="C404" s="5">
        <v>7927.91</v>
      </c>
      <c r="D404" s="5">
        <v>7630.01</v>
      </c>
      <c r="E404" t="s">
        <v>327</v>
      </c>
      <c r="F404" t="s">
        <v>2278</v>
      </c>
      <c r="G404" s="6">
        <f t="shared" si="6"/>
        <v>-3.7576107700516233E-2</v>
      </c>
    </row>
    <row r="405" spans="1:7">
      <c r="A405" t="s">
        <v>112</v>
      </c>
      <c r="B405" s="4">
        <v>46174</v>
      </c>
      <c r="C405" s="5">
        <v>7158.35</v>
      </c>
      <c r="D405" s="5">
        <v>7619.52</v>
      </c>
      <c r="E405" t="s">
        <v>327</v>
      </c>
      <c r="F405" t="s">
        <v>2278</v>
      </c>
      <c r="G405" s="6">
        <f t="shared" si="6"/>
        <v>6.4424064204739923E-2</v>
      </c>
    </row>
    <row r="406" spans="1:7">
      <c r="A406" t="s">
        <v>112</v>
      </c>
      <c r="B406" s="4">
        <v>45992</v>
      </c>
      <c r="C406" s="5">
        <v>4358.1000000000004</v>
      </c>
      <c r="D406" s="5">
        <v>4296.7700000000004</v>
      </c>
      <c r="E406" t="s">
        <v>322</v>
      </c>
      <c r="F406" t="s">
        <v>2276</v>
      </c>
      <c r="G406" s="6">
        <f t="shared" si="6"/>
        <v>-1.4072646336706345E-2</v>
      </c>
    </row>
    <row r="407" spans="1:7">
      <c r="A407" t="s">
        <v>112</v>
      </c>
      <c r="B407" s="4">
        <v>46023</v>
      </c>
      <c r="C407" s="5">
        <v>5664.37</v>
      </c>
      <c r="D407" s="5">
        <v>6677.72</v>
      </c>
      <c r="E407" t="s">
        <v>336</v>
      </c>
      <c r="F407" t="s">
        <v>2275</v>
      </c>
      <c r="G407" s="6">
        <f t="shared" si="6"/>
        <v>0.17889897729138463</v>
      </c>
    </row>
    <row r="408" spans="1:7">
      <c r="A408" t="s">
        <v>112</v>
      </c>
      <c r="B408" s="4">
        <v>45962</v>
      </c>
      <c r="C408" s="5">
        <v>8145.29</v>
      </c>
      <c r="D408" s="5">
        <v>8277.59</v>
      </c>
      <c r="E408" t="s">
        <v>336</v>
      </c>
      <c r="F408" t="s">
        <v>2276</v>
      </c>
      <c r="G408" s="6">
        <f t="shared" si="6"/>
        <v>1.6242515613317656E-2</v>
      </c>
    </row>
    <row r="409" spans="1:7">
      <c r="A409" t="s">
        <v>112</v>
      </c>
      <c r="B409" s="4">
        <v>46143</v>
      </c>
      <c r="C409" s="5">
        <v>6270.63</v>
      </c>
      <c r="D409" s="5">
        <v>6466.38</v>
      </c>
      <c r="E409" t="s">
        <v>327</v>
      </c>
      <c r="F409" t="s">
        <v>2277</v>
      </c>
      <c r="G409" s="6">
        <f t="shared" si="6"/>
        <v>3.1216959061529704E-2</v>
      </c>
    </row>
    <row r="410" spans="1:7">
      <c r="A410" t="s">
        <v>112</v>
      </c>
      <c r="B410" s="4">
        <v>46113</v>
      </c>
      <c r="C410" s="5">
        <v>4398.68</v>
      </c>
      <c r="D410" s="5">
        <v>5269.45</v>
      </c>
      <c r="E410" t="s">
        <v>322</v>
      </c>
      <c r="F410" t="s">
        <v>2275</v>
      </c>
      <c r="G410" s="6">
        <f t="shared" si="6"/>
        <v>0.1979616612256403</v>
      </c>
    </row>
    <row r="411" spans="1:7">
      <c r="A411" t="s">
        <v>192</v>
      </c>
      <c r="B411" s="4">
        <v>46054</v>
      </c>
      <c r="C411" s="5">
        <v>17209.849999999999</v>
      </c>
      <c r="D411" s="5">
        <v>21305.17</v>
      </c>
      <c r="E411" t="s">
        <v>336</v>
      </c>
      <c r="F411" t="s">
        <v>2276</v>
      </c>
      <c r="G411" s="6">
        <f t="shared" si="6"/>
        <v>0.23796372426255893</v>
      </c>
    </row>
    <row r="412" spans="1:7">
      <c r="A412" t="s">
        <v>192</v>
      </c>
      <c r="B412" s="4">
        <v>46023</v>
      </c>
      <c r="C412" s="5">
        <v>11332.51</v>
      </c>
      <c r="D412" s="5">
        <v>9714.99</v>
      </c>
      <c r="E412" t="s">
        <v>336</v>
      </c>
      <c r="F412" t="s">
        <v>2277</v>
      </c>
      <c r="G412" s="6">
        <f t="shared" si="6"/>
        <v>-0.14273272205363158</v>
      </c>
    </row>
    <row r="413" spans="1:7">
      <c r="A413" t="s">
        <v>192</v>
      </c>
      <c r="B413" s="4">
        <v>46082</v>
      </c>
      <c r="C413" s="5">
        <v>8981.26</v>
      </c>
      <c r="D413" s="5">
        <v>6788.48</v>
      </c>
      <c r="E413" t="s">
        <v>327</v>
      </c>
      <c r="F413" t="s">
        <v>2275</v>
      </c>
      <c r="G413" s="6">
        <f t="shared" si="6"/>
        <v>-0.2441505980229946</v>
      </c>
    </row>
    <row r="414" spans="1:7">
      <c r="A414" t="s">
        <v>192</v>
      </c>
      <c r="B414" s="4">
        <v>45870</v>
      </c>
      <c r="C414" s="5">
        <v>10049.66</v>
      </c>
      <c r="D414" s="5">
        <v>8946.26</v>
      </c>
      <c r="E414" t="s">
        <v>327</v>
      </c>
      <c r="F414" t="s">
        <v>2275</v>
      </c>
      <c r="G414" s="6">
        <f t="shared" si="6"/>
        <v>-0.10979475922568521</v>
      </c>
    </row>
    <row r="415" spans="1:7">
      <c r="A415" t="s">
        <v>192</v>
      </c>
      <c r="B415" s="4">
        <v>46113</v>
      </c>
      <c r="C415" s="5">
        <v>19919.009999999998</v>
      </c>
      <c r="D415" s="5">
        <v>15870.3</v>
      </c>
      <c r="E415" t="s">
        <v>322</v>
      </c>
      <c r="F415" t="s">
        <v>2277</v>
      </c>
      <c r="G415" s="6">
        <f t="shared" si="6"/>
        <v>-0.20325859568321916</v>
      </c>
    </row>
    <row r="416" spans="1:7">
      <c r="A416" t="s">
        <v>151</v>
      </c>
      <c r="B416" s="4">
        <v>46113</v>
      </c>
      <c r="C416" s="5">
        <v>45243.66</v>
      </c>
      <c r="D416" s="5">
        <v>37711.440000000002</v>
      </c>
      <c r="E416" t="s">
        <v>327</v>
      </c>
      <c r="F416" t="s">
        <v>2277</v>
      </c>
      <c r="G416" s="6">
        <f t="shared" si="6"/>
        <v>-0.1664812263198866</v>
      </c>
    </row>
    <row r="417" spans="1:7">
      <c r="A417" t="s">
        <v>151</v>
      </c>
      <c r="B417" s="4">
        <v>46082</v>
      </c>
      <c r="C417" s="5">
        <v>76364.009999999995</v>
      </c>
      <c r="D417" s="5">
        <v>75964.990000000005</v>
      </c>
      <c r="E417" t="s">
        <v>322</v>
      </c>
      <c r="F417" t="s">
        <v>2275</v>
      </c>
      <c r="G417" s="6">
        <f t="shared" si="6"/>
        <v>-5.2252363384268259E-3</v>
      </c>
    </row>
    <row r="418" spans="1:7">
      <c r="A418" t="s">
        <v>151</v>
      </c>
      <c r="B418" s="4">
        <v>45931</v>
      </c>
      <c r="C418" s="5">
        <v>74505.850000000006</v>
      </c>
      <c r="D418" s="5">
        <v>59608.160000000003</v>
      </c>
      <c r="E418" t="s">
        <v>327</v>
      </c>
      <c r="F418" t="s">
        <v>2276</v>
      </c>
      <c r="G418" s="6">
        <f t="shared" si="6"/>
        <v>-0.19995329225825892</v>
      </c>
    </row>
    <row r="419" spans="1:7">
      <c r="A419" t="s">
        <v>151</v>
      </c>
      <c r="B419" s="4">
        <v>45839</v>
      </c>
      <c r="C419" s="5">
        <v>76296.070000000007</v>
      </c>
      <c r="D419" s="5">
        <v>67814.62</v>
      </c>
      <c r="E419" t="s">
        <v>336</v>
      </c>
      <c r="F419" t="s">
        <v>2278</v>
      </c>
      <c r="G419" s="6">
        <f t="shared" si="6"/>
        <v>-0.11116496563977687</v>
      </c>
    </row>
    <row r="420" spans="1:7">
      <c r="A420" t="s">
        <v>151</v>
      </c>
      <c r="B420" s="4">
        <v>46054</v>
      </c>
      <c r="C420" s="5">
        <v>76767.990000000005</v>
      </c>
      <c r="D420" s="5">
        <v>86491.71</v>
      </c>
      <c r="E420" t="s">
        <v>327</v>
      </c>
      <c r="F420" t="s">
        <v>2276</v>
      </c>
      <c r="G420" s="6">
        <f t="shared" si="6"/>
        <v>0.12666373054706787</v>
      </c>
    </row>
    <row r="421" spans="1:7">
      <c r="A421" t="s">
        <v>151</v>
      </c>
      <c r="B421" s="4">
        <v>45992</v>
      </c>
      <c r="C421" s="5">
        <v>33249.83</v>
      </c>
      <c r="D421" s="5">
        <v>26558.49</v>
      </c>
      <c r="E421" t="s">
        <v>327</v>
      </c>
      <c r="F421" t="s">
        <v>2277</v>
      </c>
      <c r="G421" s="6">
        <f t="shared" si="6"/>
        <v>-0.20124433718909238</v>
      </c>
    </row>
    <row r="422" spans="1:7">
      <c r="A422" t="s">
        <v>142</v>
      </c>
      <c r="B422" s="4">
        <v>45901</v>
      </c>
      <c r="C422" s="5">
        <v>26798.13</v>
      </c>
      <c r="D422" s="5">
        <v>22899.95</v>
      </c>
      <c r="E422" t="s">
        <v>322</v>
      </c>
      <c r="F422" t="s">
        <v>2278</v>
      </c>
      <c r="G422" s="6">
        <f t="shared" si="6"/>
        <v>-0.14546462756916248</v>
      </c>
    </row>
    <row r="423" spans="1:7">
      <c r="A423" t="s">
        <v>142</v>
      </c>
      <c r="B423" s="4">
        <v>46174</v>
      </c>
      <c r="C423" s="5">
        <v>35031.519999999997</v>
      </c>
      <c r="D423" s="5">
        <v>37863.14</v>
      </c>
      <c r="E423" t="s">
        <v>322</v>
      </c>
      <c r="F423" t="s">
        <v>2276</v>
      </c>
      <c r="G423" s="6">
        <f t="shared" si="6"/>
        <v>8.0830634811164426E-2</v>
      </c>
    </row>
    <row r="424" spans="1:7">
      <c r="A424" t="s">
        <v>142</v>
      </c>
      <c r="B424" s="4">
        <v>45931</v>
      </c>
      <c r="C424" s="5">
        <v>21691.39</v>
      </c>
      <c r="D424" s="5">
        <v>24139.74</v>
      </c>
      <c r="E424" t="s">
        <v>327</v>
      </c>
      <c r="F424" t="s">
        <v>2276</v>
      </c>
      <c r="G424" s="6">
        <f t="shared" si="6"/>
        <v>0.1128719736264021</v>
      </c>
    </row>
    <row r="425" spans="1:7">
      <c r="A425" t="s">
        <v>142</v>
      </c>
      <c r="B425" s="4">
        <v>45839</v>
      </c>
      <c r="C425" s="5">
        <v>32104.38</v>
      </c>
      <c r="D425" s="5">
        <v>36223.199999999997</v>
      </c>
      <c r="E425" t="s">
        <v>336</v>
      </c>
      <c r="F425" t="s">
        <v>2275</v>
      </c>
      <c r="G425" s="6">
        <f t="shared" si="6"/>
        <v>0.12829464390840115</v>
      </c>
    </row>
    <row r="426" spans="1:7">
      <c r="A426" t="s">
        <v>142</v>
      </c>
      <c r="B426" s="4">
        <v>46143</v>
      </c>
      <c r="C426" s="5">
        <v>25495.5</v>
      </c>
      <c r="D426" s="5">
        <v>19928.150000000001</v>
      </c>
      <c r="E426" t="s">
        <v>322</v>
      </c>
      <c r="F426" t="s">
        <v>2275</v>
      </c>
      <c r="G426" s="6">
        <f t="shared" si="6"/>
        <v>-0.21836598615441935</v>
      </c>
    </row>
    <row r="427" spans="1:7">
      <c r="A427" t="s">
        <v>131</v>
      </c>
      <c r="B427" s="4">
        <v>45992</v>
      </c>
      <c r="C427" s="5">
        <v>14833.89</v>
      </c>
      <c r="D427" s="5">
        <v>16795.060000000001</v>
      </c>
      <c r="E427" t="s">
        <v>322</v>
      </c>
      <c r="F427" t="s">
        <v>2277</v>
      </c>
      <c r="G427" s="6">
        <f t="shared" si="6"/>
        <v>0.13220874632345272</v>
      </c>
    </row>
    <row r="428" spans="1:7">
      <c r="A428" t="s">
        <v>131</v>
      </c>
      <c r="B428" s="4">
        <v>45839</v>
      </c>
      <c r="C428" s="5">
        <v>15699.12</v>
      </c>
      <c r="D428" s="5">
        <v>12625.54</v>
      </c>
      <c r="E428" t="s">
        <v>322</v>
      </c>
      <c r="F428" t="s">
        <v>2276</v>
      </c>
      <c r="G428" s="6">
        <f t="shared" si="6"/>
        <v>-0.19578040043008779</v>
      </c>
    </row>
    <row r="429" spans="1:7">
      <c r="A429" t="s">
        <v>131</v>
      </c>
      <c r="B429" s="4">
        <v>46082</v>
      </c>
      <c r="C429" s="5">
        <v>17849.98</v>
      </c>
      <c r="D429" s="5">
        <v>18030.82</v>
      </c>
      <c r="E429" t="s">
        <v>327</v>
      </c>
      <c r="F429" t="s">
        <v>2278</v>
      </c>
      <c r="G429" s="6">
        <f t="shared" si="6"/>
        <v>1.0131103788351591E-2</v>
      </c>
    </row>
    <row r="430" spans="1:7">
      <c r="A430" t="s">
        <v>131</v>
      </c>
      <c r="B430" s="4">
        <v>45901</v>
      </c>
      <c r="C430" s="5">
        <v>29718.92</v>
      </c>
      <c r="D430" s="5">
        <v>24628.03</v>
      </c>
      <c r="E430" t="s">
        <v>327</v>
      </c>
      <c r="F430" t="s">
        <v>2276</v>
      </c>
      <c r="G430" s="6">
        <f t="shared" si="6"/>
        <v>-0.17130131242992677</v>
      </c>
    </row>
    <row r="431" spans="1:7">
      <c r="A431" t="s">
        <v>131</v>
      </c>
      <c r="B431" s="4">
        <v>46023</v>
      </c>
      <c r="C431" s="5">
        <v>31005.41</v>
      </c>
      <c r="D431" s="5">
        <v>29840.94</v>
      </c>
      <c r="E431" t="s">
        <v>327</v>
      </c>
      <c r="F431" t="s">
        <v>2275</v>
      </c>
      <c r="G431" s="6">
        <f t="shared" si="6"/>
        <v>-3.7556994085870855E-2</v>
      </c>
    </row>
    <row r="432" spans="1:7">
      <c r="A432" t="s">
        <v>208</v>
      </c>
      <c r="B432" s="4">
        <v>46113</v>
      </c>
      <c r="C432" s="5">
        <v>30567.88</v>
      </c>
      <c r="D432" s="5">
        <v>31109.66</v>
      </c>
      <c r="E432" t="s">
        <v>322</v>
      </c>
      <c r="F432" t="s">
        <v>2277</v>
      </c>
      <c r="G432" s="6">
        <f t="shared" si="6"/>
        <v>1.7723832990707854E-2</v>
      </c>
    </row>
    <row r="433" spans="1:7">
      <c r="A433" t="s">
        <v>208</v>
      </c>
      <c r="B433" s="4">
        <v>45931</v>
      </c>
      <c r="C433" s="5">
        <v>42918.18</v>
      </c>
      <c r="D433" s="5">
        <v>34909.199999999997</v>
      </c>
      <c r="E433" t="s">
        <v>322</v>
      </c>
      <c r="F433" t="s">
        <v>2276</v>
      </c>
      <c r="G433" s="6">
        <f t="shared" si="6"/>
        <v>-0.18661042942641098</v>
      </c>
    </row>
    <row r="434" spans="1:7">
      <c r="A434" t="s">
        <v>208</v>
      </c>
      <c r="B434" s="4">
        <v>45839</v>
      </c>
      <c r="C434" s="5">
        <v>41170.14</v>
      </c>
      <c r="D434" s="5">
        <v>41860.620000000003</v>
      </c>
      <c r="E434" t="s">
        <v>322</v>
      </c>
      <c r="F434" t="s">
        <v>2275</v>
      </c>
      <c r="G434" s="6">
        <f t="shared" si="6"/>
        <v>1.6771378479645764E-2</v>
      </c>
    </row>
    <row r="435" spans="1:7">
      <c r="A435" t="s">
        <v>208</v>
      </c>
      <c r="B435" s="4">
        <v>46143</v>
      </c>
      <c r="C435" s="5">
        <v>31127.53</v>
      </c>
      <c r="D435" s="5">
        <v>33456.730000000003</v>
      </c>
      <c r="E435" t="s">
        <v>327</v>
      </c>
      <c r="F435" t="s">
        <v>2276</v>
      </c>
      <c r="G435" s="6">
        <f t="shared" si="6"/>
        <v>7.4827652563502614E-2</v>
      </c>
    </row>
    <row r="436" spans="1:7">
      <c r="A436" t="s">
        <v>208</v>
      </c>
      <c r="B436" s="4">
        <v>46023</v>
      </c>
      <c r="C436" s="5">
        <v>21103.14</v>
      </c>
      <c r="D436" s="5">
        <v>17724.45</v>
      </c>
      <c r="E436" t="s">
        <v>322</v>
      </c>
      <c r="F436" t="s">
        <v>2276</v>
      </c>
      <c r="G436" s="6">
        <f t="shared" si="6"/>
        <v>-0.16010366229859627</v>
      </c>
    </row>
    <row r="437" spans="1:7">
      <c r="A437" t="s">
        <v>208</v>
      </c>
      <c r="B437" s="4">
        <v>45901</v>
      </c>
      <c r="C437" s="5">
        <v>26607.02</v>
      </c>
      <c r="D437" s="5">
        <v>20630.53</v>
      </c>
      <c r="E437" t="s">
        <v>327</v>
      </c>
      <c r="F437" t="s">
        <v>2277</v>
      </c>
      <c r="G437" s="6">
        <f t="shared" si="6"/>
        <v>-0.22462079556447889</v>
      </c>
    </row>
    <row r="438" spans="1:7">
      <c r="A438" t="s">
        <v>36</v>
      </c>
      <c r="B438" s="4">
        <v>45870</v>
      </c>
      <c r="C438" s="5">
        <v>56871.64</v>
      </c>
      <c r="D438" s="5">
        <v>66201.72</v>
      </c>
      <c r="E438" t="s">
        <v>322</v>
      </c>
      <c r="F438" t="s">
        <v>2275</v>
      </c>
      <c r="G438" s="6">
        <f t="shared" si="6"/>
        <v>0.16405505450519806</v>
      </c>
    </row>
    <row r="439" spans="1:7">
      <c r="A439" t="s">
        <v>36</v>
      </c>
      <c r="B439" s="4">
        <v>45992</v>
      </c>
      <c r="C439" s="5">
        <v>54139.39</v>
      </c>
      <c r="D439" s="5">
        <v>63286.28</v>
      </c>
      <c r="E439" t="s">
        <v>322</v>
      </c>
      <c r="F439" t="s">
        <v>2276</v>
      </c>
      <c r="G439" s="6">
        <f t="shared" si="6"/>
        <v>0.16895073993260729</v>
      </c>
    </row>
    <row r="440" spans="1:7">
      <c r="A440" t="s">
        <v>36</v>
      </c>
      <c r="B440" s="4">
        <v>46082</v>
      </c>
      <c r="C440" s="5">
        <v>63883.34</v>
      </c>
      <c r="D440" s="5">
        <v>50767.55</v>
      </c>
      <c r="E440" t="s">
        <v>322</v>
      </c>
      <c r="F440" t="s">
        <v>2275</v>
      </c>
      <c r="G440" s="6">
        <f t="shared" si="6"/>
        <v>-0.20530845757281938</v>
      </c>
    </row>
    <row r="441" spans="1:7">
      <c r="A441" t="s">
        <v>36</v>
      </c>
      <c r="B441" s="4">
        <v>46113</v>
      </c>
      <c r="C441" s="5">
        <v>34532.71</v>
      </c>
      <c r="D441" s="5">
        <v>38347.19</v>
      </c>
      <c r="E441" t="s">
        <v>327</v>
      </c>
      <c r="F441" t="s">
        <v>2277</v>
      </c>
      <c r="G441" s="6">
        <f t="shared" si="6"/>
        <v>0.11045990888059476</v>
      </c>
    </row>
    <row r="442" spans="1:7">
      <c r="A442" t="s">
        <v>36</v>
      </c>
      <c r="B442" s="4">
        <v>46174</v>
      </c>
      <c r="C442" s="5">
        <v>65706.38</v>
      </c>
      <c r="D442" s="5">
        <v>59853.33</v>
      </c>
      <c r="E442" t="s">
        <v>322</v>
      </c>
      <c r="F442" t="s">
        <v>2278</v>
      </c>
      <c r="G442" s="6">
        <f t="shared" si="6"/>
        <v>-8.9078868749123033E-2</v>
      </c>
    </row>
    <row r="443" spans="1:7">
      <c r="A443" t="s">
        <v>36</v>
      </c>
      <c r="B443" s="4">
        <v>45901</v>
      </c>
      <c r="C443" s="5">
        <v>77637.27</v>
      </c>
      <c r="D443" s="5">
        <v>71336.289999999994</v>
      </c>
      <c r="E443" t="s">
        <v>322</v>
      </c>
      <c r="F443" t="s">
        <v>2277</v>
      </c>
      <c r="G443" s="6">
        <f t="shared" si="6"/>
        <v>-8.1159216443339774E-2</v>
      </c>
    </row>
    <row r="444" spans="1:7">
      <c r="A444" t="s">
        <v>36</v>
      </c>
      <c r="B444" s="4">
        <v>46023</v>
      </c>
      <c r="C444" s="5">
        <v>67685.72</v>
      </c>
      <c r="D444" s="5">
        <v>77002.8</v>
      </c>
      <c r="E444" t="s">
        <v>327</v>
      </c>
      <c r="F444" t="s">
        <v>2277</v>
      </c>
      <c r="G444" s="6">
        <f t="shared" si="6"/>
        <v>0.13765207786812347</v>
      </c>
    </row>
    <row r="445" spans="1:7">
      <c r="A445" t="s">
        <v>36</v>
      </c>
      <c r="B445" s="4">
        <v>46143</v>
      </c>
      <c r="C445" s="5">
        <v>71561.37</v>
      </c>
      <c r="D445" s="5">
        <v>79543.679999999993</v>
      </c>
      <c r="E445" t="s">
        <v>322</v>
      </c>
      <c r="F445" t="s">
        <v>2278</v>
      </c>
      <c r="G445" s="6">
        <f t="shared" si="6"/>
        <v>0.1115449578452732</v>
      </c>
    </row>
    <row r="446" spans="1:7">
      <c r="A446" t="s">
        <v>32</v>
      </c>
      <c r="B446" s="4">
        <v>46143</v>
      </c>
      <c r="C446" s="5">
        <v>17199.71</v>
      </c>
      <c r="D446" s="5">
        <v>18324.97</v>
      </c>
      <c r="E446" t="s">
        <v>327</v>
      </c>
      <c r="F446" t="s">
        <v>2277</v>
      </c>
      <c r="G446" s="6">
        <f t="shared" si="6"/>
        <v>6.5423196088771382E-2</v>
      </c>
    </row>
    <row r="447" spans="1:7">
      <c r="A447" t="s">
        <v>32</v>
      </c>
      <c r="B447" s="4">
        <v>46113</v>
      </c>
      <c r="C447" s="5">
        <v>32927.86</v>
      </c>
      <c r="D447" s="5">
        <v>40968.89</v>
      </c>
      <c r="E447" t="s">
        <v>336</v>
      </c>
      <c r="F447" t="s">
        <v>2275</v>
      </c>
      <c r="G447" s="6">
        <f t="shared" si="6"/>
        <v>0.24420141485052471</v>
      </c>
    </row>
    <row r="448" spans="1:7">
      <c r="A448" t="s">
        <v>32</v>
      </c>
      <c r="B448" s="4">
        <v>45870</v>
      </c>
      <c r="C448" s="5">
        <v>31810.06</v>
      </c>
      <c r="D448" s="5">
        <v>36497.11</v>
      </c>
      <c r="E448" t="s">
        <v>327</v>
      </c>
      <c r="F448" t="s">
        <v>2278</v>
      </c>
      <c r="G448" s="6">
        <f t="shared" si="6"/>
        <v>0.14734489655159402</v>
      </c>
    </row>
    <row r="449" spans="1:7">
      <c r="A449" t="s">
        <v>32</v>
      </c>
      <c r="B449" s="4">
        <v>46174</v>
      </c>
      <c r="C449" s="5">
        <v>33719.14</v>
      </c>
      <c r="D449" s="5">
        <v>29686.400000000001</v>
      </c>
      <c r="E449" t="s">
        <v>322</v>
      </c>
      <c r="F449" t="s">
        <v>2276</v>
      </c>
      <c r="G449" s="6">
        <f t="shared" si="6"/>
        <v>-0.11959794941389365</v>
      </c>
    </row>
    <row r="450" spans="1:7">
      <c r="A450" t="s">
        <v>32</v>
      </c>
      <c r="B450" s="4">
        <v>45931</v>
      </c>
      <c r="C450" s="5">
        <v>30103.42</v>
      </c>
      <c r="D450" s="5">
        <v>31253.15</v>
      </c>
      <c r="E450" t="s">
        <v>336</v>
      </c>
      <c r="F450" t="s">
        <v>2278</v>
      </c>
      <c r="G450" s="6">
        <f t="shared" ref="G450:G513" si="7">IF(C450=0,0,(D450-C450)/C450)</f>
        <v>3.8192670467342357E-2</v>
      </c>
    </row>
    <row r="451" spans="1:7">
      <c r="A451" t="s">
        <v>32</v>
      </c>
      <c r="B451" s="4">
        <v>46054</v>
      </c>
      <c r="C451" s="5">
        <v>27508.69</v>
      </c>
      <c r="D451" s="5">
        <v>33151.46</v>
      </c>
      <c r="E451" t="s">
        <v>322</v>
      </c>
      <c r="F451" t="s">
        <v>2276</v>
      </c>
      <c r="G451" s="6">
        <f t="shared" si="7"/>
        <v>0.20512681628968885</v>
      </c>
    </row>
    <row r="452" spans="1:7">
      <c r="A452" t="s">
        <v>32</v>
      </c>
      <c r="B452" s="4">
        <v>45839</v>
      </c>
      <c r="C452" s="5">
        <v>20014.66</v>
      </c>
      <c r="D452" s="5">
        <v>22648.880000000001</v>
      </c>
      <c r="E452" t="s">
        <v>327</v>
      </c>
      <c r="F452" t="s">
        <v>2277</v>
      </c>
      <c r="G452" s="6">
        <f t="shared" si="7"/>
        <v>0.13161452655203743</v>
      </c>
    </row>
    <row r="453" spans="1:7">
      <c r="A453" t="s">
        <v>32</v>
      </c>
      <c r="B453" s="4">
        <v>46023</v>
      </c>
      <c r="C453" s="5">
        <v>23302.68</v>
      </c>
      <c r="D453" s="5">
        <v>22940.02</v>
      </c>
      <c r="E453" t="s">
        <v>327</v>
      </c>
      <c r="F453" t="s">
        <v>2275</v>
      </c>
      <c r="G453" s="6">
        <f t="shared" si="7"/>
        <v>-1.556301678605207E-2</v>
      </c>
    </row>
    <row r="454" spans="1:7">
      <c r="A454" t="s">
        <v>32</v>
      </c>
      <c r="B454" s="4">
        <v>45901</v>
      </c>
      <c r="C454" s="5">
        <v>26942.59</v>
      </c>
      <c r="D454" s="5">
        <v>20801.650000000001</v>
      </c>
      <c r="E454" t="s">
        <v>322</v>
      </c>
      <c r="F454" t="s">
        <v>2277</v>
      </c>
      <c r="G454" s="6">
        <f t="shared" si="7"/>
        <v>-0.22792686226528328</v>
      </c>
    </row>
    <row r="455" spans="1:7">
      <c r="A455" t="s">
        <v>114</v>
      </c>
      <c r="B455" s="4">
        <v>46023</v>
      </c>
      <c r="C455" s="5">
        <v>66952.56</v>
      </c>
      <c r="D455" s="5">
        <v>59423.05</v>
      </c>
      <c r="E455" t="s">
        <v>322</v>
      </c>
      <c r="F455" t="s">
        <v>2275</v>
      </c>
      <c r="G455" s="6">
        <f t="shared" si="7"/>
        <v>-0.11246037492815801</v>
      </c>
    </row>
    <row r="456" spans="1:7">
      <c r="A456" t="s">
        <v>114</v>
      </c>
      <c r="B456" s="4">
        <v>45992</v>
      </c>
      <c r="C456" s="5">
        <v>50284.88</v>
      </c>
      <c r="D456" s="5">
        <v>40804.730000000003</v>
      </c>
      <c r="E456" t="s">
        <v>336</v>
      </c>
      <c r="F456" t="s">
        <v>2276</v>
      </c>
      <c r="G456" s="6">
        <f t="shared" si="7"/>
        <v>-0.18852883809208643</v>
      </c>
    </row>
    <row r="457" spans="1:7">
      <c r="A457" t="s">
        <v>114</v>
      </c>
      <c r="B457" s="4">
        <v>46143</v>
      </c>
      <c r="C457" s="5">
        <v>70505.899999999994</v>
      </c>
      <c r="D457" s="5">
        <v>70917.75</v>
      </c>
      <c r="E457" t="s">
        <v>336</v>
      </c>
      <c r="F457" t="s">
        <v>2278</v>
      </c>
      <c r="G457" s="6">
        <f t="shared" si="7"/>
        <v>5.841355120635377E-3</v>
      </c>
    </row>
    <row r="458" spans="1:7">
      <c r="A458" t="s">
        <v>114</v>
      </c>
      <c r="B458" s="4">
        <v>45870</v>
      </c>
      <c r="C458" s="5">
        <v>63939.7</v>
      </c>
      <c r="D458" s="5">
        <v>59662.47</v>
      </c>
      <c r="E458" t="s">
        <v>322</v>
      </c>
      <c r="F458" t="s">
        <v>2275</v>
      </c>
      <c r="G458" s="6">
        <f t="shared" si="7"/>
        <v>-6.6894746143632139E-2</v>
      </c>
    </row>
    <row r="459" spans="1:7">
      <c r="A459" t="s">
        <v>114</v>
      </c>
      <c r="B459" s="4">
        <v>46113</v>
      </c>
      <c r="C459" s="5">
        <v>67227.02</v>
      </c>
      <c r="D459" s="5">
        <v>68993.19</v>
      </c>
      <c r="E459" t="s">
        <v>322</v>
      </c>
      <c r="F459" t="s">
        <v>2275</v>
      </c>
      <c r="G459" s="6">
        <f t="shared" si="7"/>
        <v>2.6271728242602425E-2</v>
      </c>
    </row>
    <row r="460" spans="1:7">
      <c r="A460" t="s">
        <v>199</v>
      </c>
      <c r="B460" s="4">
        <v>45931</v>
      </c>
      <c r="C460" s="5">
        <v>8587.52</v>
      </c>
      <c r="D460" s="5">
        <v>9817.7800000000007</v>
      </c>
      <c r="E460" t="s">
        <v>322</v>
      </c>
      <c r="F460" t="s">
        <v>2276</v>
      </c>
      <c r="G460" s="6">
        <f t="shared" si="7"/>
        <v>0.14326138396184232</v>
      </c>
    </row>
    <row r="461" spans="1:7">
      <c r="A461" t="s">
        <v>199</v>
      </c>
      <c r="B461" s="4">
        <v>46023</v>
      </c>
      <c r="C461" s="5">
        <v>5296.74</v>
      </c>
      <c r="D461" s="5">
        <v>4133.34</v>
      </c>
      <c r="E461" t="s">
        <v>322</v>
      </c>
      <c r="F461" t="s">
        <v>2277</v>
      </c>
      <c r="G461" s="6">
        <f t="shared" si="7"/>
        <v>-0.21964453607313172</v>
      </c>
    </row>
    <row r="462" spans="1:7">
      <c r="A462" t="s">
        <v>199</v>
      </c>
      <c r="B462" s="4">
        <v>46113</v>
      </c>
      <c r="C462" s="5">
        <v>10239.57</v>
      </c>
      <c r="D462" s="5">
        <v>8974.0400000000009</v>
      </c>
      <c r="E462" t="s">
        <v>327</v>
      </c>
      <c r="F462" t="s">
        <v>2277</v>
      </c>
      <c r="G462" s="6">
        <f t="shared" si="7"/>
        <v>-0.12359210396530312</v>
      </c>
    </row>
    <row r="463" spans="1:7">
      <c r="A463" t="s">
        <v>199</v>
      </c>
      <c r="B463" s="4">
        <v>46082</v>
      </c>
      <c r="C463" s="5">
        <v>10406.370000000001</v>
      </c>
      <c r="D463" s="5">
        <v>12566.91</v>
      </c>
      <c r="E463" t="s">
        <v>327</v>
      </c>
      <c r="F463" t="s">
        <v>2277</v>
      </c>
      <c r="G463" s="6">
        <f t="shared" si="7"/>
        <v>0.20761706531672416</v>
      </c>
    </row>
    <row r="464" spans="1:7">
      <c r="A464" t="s">
        <v>199</v>
      </c>
      <c r="B464" s="4">
        <v>46054</v>
      </c>
      <c r="C464" s="5">
        <v>6204.73</v>
      </c>
      <c r="D464" s="5">
        <v>6928.47</v>
      </c>
      <c r="E464" t="s">
        <v>327</v>
      </c>
      <c r="F464" t="s">
        <v>2276</v>
      </c>
      <c r="G464" s="6">
        <f t="shared" si="7"/>
        <v>0.11664327053715484</v>
      </c>
    </row>
    <row r="465" spans="1:7">
      <c r="A465" t="s">
        <v>180</v>
      </c>
      <c r="B465" s="4">
        <v>46054</v>
      </c>
      <c r="C465" s="5">
        <v>75880.899999999994</v>
      </c>
      <c r="D465" s="5">
        <v>59345.16</v>
      </c>
      <c r="E465" t="s">
        <v>336</v>
      </c>
      <c r="F465" t="s">
        <v>2276</v>
      </c>
      <c r="G465" s="6">
        <f t="shared" si="7"/>
        <v>-0.21791702523296366</v>
      </c>
    </row>
    <row r="466" spans="1:7">
      <c r="A466" t="s">
        <v>180</v>
      </c>
      <c r="B466" s="4">
        <v>45931</v>
      </c>
      <c r="C466" s="5">
        <v>52166.43</v>
      </c>
      <c r="D466" s="5">
        <v>40834.07</v>
      </c>
      <c r="E466" t="s">
        <v>327</v>
      </c>
      <c r="F466" t="s">
        <v>2275</v>
      </c>
      <c r="G466" s="6">
        <f t="shared" si="7"/>
        <v>-0.21723472355689283</v>
      </c>
    </row>
    <row r="467" spans="1:7">
      <c r="A467" t="s">
        <v>180</v>
      </c>
      <c r="B467" s="4">
        <v>46082</v>
      </c>
      <c r="C467" s="5">
        <v>81643.679999999993</v>
      </c>
      <c r="D467" s="5">
        <v>73281.37</v>
      </c>
      <c r="E467" t="s">
        <v>322</v>
      </c>
      <c r="F467" t="s">
        <v>2278</v>
      </c>
      <c r="G467" s="6">
        <f t="shared" si="7"/>
        <v>-0.10242446200367253</v>
      </c>
    </row>
    <row r="468" spans="1:7">
      <c r="A468" t="s">
        <v>180</v>
      </c>
      <c r="B468" s="4">
        <v>46143</v>
      </c>
      <c r="C468" s="5">
        <v>68217.8</v>
      </c>
      <c r="D468" s="5">
        <v>56572.78</v>
      </c>
      <c r="E468" t="s">
        <v>322</v>
      </c>
      <c r="F468" t="s">
        <v>2275</v>
      </c>
      <c r="G468" s="6">
        <f t="shared" si="7"/>
        <v>-0.17070354071811175</v>
      </c>
    </row>
    <row r="469" spans="1:7">
      <c r="A469" t="s">
        <v>180</v>
      </c>
      <c r="B469" s="4">
        <v>46023</v>
      </c>
      <c r="C469" s="5">
        <v>90368.79</v>
      </c>
      <c r="D469" s="5">
        <v>73673.62</v>
      </c>
      <c r="E469" t="s">
        <v>327</v>
      </c>
      <c r="F469" t="s">
        <v>2275</v>
      </c>
      <c r="G469" s="6">
        <f t="shared" si="7"/>
        <v>-0.18474486600960352</v>
      </c>
    </row>
    <row r="470" spans="1:7">
      <c r="A470" t="s">
        <v>180</v>
      </c>
      <c r="B470" s="4">
        <v>45992</v>
      </c>
      <c r="C470" s="5">
        <v>55913.74</v>
      </c>
      <c r="D470" s="5">
        <v>50590.33</v>
      </c>
      <c r="E470" t="s">
        <v>336</v>
      </c>
      <c r="F470" t="s">
        <v>2277</v>
      </c>
      <c r="G470" s="6">
        <f t="shared" si="7"/>
        <v>-9.5207546481419353E-2</v>
      </c>
    </row>
    <row r="471" spans="1:7">
      <c r="A471" t="s">
        <v>180</v>
      </c>
      <c r="B471" s="4">
        <v>45870</v>
      </c>
      <c r="C471" s="5">
        <v>71667.34</v>
      </c>
      <c r="D471" s="5">
        <v>55211.76</v>
      </c>
      <c r="E471" t="s">
        <v>336</v>
      </c>
      <c r="F471" t="s">
        <v>2278</v>
      </c>
      <c r="G471" s="6">
        <f t="shared" si="7"/>
        <v>-0.22961058691448566</v>
      </c>
    </row>
    <row r="472" spans="1:7">
      <c r="A472" t="s">
        <v>14</v>
      </c>
      <c r="B472" s="4">
        <v>46023</v>
      </c>
      <c r="C472" s="5">
        <v>52563.32</v>
      </c>
      <c r="D472" s="5">
        <v>58374.83</v>
      </c>
      <c r="E472" t="s">
        <v>336</v>
      </c>
      <c r="F472" t="s">
        <v>2278</v>
      </c>
      <c r="G472" s="6">
        <f t="shared" si="7"/>
        <v>0.11056208017301802</v>
      </c>
    </row>
    <row r="473" spans="1:7">
      <c r="A473" t="s">
        <v>14</v>
      </c>
      <c r="B473" s="4">
        <v>45901</v>
      </c>
      <c r="C473" s="5">
        <v>43707.58</v>
      </c>
      <c r="D473" s="5">
        <v>36866.370000000003</v>
      </c>
      <c r="E473" t="s">
        <v>322</v>
      </c>
      <c r="F473" t="s">
        <v>2277</v>
      </c>
      <c r="G473" s="6">
        <f t="shared" si="7"/>
        <v>-0.15652227828674109</v>
      </c>
    </row>
    <row r="474" spans="1:7">
      <c r="A474" t="s">
        <v>14</v>
      </c>
      <c r="B474" s="4">
        <v>45992</v>
      </c>
      <c r="C474" s="5">
        <v>48229.37</v>
      </c>
      <c r="D474" s="5">
        <v>47501.88</v>
      </c>
      <c r="E474" t="s">
        <v>336</v>
      </c>
      <c r="F474" t="s">
        <v>2275</v>
      </c>
      <c r="G474" s="6">
        <f t="shared" si="7"/>
        <v>-1.5083962324202145E-2</v>
      </c>
    </row>
    <row r="475" spans="1:7">
      <c r="A475" t="s">
        <v>14</v>
      </c>
      <c r="B475" s="4">
        <v>46113</v>
      </c>
      <c r="C475" s="5">
        <v>52687.38</v>
      </c>
      <c r="D475" s="5">
        <v>62252.36</v>
      </c>
      <c r="E475" t="s">
        <v>327</v>
      </c>
      <c r="F475" t="s">
        <v>2277</v>
      </c>
      <c r="G475" s="6">
        <f t="shared" si="7"/>
        <v>0.18154214538661828</v>
      </c>
    </row>
    <row r="476" spans="1:7">
      <c r="A476" t="s">
        <v>14</v>
      </c>
      <c r="B476" s="4">
        <v>45962</v>
      </c>
      <c r="C476" s="5">
        <v>51962.96</v>
      </c>
      <c r="D476" s="5">
        <v>57958.97</v>
      </c>
      <c r="E476" t="s">
        <v>336</v>
      </c>
      <c r="F476" t="s">
        <v>2276</v>
      </c>
      <c r="G476" s="6">
        <f t="shared" si="7"/>
        <v>0.11539007785545709</v>
      </c>
    </row>
    <row r="477" spans="1:7">
      <c r="A477" t="s">
        <v>14</v>
      </c>
      <c r="B477" s="4">
        <v>46174</v>
      </c>
      <c r="C477" s="5">
        <v>44163.43</v>
      </c>
      <c r="D477" s="5">
        <v>44184.85</v>
      </c>
      <c r="E477" t="s">
        <v>322</v>
      </c>
      <c r="F477" t="s">
        <v>2278</v>
      </c>
      <c r="G477" s="6">
        <f t="shared" si="7"/>
        <v>4.8501667556161859E-4</v>
      </c>
    </row>
    <row r="478" spans="1:7">
      <c r="A478" t="s">
        <v>14</v>
      </c>
      <c r="B478" s="4">
        <v>45839</v>
      </c>
      <c r="C478" s="5">
        <v>36053.54</v>
      </c>
      <c r="D478" s="5">
        <v>44570.76</v>
      </c>
      <c r="E478" t="s">
        <v>336</v>
      </c>
      <c r="F478" t="s">
        <v>2277</v>
      </c>
      <c r="G478" s="6">
        <f t="shared" si="7"/>
        <v>0.23623810588363864</v>
      </c>
    </row>
    <row r="479" spans="1:7">
      <c r="A479" t="s">
        <v>14</v>
      </c>
      <c r="B479" s="4">
        <v>45870</v>
      </c>
      <c r="C479" s="5">
        <v>48410.44</v>
      </c>
      <c r="D479" s="5">
        <v>44535.89</v>
      </c>
      <c r="E479" t="s">
        <v>336</v>
      </c>
      <c r="F479" t="s">
        <v>2277</v>
      </c>
      <c r="G479" s="6">
        <f t="shared" si="7"/>
        <v>-8.0035422111428917E-2</v>
      </c>
    </row>
    <row r="480" spans="1:7">
      <c r="A480" t="s">
        <v>14</v>
      </c>
      <c r="B480" s="4">
        <v>45931</v>
      </c>
      <c r="C480" s="5">
        <v>59948.24</v>
      </c>
      <c r="D480" s="5">
        <v>53694.93</v>
      </c>
      <c r="E480" t="s">
        <v>322</v>
      </c>
      <c r="F480" t="s">
        <v>2276</v>
      </c>
      <c r="G480" s="6">
        <f t="shared" si="7"/>
        <v>-0.10431181966309599</v>
      </c>
    </row>
    <row r="481" spans="1:7">
      <c r="A481" t="s">
        <v>247</v>
      </c>
      <c r="B481" s="4">
        <v>45931</v>
      </c>
      <c r="C481" s="5">
        <v>52364.28</v>
      </c>
      <c r="D481" s="5">
        <v>60394.47</v>
      </c>
      <c r="E481" t="s">
        <v>322</v>
      </c>
      <c r="F481" t="s">
        <v>2277</v>
      </c>
      <c r="G481" s="6">
        <f t="shared" si="7"/>
        <v>0.15335243795961678</v>
      </c>
    </row>
    <row r="482" spans="1:7">
      <c r="A482" t="s">
        <v>247</v>
      </c>
      <c r="B482" s="4">
        <v>46082</v>
      </c>
      <c r="C482" s="5">
        <v>28572.400000000001</v>
      </c>
      <c r="D482" s="5">
        <v>29998.95</v>
      </c>
      <c r="E482" t="s">
        <v>327</v>
      </c>
      <c r="F482" t="s">
        <v>2275</v>
      </c>
      <c r="G482" s="6">
        <f t="shared" si="7"/>
        <v>4.9927552463216222E-2</v>
      </c>
    </row>
    <row r="483" spans="1:7">
      <c r="A483" t="s">
        <v>247</v>
      </c>
      <c r="B483" s="4">
        <v>45962</v>
      </c>
      <c r="C483" s="5">
        <v>52094.06</v>
      </c>
      <c r="D483" s="5">
        <v>59579.28</v>
      </c>
      <c r="E483" t="s">
        <v>327</v>
      </c>
      <c r="F483" t="s">
        <v>2277</v>
      </c>
      <c r="G483" s="6">
        <f t="shared" si="7"/>
        <v>0.14368663145087945</v>
      </c>
    </row>
    <row r="484" spans="1:7">
      <c r="A484" t="s">
        <v>247</v>
      </c>
      <c r="B484" s="4">
        <v>45992</v>
      </c>
      <c r="C484" s="5">
        <v>47785.34</v>
      </c>
      <c r="D484" s="5">
        <v>40584.54</v>
      </c>
      <c r="E484" t="s">
        <v>327</v>
      </c>
      <c r="F484" t="s">
        <v>2277</v>
      </c>
      <c r="G484" s="6">
        <f t="shared" si="7"/>
        <v>-0.15069056744181367</v>
      </c>
    </row>
    <row r="485" spans="1:7">
      <c r="A485" t="s">
        <v>247</v>
      </c>
      <c r="B485" s="4">
        <v>45870</v>
      </c>
      <c r="C485" s="5">
        <v>48701.81</v>
      </c>
      <c r="D485" s="5">
        <v>41347.599999999999</v>
      </c>
      <c r="E485" t="s">
        <v>322</v>
      </c>
      <c r="F485" t="s">
        <v>2276</v>
      </c>
      <c r="G485" s="6">
        <f t="shared" si="7"/>
        <v>-0.1510048599836433</v>
      </c>
    </row>
    <row r="486" spans="1:7">
      <c r="A486" t="s">
        <v>247</v>
      </c>
      <c r="B486" s="4">
        <v>46174</v>
      </c>
      <c r="C486" s="5">
        <v>40223.68</v>
      </c>
      <c r="D486" s="5">
        <v>36664.29</v>
      </c>
      <c r="E486" t="s">
        <v>322</v>
      </c>
      <c r="F486" t="s">
        <v>2277</v>
      </c>
      <c r="G486" s="6">
        <f t="shared" si="7"/>
        <v>-8.8489914398682548E-2</v>
      </c>
    </row>
    <row r="487" spans="1:7">
      <c r="A487" t="s">
        <v>223</v>
      </c>
      <c r="B487" s="4">
        <v>46174</v>
      </c>
      <c r="C487" s="5">
        <v>90237.03</v>
      </c>
      <c r="D487" s="5">
        <v>111068.29</v>
      </c>
      <c r="E487" t="s">
        <v>336</v>
      </c>
      <c r="F487" t="s">
        <v>2277</v>
      </c>
      <c r="G487" s="6">
        <f t="shared" si="7"/>
        <v>0.23085046127958772</v>
      </c>
    </row>
    <row r="488" spans="1:7">
      <c r="A488" t="s">
        <v>223</v>
      </c>
      <c r="B488" s="4">
        <v>45870</v>
      </c>
      <c r="C488" s="5">
        <v>87525.79</v>
      </c>
      <c r="D488" s="5">
        <v>87555.7</v>
      </c>
      <c r="E488" t="s">
        <v>336</v>
      </c>
      <c r="F488" t="s">
        <v>2277</v>
      </c>
      <c r="G488" s="6">
        <f t="shared" si="7"/>
        <v>3.4172784958585913E-4</v>
      </c>
    </row>
    <row r="489" spans="1:7">
      <c r="A489" t="s">
        <v>223</v>
      </c>
      <c r="B489" s="4">
        <v>46143</v>
      </c>
      <c r="C489" s="5">
        <v>52539.58</v>
      </c>
      <c r="D489" s="5">
        <v>44260.1</v>
      </c>
      <c r="E489" t="s">
        <v>322</v>
      </c>
      <c r="F489" t="s">
        <v>2277</v>
      </c>
      <c r="G489" s="6">
        <f t="shared" si="7"/>
        <v>-0.15758557643589849</v>
      </c>
    </row>
    <row r="490" spans="1:7">
      <c r="A490" t="s">
        <v>223</v>
      </c>
      <c r="B490" s="4">
        <v>46082</v>
      </c>
      <c r="C490" s="5">
        <v>97173.440000000002</v>
      </c>
      <c r="D490" s="5">
        <v>89136.639999999999</v>
      </c>
      <c r="E490" t="s">
        <v>336</v>
      </c>
      <c r="F490" t="s">
        <v>2277</v>
      </c>
      <c r="G490" s="6">
        <f t="shared" si="7"/>
        <v>-8.2705726997006623E-2</v>
      </c>
    </row>
    <row r="491" spans="1:7">
      <c r="A491" t="s">
        <v>248</v>
      </c>
      <c r="B491" s="4">
        <v>46082</v>
      </c>
      <c r="C491" s="5">
        <v>24302.03</v>
      </c>
      <c r="D491" s="5">
        <v>21673.15</v>
      </c>
      <c r="E491" t="s">
        <v>327</v>
      </c>
      <c r="F491" t="s">
        <v>2277</v>
      </c>
      <c r="G491" s="6">
        <f t="shared" si="7"/>
        <v>-0.10817532527118094</v>
      </c>
    </row>
    <row r="492" spans="1:7">
      <c r="A492" t="s">
        <v>248</v>
      </c>
      <c r="B492" s="4">
        <v>45839</v>
      </c>
      <c r="C492" s="5">
        <v>42491.11</v>
      </c>
      <c r="D492" s="5">
        <v>51157.95</v>
      </c>
      <c r="E492" t="s">
        <v>322</v>
      </c>
      <c r="F492" t="s">
        <v>2276</v>
      </c>
      <c r="G492" s="6">
        <f t="shared" si="7"/>
        <v>0.20396831243052951</v>
      </c>
    </row>
    <row r="493" spans="1:7">
      <c r="A493" t="s">
        <v>248</v>
      </c>
      <c r="B493" s="4">
        <v>45931</v>
      </c>
      <c r="C493" s="5">
        <v>27641.55</v>
      </c>
      <c r="D493" s="5">
        <v>29158.28</v>
      </c>
      <c r="E493" t="s">
        <v>336</v>
      </c>
      <c r="F493" t="s">
        <v>2276</v>
      </c>
      <c r="G493" s="6">
        <f t="shared" si="7"/>
        <v>5.487138022288908E-2</v>
      </c>
    </row>
    <row r="494" spans="1:7">
      <c r="A494" t="s">
        <v>248</v>
      </c>
      <c r="B494" s="4">
        <v>46023</v>
      </c>
      <c r="C494" s="5">
        <v>40545.89</v>
      </c>
      <c r="D494" s="5">
        <v>31955.27</v>
      </c>
      <c r="E494" t="s">
        <v>327</v>
      </c>
      <c r="F494" t="s">
        <v>2277</v>
      </c>
      <c r="G494" s="6">
        <f t="shared" si="7"/>
        <v>-0.21187400251912092</v>
      </c>
    </row>
    <row r="495" spans="1:7">
      <c r="A495" t="s">
        <v>248</v>
      </c>
      <c r="B495" s="4">
        <v>45992</v>
      </c>
      <c r="C495" s="5">
        <v>38525.32</v>
      </c>
      <c r="D495" s="5">
        <v>45668.72</v>
      </c>
      <c r="E495" t="s">
        <v>327</v>
      </c>
      <c r="F495" t="s">
        <v>2278</v>
      </c>
      <c r="G495" s="6">
        <f t="shared" si="7"/>
        <v>0.18542091279189898</v>
      </c>
    </row>
    <row r="496" spans="1:7">
      <c r="A496" t="s">
        <v>248</v>
      </c>
      <c r="B496" s="4">
        <v>46113</v>
      </c>
      <c r="C496" s="5">
        <v>20253.29</v>
      </c>
      <c r="D496" s="5">
        <v>18149.41</v>
      </c>
      <c r="E496" t="s">
        <v>322</v>
      </c>
      <c r="F496" t="s">
        <v>2275</v>
      </c>
      <c r="G496" s="6">
        <f t="shared" si="7"/>
        <v>-0.10387843160296431</v>
      </c>
    </row>
    <row r="497" spans="1:7">
      <c r="A497" t="s">
        <v>248</v>
      </c>
      <c r="B497" s="4">
        <v>46054</v>
      </c>
      <c r="C497" s="5">
        <v>31248.84</v>
      </c>
      <c r="D497" s="5">
        <v>28795.03</v>
      </c>
      <c r="E497" t="s">
        <v>322</v>
      </c>
      <c r="F497" t="s">
        <v>2276</v>
      </c>
      <c r="G497" s="6">
        <f t="shared" si="7"/>
        <v>-7.8524834841869368E-2</v>
      </c>
    </row>
    <row r="498" spans="1:7">
      <c r="A498" t="s">
        <v>248</v>
      </c>
      <c r="B498" s="4">
        <v>46174</v>
      </c>
      <c r="C498" s="5">
        <v>37167.5</v>
      </c>
      <c r="D498" s="5">
        <v>35444.400000000001</v>
      </c>
      <c r="E498" t="s">
        <v>322</v>
      </c>
      <c r="F498" t="s">
        <v>2276</v>
      </c>
      <c r="G498" s="6">
        <f t="shared" si="7"/>
        <v>-4.6360395506827162E-2</v>
      </c>
    </row>
    <row r="499" spans="1:7">
      <c r="A499" t="s">
        <v>298</v>
      </c>
      <c r="B499" s="4">
        <v>46113</v>
      </c>
      <c r="C499" s="5">
        <v>45228.35</v>
      </c>
      <c r="D499" s="5">
        <v>35656.78</v>
      </c>
      <c r="E499" t="s">
        <v>336</v>
      </c>
      <c r="F499" t="s">
        <v>2277</v>
      </c>
      <c r="G499" s="6">
        <f t="shared" si="7"/>
        <v>-0.21162766273808353</v>
      </c>
    </row>
    <row r="500" spans="1:7">
      <c r="A500" t="s">
        <v>298</v>
      </c>
      <c r="B500" s="4">
        <v>46082</v>
      </c>
      <c r="C500" s="5">
        <v>61337.279999999999</v>
      </c>
      <c r="D500" s="5">
        <v>72294.490000000005</v>
      </c>
      <c r="E500" t="s">
        <v>336</v>
      </c>
      <c r="F500" t="s">
        <v>2276</v>
      </c>
      <c r="G500" s="6">
        <f t="shared" si="7"/>
        <v>0.17863866803353534</v>
      </c>
    </row>
    <row r="501" spans="1:7">
      <c r="A501" t="s">
        <v>298</v>
      </c>
      <c r="B501" s="4">
        <v>45901</v>
      </c>
      <c r="C501" s="5">
        <v>53423.51</v>
      </c>
      <c r="D501" s="5">
        <v>50945.94</v>
      </c>
      <c r="E501" t="s">
        <v>327</v>
      </c>
      <c r="F501" t="s">
        <v>2277</v>
      </c>
      <c r="G501" s="6">
        <f t="shared" si="7"/>
        <v>-4.6376024338348407E-2</v>
      </c>
    </row>
    <row r="502" spans="1:7">
      <c r="A502" t="s">
        <v>298</v>
      </c>
      <c r="B502" s="4">
        <v>45870</v>
      </c>
      <c r="C502" s="5">
        <v>67379.039999999994</v>
      </c>
      <c r="D502" s="5">
        <v>71774.78</v>
      </c>
      <c r="E502" t="s">
        <v>336</v>
      </c>
      <c r="F502" t="s">
        <v>2276</v>
      </c>
      <c r="G502" s="6">
        <f t="shared" si="7"/>
        <v>6.5238982330410256E-2</v>
      </c>
    </row>
    <row r="503" spans="1:7">
      <c r="A503" t="s">
        <v>298</v>
      </c>
      <c r="B503" s="4">
        <v>45931</v>
      </c>
      <c r="C503" s="5">
        <v>52193.93</v>
      </c>
      <c r="D503" s="5">
        <v>49466.71</v>
      </c>
      <c r="E503" t="s">
        <v>336</v>
      </c>
      <c r="F503" t="s">
        <v>2277</v>
      </c>
      <c r="G503" s="6">
        <f t="shared" si="7"/>
        <v>-5.2251669878087381E-2</v>
      </c>
    </row>
    <row r="504" spans="1:7">
      <c r="A504" t="s">
        <v>298</v>
      </c>
      <c r="B504" s="4">
        <v>46054</v>
      </c>
      <c r="C504" s="5">
        <v>53408.160000000003</v>
      </c>
      <c r="D504" s="5">
        <v>42619.32</v>
      </c>
      <c r="E504" t="s">
        <v>327</v>
      </c>
      <c r="F504" t="s">
        <v>2276</v>
      </c>
      <c r="G504" s="6">
        <f t="shared" si="7"/>
        <v>-0.20200733371080379</v>
      </c>
    </row>
    <row r="505" spans="1:7">
      <c r="A505" t="s">
        <v>298</v>
      </c>
      <c r="B505" s="4">
        <v>46174</v>
      </c>
      <c r="C505" s="5">
        <v>49228.14</v>
      </c>
      <c r="D505" s="5">
        <v>57757.83</v>
      </c>
      <c r="E505" t="s">
        <v>322</v>
      </c>
      <c r="F505" t="s">
        <v>2276</v>
      </c>
      <c r="G505" s="6">
        <f t="shared" si="7"/>
        <v>0.17326858175019413</v>
      </c>
    </row>
    <row r="506" spans="1:7">
      <c r="A506" t="s">
        <v>298</v>
      </c>
      <c r="B506" s="4">
        <v>45992</v>
      </c>
      <c r="C506" s="5">
        <v>69416.55</v>
      </c>
      <c r="D506" s="5">
        <v>53984.82</v>
      </c>
      <c r="E506" t="s">
        <v>322</v>
      </c>
      <c r="F506" t="s">
        <v>2278</v>
      </c>
      <c r="G506" s="6">
        <f t="shared" si="7"/>
        <v>-0.22230620795761244</v>
      </c>
    </row>
    <row r="507" spans="1:7">
      <c r="A507" t="s">
        <v>170</v>
      </c>
      <c r="B507" s="4">
        <v>45870</v>
      </c>
      <c r="C507" s="5">
        <v>35497.58</v>
      </c>
      <c r="D507" s="5">
        <v>29738.240000000002</v>
      </c>
      <c r="E507" t="s">
        <v>322</v>
      </c>
      <c r="F507" t="s">
        <v>2278</v>
      </c>
      <c r="G507" s="6">
        <f t="shared" si="7"/>
        <v>-0.1622459897266236</v>
      </c>
    </row>
    <row r="508" spans="1:7">
      <c r="A508" t="s">
        <v>170</v>
      </c>
      <c r="B508" s="4">
        <v>45839</v>
      </c>
      <c r="C508" s="5">
        <v>72427.62</v>
      </c>
      <c r="D508" s="5">
        <v>67205.42</v>
      </c>
      <c r="E508" t="s">
        <v>336</v>
      </c>
      <c r="F508" t="s">
        <v>2276</v>
      </c>
      <c r="G508" s="6">
        <f t="shared" si="7"/>
        <v>-7.2102327813615821E-2</v>
      </c>
    </row>
    <row r="509" spans="1:7">
      <c r="A509" t="s">
        <v>170</v>
      </c>
      <c r="B509" s="4">
        <v>46023</v>
      </c>
      <c r="C509" s="5">
        <v>51069.53</v>
      </c>
      <c r="D509" s="5">
        <v>41079.660000000003</v>
      </c>
      <c r="E509" t="s">
        <v>327</v>
      </c>
      <c r="F509" t="s">
        <v>2275</v>
      </c>
      <c r="G509" s="6">
        <f t="shared" si="7"/>
        <v>-0.19561311803731102</v>
      </c>
    </row>
    <row r="510" spans="1:7">
      <c r="A510" t="s">
        <v>170</v>
      </c>
      <c r="B510" s="4">
        <v>45901</v>
      </c>
      <c r="C510" s="5">
        <v>50524.67</v>
      </c>
      <c r="D510" s="5">
        <v>52075.040000000001</v>
      </c>
      <c r="E510" t="s">
        <v>322</v>
      </c>
      <c r="F510" t="s">
        <v>2276</v>
      </c>
      <c r="G510" s="6">
        <f t="shared" si="7"/>
        <v>3.068540576316486E-2</v>
      </c>
    </row>
    <row r="511" spans="1:7">
      <c r="A511" t="s">
        <v>170</v>
      </c>
      <c r="B511" s="4">
        <v>46054</v>
      </c>
      <c r="C511" s="5">
        <v>76429.539999999994</v>
      </c>
      <c r="D511" s="5">
        <v>89093.59</v>
      </c>
      <c r="E511" t="s">
        <v>336</v>
      </c>
      <c r="F511" t="s">
        <v>2277</v>
      </c>
      <c r="G511" s="6">
        <f t="shared" si="7"/>
        <v>0.16569575062207628</v>
      </c>
    </row>
    <row r="512" spans="1:7">
      <c r="A512" t="s">
        <v>170</v>
      </c>
      <c r="B512" s="4">
        <v>46143</v>
      </c>
      <c r="C512" s="5">
        <v>36233.03</v>
      </c>
      <c r="D512" s="5">
        <v>32682.31</v>
      </c>
      <c r="E512" t="s">
        <v>327</v>
      </c>
      <c r="F512" t="s">
        <v>2277</v>
      </c>
      <c r="G512" s="6">
        <f t="shared" si="7"/>
        <v>-9.7996772558077469E-2</v>
      </c>
    </row>
    <row r="513" spans="1:7">
      <c r="A513" t="s">
        <v>170</v>
      </c>
      <c r="B513" s="4">
        <v>46082</v>
      </c>
      <c r="C513" s="5">
        <v>67626.67</v>
      </c>
      <c r="D513" s="5">
        <v>84031.1</v>
      </c>
      <c r="E513" t="s">
        <v>322</v>
      </c>
      <c r="F513" t="s">
        <v>2278</v>
      </c>
      <c r="G513" s="6">
        <f t="shared" si="7"/>
        <v>0.24257338118230587</v>
      </c>
    </row>
    <row r="514" spans="1:7">
      <c r="A514" t="s">
        <v>170</v>
      </c>
      <c r="B514" s="4">
        <v>46174</v>
      </c>
      <c r="C514" s="5">
        <v>44688.77</v>
      </c>
      <c r="D514" s="5">
        <v>44172.32</v>
      </c>
      <c r="E514" t="s">
        <v>327</v>
      </c>
      <c r="F514" t="s">
        <v>2276</v>
      </c>
      <c r="G514" s="6">
        <f t="shared" ref="G514:G577" si="8">IF(C514=0,0,(D514-C514)/C514)</f>
        <v>-1.155659464335217E-2</v>
      </c>
    </row>
    <row r="515" spans="1:7">
      <c r="A515" t="s">
        <v>127</v>
      </c>
      <c r="B515" s="4">
        <v>45931</v>
      </c>
      <c r="C515" s="5">
        <v>15665.32</v>
      </c>
      <c r="D515" s="5">
        <v>14651.48</v>
      </c>
      <c r="E515" t="s">
        <v>327</v>
      </c>
      <c r="F515" t="s">
        <v>2277</v>
      </c>
      <c r="G515" s="6">
        <f t="shared" si="8"/>
        <v>-6.4718754548263313E-2</v>
      </c>
    </row>
    <row r="516" spans="1:7">
      <c r="A516" t="s">
        <v>127</v>
      </c>
      <c r="B516" s="4">
        <v>46143</v>
      </c>
      <c r="C516" s="5">
        <v>25914.29</v>
      </c>
      <c r="D516" s="5">
        <v>20051.07</v>
      </c>
      <c r="E516" t="s">
        <v>336</v>
      </c>
      <c r="F516" t="s">
        <v>2277</v>
      </c>
      <c r="G516" s="6">
        <f t="shared" si="8"/>
        <v>-0.22625431759851422</v>
      </c>
    </row>
    <row r="517" spans="1:7">
      <c r="A517" t="s">
        <v>127</v>
      </c>
      <c r="B517" s="4">
        <v>45992</v>
      </c>
      <c r="C517" s="5">
        <v>29938.95</v>
      </c>
      <c r="D517" s="5">
        <v>26731.96</v>
      </c>
      <c r="E517" t="s">
        <v>322</v>
      </c>
      <c r="F517" t="s">
        <v>2277</v>
      </c>
      <c r="G517" s="6">
        <f t="shared" si="8"/>
        <v>-0.107117651086628</v>
      </c>
    </row>
    <row r="518" spans="1:7">
      <c r="A518" t="s">
        <v>127</v>
      </c>
      <c r="B518" s="4">
        <v>45870</v>
      </c>
      <c r="C518" s="5">
        <v>28133.72</v>
      </c>
      <c r="D518" s="5">
        <v>27474.1</v>
      </c>
      <c r="E518" t="s">
        <v>336</v>
      </c>
      <c r="F518" t="s">
        <v>2276</v>
      </c>
      <c r="G518" s="6">
        <f t="shared" si="8"/>
        <v>-2.3445886288766739E-2</v>
      </c>
    </row>
    <row r="519" spans="1:7">
      <c r="A519" t="s">
        <v>127</v>
      </c>
      <c r="B519" s="4">
        <v>45839</v>
      </c>
      <c r="C519" s="5">
        <v>21783.25</v>
      </c>
      <c r="D519" s="5">
        <v>22849</v>
      </c>
      <c r="E519" t="s">
        <v>327</v>
      </c>
      <c r="F519" t="s">
        <v>2275</v>
      </c>
      <c r="G519" s="6">
        <f t="shared" si="8"/>
        <v>4.8925206293826677E-2</v>
      </c>
    </row>
    <row r="520" spans="1:7">
      <c r="A520" t="s">
        <v>202</v>
      </c>
      <c r="B520" s="4">
        <v>46023</v>
      </c>
      <c r="C520" s="5">
        <v>44440.06</v>
      </c>
      <c r="D520" s="5">
        <v>50740.12</v>
      </c>
      <c r="E520" t="s">
        <v>327</v>
      </c>
      <c r="F520" t="s">
        <v>2275</v>
      </c>
      <c r="G520" s="6">
        <f t="shared" si="8"/>
        <v>0.1417653351503127</v>
      </c>
    </row>
    <row r="521" spans="1:7">
      <c r="A521" t="s">
        <v>202</v>
      </c>
      <c r="B521" s="4">
        <v>46143</v>
      </c>
      <c r="C521" s="5">
        <v>71349.73</v>
      </c>
      <c r="D521" s="5">
        <v>73802.78</v>
      </c>
      <c r="E521" t="s">
        <v>322</v>
      </c>
      <c r="F521" t="s">
        <v>2278</v>
      </c>
      <c r="G521" s="6">
        <f t="shared" si="8"/>
        <v>3.4380648672391656E-2</v>
      </c>
    </row>
    <row r="522" spans="1:7">
      <c r="A522" t="s">
        <v>202</v>
      </c>
      <c r="B522" s="4">
        <v>45962</v>
      </c>
      <c r="C522" s="5">
        <v>67439.31</v>
      </c>
      <c r="D522" s="5">
        <v>60506.8</v>
      </c>
      <c r="E522" t="s">
        <v>327</v>
      </c>
      <c r="F522" t="s">
        <v>2278</v>
      </c>
      <c r="G522" s="6">
        <f t="shared" si="8"/>
        <v>-0.10279627712679734</v>
      </c>
    </row>
    <row r="523" spans="1:7">
      <c r="A523" t="s">
        <v>202</v>
      </c>
      <c r="B523" s="4">
        <v>46082</v>
      </c>
      <c r="C523" s="5">
        <v>67666.02</v>
      </c>
      <c r="D523" s="5">
        <v>77555.360000000001</v>
      </c>
      <c r="E523" t="s">
        <v>322</v>
      </c>
      <c r="F523" t="s">
        <v>2276</v>
      </c>
      <c r="G523" s="6">
        <f t="shared" si="8"/>
        <v>0.14614927847093706</v>
      </c>
    </row>
    <row r="524" spans="1:7">
      <c r="A524" t="s">
        <v>202</v>
      </c>
      <c r="B524" s="4">
        <v>46054</v>
      </c>
      <c r="C524" s="5">
        <v>85240.55</v>
      </c>
      <c r="D524" s="5">
        <v>68548.53</v>
      </c>
      <c r="E524" t="s">
        <v>322</v>
      </c>
      <c r="F524" t="s">
        <v>2278</v>
      </c>
      <c r="G524" s="6">
        <f t="shared" si="8"/>
        <v>-0.19582252812775144</v>
      </c>
    </row>
    <row r="525" spans="1:7">
      <c r="A525" t="s">
        <v>202</v>
      </c>
      <c r="B525" s="4">
        <v>45839</v>
      </c>
      <c r="C525" s="5">
        <v>79218.58</v>
      </c>
      <c r="D525" s="5">
        <v>90161.39</v>
      </c>
      <c r="E525" t="s">
        <v>336</v>
      </c>
      <c r="F525" t="s">
        <v>2275</v>
      </c>
      <c r="G525" s="6">
        <f t="shared" si="8"/>
        <v>0.13813438716018386</v>
      </c>
    </row>
    <row r="526" spans="1:7">
      <c r="A526" t="s">
        <v>202</v>
      </c>
      <c r="B526" s="4">
        <v>46113</v>
      </c>
      <c r="C526" s="5">
        <v>67361.320000000007</v>
      </c>
      <c r="D526" s="5">
        <v>82875.58</v>
      </c>
      <c r="E526" t="s">
        <v>322</v>
      </c>
      <c r="F526" t="s">
        <v>2275</v>
      </c>
      <c r="G526" s="6">
        <f t="shared" si="8"/>
        <v>0.23031407341780111</v>
      </c>
    </row>
    <row r="527" spans="1:7">
      <c r="A527" t="s">
        <v>202</v>
      </c>
      <c r="B527" s="4">
        <v>45901</v>
      </c>
      <c r="C527" s="5">
        <v>70552.77</v>
      </c>
      <c r="D527" s="5">
        <v>53724.55</v>
      </c>
      <c r="E527" t="s">
        <v>327</v>
      </c>
      <c r="F527" t="s">
        <v>2275</v>
      </c>
      <c r="G527" s="6">
        <f t="shared" si="8"/>
        <v>-0.23851962155419271</v>
      </c>
    </row>
    <row r="528" spans="1:7">
      <c r="A528" t="s">
        <v>108</v>
      </c>
      <c r="B528" s="4">
        <v>45870</v>
      </c>
      <c r="C528" s="5">
        <v>52501.16</v>
      </c>
      <c r="D528" s="5">
        <v>65487.11</v>
      </c>
      <c r="E528" t="s">
        <v>322</v>
      </c>
      <c r="F528" t="s">
        <v>2276</v>
      </c>
      <c r="G528" s="6">
        <f t="shared" si="8"/>
        <v>0.2473459634034752</v>
      </c>
    </row>
    <row r="529" spans="1:7">
      <c r="A529" t="s">
        <v>108</v>
      </c>
      <c r="B529" s="4">
        <v>46054</v>
      </c>
      <c r="C529" s="5">
        <v>42419.11</v>
      </c>
      <c r="D529" s="5">
        <v>45866.58</v>
      </c>
      <c r="E529" t="s">
        <v>336</v>
      </c>
      <c r="F529" t="s">
        <v>2276</v>
      </c>
      <c r="G529" s="6">
        <f t="shared" si="8"/>
        <v>8.1271624982230908E-2</v>
      </c>
    </row>
    <row r="530" spans="1:7">
      <c r="A530" t="s">
        <v>108</v>
      </c>
      <c r="B530" s="4">
        <v>46023</v>
      </c>
      <c r="C530" s="5">
        <v>66899.34</v>
      </c>
      <c r="D530" s="5">
        <v>67575.31</v>
      </c>
      <c r="E530" t="s">
        <v>327</v>
      </c>
      <c r="F530" t="s">
        <v>2277</v>
      </c>
      <c r="G530" s="6">
        <f t="shared" si="8"/>
        <v>1.0104285034800061E-2</v>
      </c>
    </row>
    <row r="531" spans="1:7">
      <c r="A531" t="s">
        <v>108</v>
      </c>
      <c r="B531" s="4">
        <v>45839</v>
      </c>
      <c r="C531" s="5">
        <v>64225.8</v>
      </c>
      <c r="D531" s="5">
        <v>79670.070000000007</v>
      </c>
      <c r="E531" t="s">
        <v>322</v>
      </c>
      <c r="F531" t="s">
        <v>2278</v>
      </c>
      <c r="G531" s="6">
        <f t="shared" si="8"/>
        <v>0.24046831647095099</v>
      </c>
    </row>
    <row r="532" spans="1:7">
      <c r="A532" t="s">
        <v>108</v>
      </c>
      <c r="B532" s="4">
        <v>46143</v>
      </c>
      <c r="C532" s="5">
        <v>69527.92</v>
      </c>
      <c r="D532" s="5">
        <v>82991.399999999994</v>
      </c>
      <c r="E532" t="s">
        <v>322</v>
      </c>
      <c r="F532" t="s">
        <v>2276</v>
      </c>
      <c r="G532" s="6">
        <f t="shared" si="8"/>
        <v>0.19364134580755465</v>
      </c>
    </row>
    <row r="533" spans="1:7">
      <c r="A533" t="s">
        <v>108</v>
      </c>
      <c r="B533" s="4">
        <v>46174</v>
      </c>
      <c r="C533" s="5">
        <v>67058.62</v>
      </c>
      <c r="D533" s="5">
        <v>69280.53</v>
      </c>
      <c r="E533" t="s">
        <v>336</v>
      </c>
      <c r="F533" t="s">
        <v>2278</v>
      </c>
      <c r="G533" s="6">
        <f t="shared" si="8"/>
        <v>3.3133846178164769E-2</v>
      </c>
    </row>
    <row r="534" spans="1:7">
      <c r="A534" t="s">
        <v>108</v>
      </c>
      <c r="B534" s="4">
        <v>45992</v>
      </c>
      <c r="C534" s="5">
        <v>29774.38</v>
      </c>
      <c r="D534" s="5">
        <v>34308.800000000003</v>
      </c>
      <c r="E534" t="s">
        <v>322</v>
      </c>
      <c r="F534" t="s">
        <v>2275</v>
      </c>
      <c r="G534" s="6">
        <f t="shared" si="8"/>
        <v>0.15229267578367717</v>
      </c>
    </row>
    <row r="535" spans="1:7">
      <c r="A535" t="s">
        <v>108</v>
      </c>
      <c r="B535" s="4">
        <v>46113</v>
      </c>
      <c r="C535" s="5">
        <v>53734.38</v>
      </c>
      <c r="D535" s="5">
        <v>49938.64</v>
      </c>
      <c r="E535" t="s">
        <v>327</v>
      </c>
      <c r="F535" t="s">
        <v>2276</v>
      </c>
      <c r="G535" s="6">
        <f t="shared" si="8"/>
        <v>-7.0638946611089548E-2</v>
      </c>
    </row>
    <row r="536" spans="1:7">
      <c r="A536" t="s">
        <v>108</v>
      </c>
      <c r="B536" s="4">
        <v>45901</v>
      </c>
      <c r="C536" s="5">
        <v>47050.95</v>
      </c>
      <c r="D536" s="5">
        <v>41546.9</v>
      </c>
      <c r="E536" t="s">
        <v>327</v>
      </c>
      <c r="F536" t="s">
        <v>2275</v>
      </c>
      <c r="G536" s="6">
        <f t="shared" si="8"/>
        <v>-0.11698063482246365</v>
      </c>
    </row>
    <row r="537" spans="1:7">
      <c r="A537" t="s">
        <v>133</v>
      </c>
      <c r="B537" s="4">
        <v>46023</v>
      </c>
      <c r="C537" s="5">
        <v>33400.92</v>
      </c>
      <c r="D537" s="5">
        <v>32164.31</v>
      </c>
      <c r="E537" t="s">
        <v>327</v>
      </c>
      <c r="F537" t="s">
        <v>2276</v>
      </c>
      <c r="G537" s="6">
        <f t="shared" si="8"/>
        <v>-3.7023231695414285E-2</v>
      </c>
    </row>
    <row r="538" spans="1:7">
      <c r="A538" t="s">
        <v>133</v>
      </c>
      <c r="B538" s="4">
        <v>46143</v>
      </c>
      <c r="C538" s="5">
        <v>41675.919999999998</v>
      </c>
      <c r="D538" s="5">
        <v>48078.02</v>
      </c>
      <c r="E538" t="s">
        <v>336</v>
      </c>
      <c r="F538" t="s">
        <v>2278</v>
      </c>
      <c r="G538" s="6">
        <f t="shared" si="8"/>
        <v>0.1536162848954504</v>
      </c>
    </row>
    <row r="539" spans="1:7">
      <c r="A539" t="s">
        <v>133</v>
      </c>
      <c r="B539" s="4">
        <v>45870</v>
      </c>
      <c r="C539" s="5">
        <v>47898.5</v>
      </c>
      <c r="D539" s="5">
        <v>53895.91</v>
      </c>
      <c r="E539" t="s">
        <v>336</v>
      </c>
      <c r="F539" t="s">
        <v>2276</v>
      </c>
      <c r="G539" s="6">
        <f t="shared" si="8"/>
        <v>0.1252108103594059</v>
      </c>
    </row>
    <row r="540" spans="1:7">
      <c r="A540" t="s">
        <v>133</v>
      </c>
      <c r="B540" s="4">
        <v>45931</v>
      </c>
      <c r="C540" s="5">
        <v>41987.87</v>
      </c>
      <c r="D540" s="5">
        <v>39860.559999999998</v>
      </c>
      <c r="E540" t="s">
        <v>322</v>
      </c>
      <c r="F540" t="s">
        <v>2276</v>
      </c>
      <c r="G540" s="6">
        <f t="shared" si="8"/>
        <v>-5.0664870592387869E-2</v>
      </c>
    </row>
    <row r="541" spans="1:7">
      <c r="A541" t="s">
        <v>133</v>
      </c>
      <c r="B541" s="4">
        <v>45839</v>
      </c>
      <c r="C541" s="5">
        <v>36474.129999999997</v>
      </c>
      <c r="D541" s="5">
        <v>41455.49</v>
      </c>
      <c r="E541" t="s">
        <v>327</v>
      </c>
      <c r="F541" t="s">
        <v>2278</v>
      </c>
      <c r="G541" s="6">
        <f t="shared" si="8"/>
        <v>0.13657241447568458</v>
      </c>
    </row>
    <row r="542" spans="1:7">
      <c r="A542" t="s">
        <v>133</v>
      </c>
      <c r="B542" s="4">
        <v>45962</v>
      </c>
      <c r="C542" s="5">
        <v>37591.67</v>
      </c>
      <c r="D542" s="5">
        <v>28956.15</v>
      </c>
      <c r="E542" t="s">
        <v>322</v>
      </c>
      <c r="F542" t="s">
        <v>2276</v>
      </c>
      <c r="G542" s="6">
        <f t="shared" si="8"/>
        <v>-0.22971897763520474</v>
      </c>
    </row>
    <row r="543" spans="1:7">
      <c r="A543" t="s">
        <v>219</v>
      </c>
      <c r="B543" s="4">
        <v>45839</v>
      </c>
      <c r="C543" s="5">
        <v>56440.91</v>
      </c>
      <c r="D543" s="5">
        <v>53316.52</v>
      </c>
      <c r="E543" t="s">
        <v>322</v>
      </c>
      <c r="F543" t="s">
        <v>2277</v>
      </c>
      <c r="G543" s="6">
        <f t="shared" si="8"/>
        <v>-5.5356832481971083E-2</v>
      </c>
    </row>
    <row r="544" spans="1:7">
      <c r="A544" t="s">
        <v>219</v>
      </c>
      <c r="B544" s="4">
        <v>46174</v>
      </c>
      <c r="C544" s="5">
        <v>53800.72</v>
      </c>
      <c r="D544" s="5">
        <v>60882.35</v>
      </c>
      <c r="E544" t="s">
        <v>327</v>
      </c>
      <c r="F544" t="s">
        <v>2276</v>
      </c>
      <c r="G544" s="6">
        <f t="shared" si="8"/>
        <v>0.13162704885733867</v>
      </c>
    </row>
    <row r="545" spans="1:7">
      <c r="A545" t="s">
        <v>219</v>
      </c>
      <c r="B545" s="4">
        <v>46082</v>
      </c>
      <c r="C545" s="5">
        <v>26596.82</v>
      </c>
      <c r="D545" s="5">
        <v>28835.14</v>
      </c>
      <c r="E545" t="s">
        <v>327</v>
      </c>
      <c r="F545" t="s">
        <v>2278</v>
      </c>
      <c r="G545" s="6">
        <f t="shared" si="8"/>
        <v>8.4157429346816637E-2</v>
      </c>
    </row>
    <row r="546" spans="1:7">
      <c r="A546" t="s">
        <v>219</v>
      </c>
      <c r="B546" s="4">
        <v>46023</v>
      </c>
      <c r="C546" s="5">
        <v>53436.77</v>
      </c>
      <c r="D546" s="5">
        <v>62075.49</v>
      </c>
      <c r="E546" t="s">
        <v>322</v>
      </c>
      <c r="F546" t="s">
        <v>2277</v>
      </c>
      <c r="G546" s="6">
        <f t="shared" si="8"/>
        <v>0.16166246575157894</v>
      </c>
    </row>
    <row r="547" spans="1:7">
      <c r="A547" t="s">
        <v>219</v>
      </c>
      <c r="B547" s="4">
        <v>46113</v>
      </c>
      <c r="C547" s="5">
        <v>57803.68</v>
      </c>
      <c r="D547" s="5">
        <v>54196.480000000003</v>
      </c>
      <c r="E547" t="s">
        <v>322</v>
      </c>
      <c r="F547" t="s">
        <v>2278</v>
      </c>
      <c r="G547" s="6">
        <f t="shared" si="8"/>
        <v>-6.2404331350529883E-2</v>
      </c>
    </row>
    <row r="548" spans="1:7">
      <c r="A548" t="s">
        <v>84</v>
      </c>
      <c r="B548" s="4">
        <v>46113</v>
      </c>
      <c r="C548" s="5">
        <v>46113.57</v>
      </c>
      <c r="D548" s="5">
        <v>56475.839999999997</v>
      </c>
      <c r="E548" t="s">
        <v>327</v>
      </c>
      <c r="F548" t="s">
        <v>2275</v>
      </c>
      <c r="G548" s="6">
        <f t="shared" si="8"/>
        <v>0.22471194487869833</v>
      </c>
    </row>
    <row r="549" spans="1:7">
      <c r="A549" t="s">
        <v>84</v>
      </c>
      <c r="B549" s="4">
        <v>45870</v>
      </c>
      <c r="C549" s="5">
        <v>38774.31</v>
      </c>
      <c r="D549" s="5">
        <v>30055.89</v>
      </c>
      <c r="E549" t="s">
        <v>336</v>
      </c>
      <c r="F549" t="s">
        <v>2276</v>
      </c>
      <c r="G549" s="6">
        <f t="shared" si="8"/>
        <v>-0.22485042287019419</v>
      </c>
    </row>
    <row r="550" spans="1:7">
      <c r="A550" t="s">
        <v>84</v>
      </c>
      <c r="B550" s="4">
        <v>45992</v>
      </c>
      <c r="C550" s="5">
        <v>39089.78</v>
      </c>
      <c r="D550" s="5">
        <v>34596.83</v>
      </c>
      <c r="E550" t="s">
        <v>336</v>
      </c>
      <c r="F550" t="s">
        <v>2275</v>
      </c>
      <c r="G550" s="6">
        <f t="shared" si="8"/>
        <v>-0.11493925010578206</v>
      </c>
    </row>
    <row r="551" spans="1:7">
      <c r="A551" t="s">
        <v>84</v>
      </c>
      <c r="B551" s="4">
        <v>45839</v>
      </c>
      <c r="C551" s="5">
        <v>33250.81</v>
      </c>
      <c r="D551" s="5">
        <v>29618.17</v>
      </c>
      <c r="E551" t="s">
        <v>322</v>
      </c>
      <c r="F551" t="s">
        <v>2277</v>
      </c>
      <c r="G551" s="6">
        <f t="shared" si="8"/>
        <v>-0.10924966940654979</v>
      </c>
    </row>
    <row r="552" spans="1:7">
      <c r="A552" t="s">
        <v>84</v>
      </c>
      <c r="B552" s="4">
        <v>46054</v>
      </c>
      <c r="C552" s="5">
        <v>41392.07</v>
      </c>
      <c r="D552" s="5">
        <v>40337.089999999997</v>
      </c>
      <c r="E552" t="s">
        <v>322</v>
      </c>
      <c r="F552" t="s">
        <v>2275</v>
      </c>
      <c r="G552" s="6">
        <f t="shared" si="8"/>
        <v>-2.5487490719840859E-2</v>
      </c>
    </row>
    <row r="553" spans="1:7">
      <c r="A553" t="s">
        <v>84</v>
      </c>
      <c r="B553" s="4">
        <v>45931</v>
      </c>
      <c r="C553" s="5">
        <v>42850.28</v>
      </c>
      <c r="D553" s="5">
        <v>40957.29</v>
      </c>
      <c r="E553" t="s">
        <v>322</v>
      </c>
      <c r="F553" t="s">
        <v>2276</v>
      </c>
      <c r="G553" s="6">
        <f t="shared" si="8"/>
        <v>-4.4176840851448296E-2</v>
      </c>
    </row>
    <row r="554" spans="1:7">
      <c r="A554" t="s">
        <v>84</v>
      </c>
      <c r="B554" s="4">
        <v>46143</v>
      </c>
      <c r="C554" s="5">
        <v>30309.14</v>
      </c>
      <c r="D554" s="5">
        <v>31149.68</v>
      </c>
      <c r="E554" t="s">
        <v>322</v>
      </c>
      <c r="F554" t="s">
        <v>2275</v>
      </c>
      <c r="G554" s="6">
        <f t="shared" si="8"/>
        <v>2.7732228628064039E-2</v>
      </c>
    </row>
    <row r="555" spans="1:7">
      <c r="A555" t="s">
        <v>84</v>
      </c>
      <c r="B555" s="4">
        <v>45962</v>
      </c>
      <c r="C555" s="5">
        <v>41711.97</v>
      </c>
      <c r="D555" s="5">
        <v>48511.15</v>
      </c>
      <c r="E555" t="s">
        <v>336</v>
      </c>
      <c r="F555" t="s">
        <v>2277</v>
      </c>
      <c r="G555" s="6">
        <f t="shared" si="8"/>
        <v>0.16300309000030447</v>
      </c>
    </row>
    <row r="556" spans="1:7">
      <c r="A556" t="s">
        <v>84</v>
      </c>
      <c r="B556" s="4">
        <v>46174</v>
      </c>
      <c r="C556" s="5">
        <v>49414.84</v>
      </c>
      <c r="D556" s="5">
        <v>51031.23</v>
      </c>
      <c r="E556" t="s">
        <v>327</v>
      </c>
      <c r="F556" t="s">
        <v>2277</v>
      </c>
      <c r="G556" s="6">
        <f t="shared" si="8"/>
        <v>3.2710618915289556E-2</v>
      </c>
    </row>
    <row r="557" spans="1:7">
      <c r="A557" t="s">
        <v>227</v>
      </c>
      <c r="B557" s="4">
        <v>45839</v>
      </c>
      <c r="C557" s="5">
        <v>90276.56</v>
      </c>
      <c r="D557" s="5">
        <v>76664.63</v>
      </c>
      <c r="E557" t="s">
        <v>336</v>
      </c>
      <c r="F557" t="s">
        <v>2276</v>
      </c>
      <c r="G557" s="6">
        <f t="shared" si="8"/>
        <v>-0.1507803354492018</v>
      </c>
    </row>
    <row r="558" spans="1:7">
      <c r="A558" t="s">
        <v>227</v>
      </c>
      <c r="B558" s="4">
        <v>46023</v>
      </c>
      <c r="C558" s="5">
        <v>41684.410000000003</v>
      </c>
      <c r="D558" s="5">
        <v>34028.35</v>
      </c>
      <c r="E558" t="s">
        <v>336</v>
      </c>
      <c r="F558" t="s">
        <v>2278</v>
      </c>
      <c r="G558" s="6">
        <f t="shared" si="8"/>
        <v>-0.18366722714799141</v>
      </c>
    </row>
    <row r="559" spans="1:7">
      <c r="A559" t="s">
        <v>227</v>
      </c>
      <c r="B559" s="4">
        <v>46082</v>
      </c>
      <c r="C559" s="5">
        <v>76192.77</v>
      </c>
      <c r="D559" s="5">
        <v>63668.53</v>
      </c>
      <c r="E559" t="s">
        <v>336</v>
      </c>
      <c r="F559" t="s">
        <v>2275</v>
      </c>
      <c r="G559" s="6">
        <f t="shared" si="8"/>
        <v>-0.16437570126404388</v>
      </c>
    </row>
    <row r="560" spans="1:7">
      <c r="A560" t="s">
        <v>227</v>
      </c>
      <c r="B560" s="4">
        <v>46113</v>
      </c>
      <c r="C560" s="5">
        <v>42761.27</v>
      </c>
      <c r="D560" s="5">
        <v>43716.67</v>
      </c>
      <c r="E560" t="s">
        <v>322</v>
      </c>
      <c r="F560" t="s">
        <v>2275</v>
      </c>
      <c r="G560" s="6">
        <f t="shared" si="8"/>
        <v>2.2342647914807057E-2</v>
      </c>
    </row>
    <row r="561" spans="1:7">
      <c r="A561" t="s">
        <v>227</v>
      </c>
      <c r="B561" s="4">
        <v>45962</v>
      </c>
      <c r="C561" s="5">
        <v>37352.720000000001</v>
      </c>
      <c r="D561" s="5">
        <v>43880.959999999999</v>
      </c>
      <c r="E561" t="s">
        <v>322</v>
      </c>
      <c r="F561" t="s">
        <v>2277</v>
      </c>
      <c r="G561" s="6">
        <f t="shared" si="8"/>
        <v>0.17477281440280648</v>
      </c>
    </row>
    <row r="562" spans="1:7">
      <c r="A562" t="s">
        <v>227</v>
      </c>
      <c r="B562" s="4">
        <v>46174</v>
      </c>
      <c r="C562" s="5">
        <v>41100.26</v>
      </c>
      <c r="D562" s="5">
        <v>34182.730000000003</v>
      </c>
      <c r="E562" t="s">
        <v>336</v>
      </c>
      <c r="F562" t="s">
        <v>2277</v>
      </c>
      <c r="G562" s="6">
        <f t="shared" si="8"/>
        <v>-0.1683086676337327</v>
      </c>
    </row>
    <row r="563" spans="1:7">
      <c r="A563" t="s">
        <v>281</v>
      </c>
      <c r="B563" s="4">
        <v>45931</v>
      </c>
      <c r="C563" s="5">
        <v>60287.24</v>
      </c>
      <c r="D563" s="5">
        <v>55613.93</v>
      </c>
      <c r="E563" t="s">
        <v>322</v>
      </c>
      <c r="F563" t="s">
        <v>2276</v>
      </c>
      <c r="G563" s="6">
        <f t="shared" si="8"/>
        <v>-7.751739837484678E-2</v>
      </c>
    </row>
    <row r="564" spans="1:7">
      <c r="A564" t="s">
        <v>281</v>
      </c>
      <c r="B564" s="4">
        <v>46082</v>
      </c>
      <c r="C564" s="5">
        <v>43020.17</v>
      </c>
      <c r="D564" s="5">
        <v>33864.1</v>
      </c>
      <c r="E564" t="s">
        <v>327</v>
      </c>
      <c r="F564" t="s">
        <v>2278</v>
      </c>
      <c r="G564" s="6">
        <f t="shared" si="8"/>
        <v>-0.21283202739552168</v>
      </c>
    </row>
    <row r="565" spans="1:7">
      <c r="A565" t="s">
        <v>281</v>
      </c>
      <c r="B565" s="4">
        <v>45992</v>
      </c>
      <c r="C565" s="5">
        <v>47339.32</v>
      </c>
      <c r="D565" s="5">
        <v>49530.07</v>
      </c>
      <c r="E565" t="s">
        <v>327</v>
      </c>
      <c r="F565" t="s">
        <v>2276</v>
      </c>
      <c r="G565" s="6">
        <f t="shared" si="8"/>
        <v>4.6277597565828998E-2</v>
      </c>
    </row>
    <row r="566" spans="1:7">
      <c r="A566" t="s">
        <v>281</v>
      </c>
      <c r="B566" s="4">
        <v>45901</v>
      </c>
      <c r="C566" s="5">
        <v>74440.070000000007</v>
      </c>
      <c r="D566" s="5">
        <v>67852.97</v>
      </c>
      <c r="E566" t="s">
        <v>322</v>
      </c>
      <c r="F566" t="s">
        <v>2275</v>
      </c>
      <c r="G566" s="6">
        <f t="shared" si="8"/>
        <v>-8.8488632533526707E-2</v>
      </c>
    </row>
    <row r="567" spans="1:7">
      <c r="A567" t="s">
        <v>281</v>
      </c>
      <c r="B567" s="4">
        <v>46054</v>
      </c>
      <c r="C567" s="5">
        <v>46703.35</v>
      </c>
      <c r="D567" s="5">
        <v>36031.660000000003</v>
      </c>
      <c r="E567" t="s">
        <v>322</v>
      </c>
      <c r="F567" t="s">
        <v>2275</v>
      </c>
      <c r="G567" s="6">
        <f t="shared" si="8"/>
        <v>-0.2284994545359165</v>
      </c>
    </row>
    <row r="568" spans="1:7">
      <c r="A568" t="s">
        <v>281</v>
      </c>
      <c r="B568" s="4">
        <v>46174</v>
      </c>
      <c r="C568" s="5">
        <v>45797.919999999998</v>
      </c>
      <c r="D568" s="5">
        <v>57131.28</v>
      </c>
      <c r="E568" t="s">
        <v>322</v>
      </c>
      <c r="F568" t="s">
        <v>2275</v>
      </c>
      <c r="G568" s="6">
        <f t="shared" si="8"/>
        <v>0.24746451367223665</v>
      </c>
    </row>
    <row r="569" spans="1:7">
      <c r="A569" t="s">
        <v>281</v>
      </c>
      <c r="B569" s="4">
        <v>45962</v>
      </c>
      <c r="C569" s="5">
        <v>42370.51</v>
      </c>
      <c r="D569" s="5">
        <v>37076.86</v>
      </c>
      <c r="E569" t="s">
        <v>322</v>
      </c>
      <c r="F569" t="s">
        <v>2275</v>
      </c>
      <c r="G569" s="6">
        <f t="shared" si="8"/>
        <v>-0.12493713198165425</v>
      </c>
    </row>
    <row r="570" spans="1:7">
      <c r="A570" t="s">
        <v>23</v>
      </c>
      <c r="B570" s="4">
        <v>45901</v>
      </c>
      <c r="C570" s="5">
        <v>17460.27</v>
      </c>
      <c r="D570" s="5">
        <v>14724.67</v>
      </c>
      <c r="E570" t="s">
        <v>322</v>
      </c>
      <c r="F570" t="s">
        <v>2276</v>
      </c>
      <c r="G570" s="6">
        <f t="shared" si="8"/>
        <v>-0.15667569860030803</v>
      </c>
    </row>
    <row r="571" spans="1:7">
      <c r="A571" t="s">
        <v>23</v>
      </c>
      <c r="B571" s="4">
        <v>46054</v>
      </c>
      <c r="C571" s="5">
        <v>27238.7</v>
      </c>
      <c r="D571" s="5">
        <v>32389.29</v>
      </c>
      <c r="E571" t="s">
        <v>327</v>
      </c>
      <c r="F571" t="s">
        <v>2276</v>
      </c>
      <c r="G571" s="6">
        <f t="shared" si="8"/>
        <v>0.18909088906592458</v>
      </c>
    </row>
    <row r="572" spans="1:7">
      <c r="A572" t="s">
        <v>23</v>
      </c>
      <c r="B572" s="4">
        <v>46143</v>
      </c>
      <c r="C572" s="5">
        <v>16042.14</v>
      </c>
      <c r="D572" s="5">
        <v>13582.76</v>
      </c>
      <c r="E572" t="s">
        <v>327</v>
      </c>
      <c r="F572" t="s">
        <v>2275</v>
      </c>
      <c r="G572" s="6">
        <f t="shared" si="8"/>
        <v>-0.15330747643394205</v>
      </c>
    </row>
    <row r="573" spans="1:7">
      <c r="A573" t="s">
        <v>23</v>
      </c>
      <c r="B573" s="4">
        <v>46082</v>
      </c>
      <c r="C573" s="5">
        <v>17487.419999999998</v>
      </c>
      <c r="D573" s="5">
        <v>17890.72</v>
      </c>
      <c r="E573" t="s">
        <v>327</v>
      </c>
      <c r="F573" t="s">
        <v>2275</v>
      </c>
      <c r="G573" s="6">
        <f t="shared" si="8"/>
        <v>2.3062292779609739E-2</v>
      </c>
    </row>
    <row r="574" spans="1:7">
      <c r="A574" t="s">
        <v>120</v>
      </c>
      <c r="B574" s="4">
        <v>46113</v>
      </c>
      <c r="C574" s="5">
        <v>68936.56</v>
      </c>
      <c r="D574" s="5">
        <v>57810.77</v>
      </c>
      <c r="E574" t="s">
        <v>327</v>
      </c>
      <c r="F574" t="s">
        <v>2278</v>
      </c>
      <c r="G574" s="6">
        <f t="shared" si="8"/>
        <v>-0.16139172015545888</v>
      </c>
    </row>
    <row r="575" spans="1:7">
      <c r="A575" t="s">
        <v>120</v>
      </c>
      <c r="B575" s="4">
        <v>46054</v>
      </c>
      <c r="C575" s="5">
        <v>48927.86</v>
      </c>
      <c r="D575" s="5">
        <v>44976.23</v>
      </c>
      <c r="E575" t="s">
        <v>327</v>
      </c>
      <c r="F575" t="s">
        <v>2275</v>
      </c>
      <c r="G575" s="6">
        <f t="shared" si="8"/>
        <v>-8.0764415202299822E-2</v>
      </c>
    </row>
    <row r="576" spans="1:7">
      <c r="A576" t="s">
        <v>120</v>
      </c>
      <c r="B576" s="4">
        <v>45931</v>
      </c>
      <c r="C576" s="5">
        <v>74019.67</v>
      </c>
      <c r="D576" s="5">
        <v>56362.97</v>
      </c>
      <c r="E576" t="s">
        <v>327</v>
      </c>
      <c r="F576" t="s">
        <v>2275</v>
      </c>
      <c r="G576" s="6">
        <f t="shared" si="8"/>
        <v>-0.23854064737116495</v>
      </c>
    </row>
    <row r="577" spans="1:7">
      <c r="A577" t="s">
        <v>120</v>
      </c>
      <c r="B577" s="4">
        <v>46023</v>
      </c>
      <c r="C577" s="5">
        <v>48671.01</v>
      </c>
      <c r="D577" s="5">
        <v>59064.84</v>
      </c>
      <c r="E577" t="s">
        <v>322</v>
      </c>
      <c r="F577" t="s">
        <v>2275</v>
      </c>
      <c r="G577" s="6">
        <f t="shared" si="8"/>
        <v>0.213552790459865</v>
      </c>
    </row>
    <row r="578" spans="1:7">
      <c r="A578" t="s">
        <v>120</v>
      </c>
      <c r="B578" s="4">
        <v>46174</v>
      </c>
      <c r="C578" s="5">
        <v>52108.86</v>
      </c>
      <c r="D578" s="5">
        <v>40673.279999999999</v>
      </c>
      <c r="E578" t="s">
        <v>336</v>
      </c>
      <c r="F578" t="s">
        <v>2276</v>
      </c>
      <c r="G578" s="6">
        <f t="shared" ref="G578:G641" si="9">IF(C578=0,0,(D578-C578)/C578)</f>
        <v>-0.21945557818766331</v>
      </c>
    </row>
    <row r="579" spans="1:7">
      <c r="A579" t="s">
        <v>120</v>
      </c>
      <c r="B579" s="4">
        <v>46082</v>
      </c>
      <c r="C579" s="5">
        <v>71313.86</v>
      </c>
      <c r="D579" s="5">
        <v>71965.58</v>
      </c>
      <c r="E579" t="s">
        <v>322</v>
      </c>
      <c r="F579" t="s">
        <v>2277</v>
      </c>
      <c r="G579" s="6">
        <f t="shared" si="9"/>
        <v>9.1387564773523847E-3</v>
      </c>
    </row>
    <row r="580" spans="1:7">
      <c r="A580" t="s">
        <v>120</v>
      </c>
      <c r="B580" s="4">
        <v>45962</v>
      </c>
      <c r="C580" s="5">
        <v>46955.5</v>
      </c>
      <c r="D580" s="5">
        <v>35269.480000000003</v>
      </c>
      <c r="E580" t="s">
        <v>327</v>
      </c>
      <c r="F580" t="s">
        <v>2276</v>
      </c>
      <c r="G580" s="6">
        <f t="shared" si="9"/>
        <v>-0.24887435976616151</v>
      </c>
    </row>
    <row r="581" spans="1:7">
      <c r="A581" t="s">
        <v>120</v>
      </c>
      <c r="B581" s="4">
        <v>45870</v>
      </c>
      <c r="C581" s="5">
        <v>34179.19</v>
      </c>
      <c r="D581" s="5">
        <v>40001.279999999999</v>
      </c>
      <c r="E581" t="s">
        <v>322</v>
      </c>
      <c r="F581" t="s">
        <v>2276</v>
      </c>
      <c r="G581" s="6">
        <f t="shared" si="9"/>
        <v>0.17034019823173094</v>
      </c>
    </row>
    <row r="582" spans="1:7">
      <c r="A582" t="s">
        <v>120</v>
      </c>
      <c r="B582" s="4">
        <v>45839</v>
      </c>
      <c r="C582" s="5">
        <v>58974.28</v>
      </c>
      <c r="D582" s="5">
        <v>53899.27</v>
      </c>
      <c r="E582" t="s">
        <v>322</v>
      </c>
      <c r="F582" t="s">
        <v>2277</v>
      </c>
      <c r="G582" s="6">
        <f t="shared" si="9"/>
        <v>-8.6054632629681993E-2</v>
      </c>
    </row>
    <row r="583" spans="1:7">
      <c r="A583" t="s">
        <v>61</v>
      </c>
      <c r="B583" s="4">
        <v>46143</v>
      </c>
      <c r="C583" s="5">
        <v>39293.32</v>
      </c>
      <c r="D583" s="5">
        <v>43860.97</v>
      </c>
      <c r="E583" t="s">
        <v>327</v>
      </c>
      <c r="F583" t="s">
        <v>2276</v>
      </c>
      <c r="G583" s="6">
        <f t="shared" si="9"/>
        <v>0.11624494952322689</v>
      </c>
    </row>
    <row r="584" spans="1:7">
      <c r="A584" t="s">
        <v>61</v>
      </c>
      <c r="B584" s="4">
        <v>45992</v>
      </c>
      <c r="C584" s="5">
        <v>23504.81</v>
      </c>
      <c r="D584" s="5">
        <v>24334.74</v>
      </c>
      <c r="E584" t="s">
        <v>336</v>
      </c>
      <c r="F584" t="s">
        <v>2275</v>
      </c>
      <c r="G584" s="6">
        <f t="shared" si="9"/>
        <v>3.5308943148232221E-2</v>
      </c>
    </row>
    <row r="585" spans="1:7">
      <c r="A585" t="s">
        <v>61</v>
      </c>
      <c r="B585" s="4">
        <v>45839</v>
      </c>
      <c r="C585" s="5">
        <v>51992.21</v>
      </c>
      <c r="D585" s="5">
        <v>58620.26</v>
      </c>
      <c r="E585" t="s">
        <v>322</v>
      </c>
      <c r="F585" t="s">
        <v>2278</v>
      </c>
      <c r="G585" s="6">
        <f t="shared" si="9"/>
        <v>0.12748159772396678</v>
      </c>
    </row>
    <row r="586" spans="1:7">
      <c r="A586" t="s">
        <v>61</v>
      </c>
      <c r="B586" s="4">
        <v>46174</v>
      </c>
      <c r="C586" s="5">
        <v>28669.31</v>
      </c>
      <c r="D586" s="5">
        <v>30438.74</v>
      </c>
      <c r="E586" t="s">
        <v>327</v>
      </c>
      <c r="F586" t="s">
        <v>2278</v>
      </c>
      <c r="G586" s="6">
        <f t="shared" si="9"/>
        <v>6.1718611295493345E-2</v>
      </c>
    </row>
    <row r="587" spans="1:7">
      <c r="A587" t="s">
        <v>61</v>
      </c>
      <c r="B587" s="4">
        <v>46054</v>
      </c>
      <c r="C587" s="5">
        <v>46093.37</v>
      </c>
      <c r="D587" s="5">
        <v>54576.34</v>
      </c>
      <c r="E587" t="s">
        <v>322</v>
      </c>
      <c r="F587" t="s">
        <v>2276</v>
      </c>
      <c r="G587" s="6">
        <f t="shared" si="9"/>
        <v>0.18403883248284933</v>
      </c>
    </row>
    <row r="588" spans="1:7">
      <c r="A588" t="s">
        <v>61</v>
      </c>
      <c r="B588" s="4">
        <v>46113</v>
      </c>
      <c r="C588" s="5">
        <v>49552.78</v>
      </c>
      <c r="D588" s="5">
        <v>38100.839999999997</v>
      </c>
      <c r="E588" t="s">
        <v>336</v>
      </c>
      <c r="F588" t="s">
        <v>2277</v>
      </c>
      <c r="G588" s="6">
        <f t="shared" si="9"/>
        <v>-0.23110590364455844</v>
      </c>
    </row>
    <row r="589" spans="1:7">
      <c r="A589" t="s">
        <v>61</v>
      </c>
      <c r="B589" s="4">
        <v>46082</v>
      </c>
      <c r="C589" s="5">
        <v>51435.39</v>
      </c>
      <c r="D589" s="5">
        <v>56367.87</v>
      </c>
      <c r="E589" t="s">
        <v>322</v>
      </c>
      <c r="F589" t="s">
        <v>2275</v>
      </c>
      <c r="G589" s="6">
        <f t="shared" si="9"/>
        <v>9.589661903992569E-2</v>
      </c>
    </row>
    <row r="590" spans="1:7">
      <c r="A590" t="s">
        <v>61</v>
      </c>
      <c r="B590" s="4">
        <v>45901</v>
      </c>
      <c r="C590" s="5">
        <v>52185.89</v>
      </c>
      <c r="D590" s="5">
        <v>54748.81</v>
      </c>
      <c r="E590" t="s">
        <v>327</v>
      </c>
      <c r="F590" t="s">
        <v>2278</v>
      </c>
      <c r="G590" s="6">
        <f t="shared" si="9"/>
        <v>4.9111359411519055E-2</v>
      </c>
    </row>
    <row r="591" spans="1:7">
      <c r="A591" t="s">
        <v>61</v>
      </c>
      <c r="B591" s="4">
        <v>45931</v>
      </c>
      <c r="C591" s="5">
        <v>37320.21</v>
      </c>
      <c r="D591" s="5">
        <v>33436.44</v>
      </c>
      <c r="E591" t="s">
        <v>322</v>
      </c>
      <c r="F591" t="s">
        <v>2278</v>
      </c>
      <c r="G591" s="6">
        <f t="shared" si="9"/>
        <v>-0.10406613467609097</v>
      </c>
    </row>
    <row r="592" spans="1:7">
      <c r="A592" t="s">
        <v>147</v>
      </c>
      <c r="B592" s="4">
        <v>46174</v>
      </c>
      <c r="C592" s="5">
        <v>21394.81</v>
      </c>
      <c r="D592" s="5">
        <v>19755.75</v>
      </c>
      <c r="E592" t="s">
        <v>327</v>
      </c>
      <c r="F592" t="s">
        <v>2275</v>
      </c>
      <c r="G592" s="6">
        <f t="shared" si="9"/>
        <v>-7.6610168540875156E-2</v>
      </c>
    </row>
    <row r="593" spans="1:7">
      <c r="A593" t="s">
        <v>147</v>
      </c>
      <c r="B593" s="4">
        <v>46113</v>
      </c>
      <c r="C593" s="5">
        <v>46430.15</v>
      </c>
      <c r="D593" s="5">
        <v>52261.18</v>
      </c>
      <c r="E593" t="s">
        <v>322</v>
      </c>
      <c r="F593" t="s">
        <v>2275</v>
      </c>
      <c r="G593" s="6">
        <f t="shared" si="9"/>
        <v>0.12558714542167101</v>
      </c>
    </row>
    <row r="594" spans="1:7">
      <c r="A594" t="s">
        <v>147</v>
      </c>
      <c r="B594" s="4">
        <v>46082</v>
      </c>
      <c r="C594" s="5">
        <v>21612.89</v>
      </c>
      <c r="D594" s="5">
        <v>26191.03</v>
      </c>
      <c r="E594" t="s">
        <v>322</v>
      </c>
      <c r="F594" t="s">
        <v>2275</v>
      </c>
      <c r="G594" s="6">
        <f t="shared" si="9"/>
        <v>0.21182451768366006</v>
      </c>
    </row>
    <row r="595" spans="1:7">
      <c r="A595" t="s">
        <v>147</v>
      </c>
      <c r="B595" s="4">
        <v>46143</v>
      </c>
      <c r="C595" s="5">
        <v>31756.62</v>
      </c>
      <c r="D595" s="5">
        <v>31400.97</v>
      </c>
      <c r="E595" t="s">
        <v>327</v>
      </c>
      <c r="F595" t="s">
        <v>2276</v>
      </c>
      <c r="G595" s="6">
        <f t="shared" si="9"/>
        <v>-1.1199239717576928E-2</v>
      </c>
    </row>
    <row r="596" spans="1:7">
      <c r="A596" t="s">
        <v>147</v>
      </c>
      <c r="B596" s="4">
        <v>45870</v>
      </c>
      <c r="C596" s="5">
        <v>19747.59</v>
      </c>
      <c r="D596" s="5">
        <v>20888.830000000002</v>
      </c>
      <c r="E596" t="s">
        <v>336</v>
      </c>
      <c r="F596" t="s">
        <v>2275</v>
      </c>
      <c r="G596" s="6">
        <f t="shared" si="9"/>
        <v>5.779135580594906E-2</v>
      </c>
    </row>
    <row r="597" spans="1:7">
      <c r="A597" t="s">
        <v>147</v>
      </c>
      <c r="B597" s="4">
        <v>45992</v>
      </c>
      <c r="C597" s="5">
        <v>41237.86</v>
      </c>
      <c r="D597" s="5">
        <v>50795.22</v>
      </c>
      <c r="E597" t="s">
        <v>322</v>
      </c>
      <c r="F597" t="s">
        <v>2275</v>
      </c>
      <c r="G597" s="6">
        <f t="shared" si="9"/>
        <v>0.23176178395290153</v>
      </c>
    </row>
    <row r="598" spans="1:7">
      <c r="A598" t="s">
        <v>118</v>
      </c>
      <c r="B598" s="4">
        <v>46054</v>
      </c>
      <c r="C598" s="5">
        <v>62881.279999999999</v>
      </c>
      <c r="D598" s="5">
        <v>51232.13</v>
      </c>
      <c r="E598" t="s">
        <v>327</v>
      </c>
      <c r="F598" t="s">
        <v>2276</v>
      </c>
      <c r="G598" s="6">
        <f t="shared" si="9"/>
        <v>-0.18525624796441806</v>
      </c>
    </row>
    <row r="599" spans="1:7">
      <c r="A599" t="s">
        <v>118</v>
      </c>
      <c r="B599" s="4">
        <v>46023</v>
      </c>
      <c r="C599" s="5">
        <v>48532.15</v>
      </c>
      <c r="D599" s="5">
        <v>54592.95</v>
      </c>
      <c r="E599" t="s">
        <v>327</v>
      </c>
      <c r="F599" t="s">
        <v>2278</v>
      </c>
      <c r="G599" s="6">
        <f t="shared" si="9"/>
        <v>0.12488216573961787</v>
      </c>
    </row>
    <row r="600" spans="1:7">
      <c r="A600" t="s">
        <v>118</v>
      </c>
      <c r="B600" s="4">
        <v>46082</v>
      </c>
      <c r="C600" s="5">
        <v>56379.42</v>
      </c>
      <c r="D600" s="5">
        <v>42303.02</v>
      </c>
      <c r="E600" t="s">
        <v>327</v>
      </c>
      <c r="F600" t="s">
        <v>2276</v>
      </c>
      <c r="G600" s="6">
        <f t="shared" si="9"/>
        <v>-0.24967266424521575</v>
      </c>
    </row>
    <row r="601" spans="1:7">
      <c r="A601" t="s">
        <v>118</v>
      </c>
      <c r="B601" s="4">
        <v>45901</v>
      </c>
      <c r="C601" s="5">
        <v>56411.87</v>
      </c>
      <c r="D601" s="5">
        <v>64659.43</v>
      </c>
      <c r="E601" t="s">
        <v>336</v>
      </c>
      <c r="F601" t="s">
        <v>2277</v>
      </c>
      <c r="G601" s="6">
        <f t="shared" si="9"/>
        <v>0.14620256339667514</v>
      </c>
    </row>
    <row r="602" spans="1:7">
      <c r="A602" t="s">
        <v>118</v>
      </c>
      <c r="B602" s="4">
        <v>46143</v>
      </c>
      <c r="C602" s="5">
        <v>56962.31</v>
      </c>
      <c r="D602" s="5">
        <v>67871.179999999993</v>
      </c>
      <c r="E602" t="s">
        <v>327</v>
      </c>
      <c r="F602" t="s">
        <v>2278</v>
      </c>
      <c r="G602" s="6">
        <f t="shared" si="9"/>
        <v>0.19151031620733069</v>
      </c>
    </row>
    <row r="603" spans="1:7">
      <c r="A603" t="s">
        <v>118</v>
      </c>
      <c r="B603" s="4">
        <v>45962</v>
      </c>
      <c r="C603" s="5">
        <v>59474.09</v>
      </c>
      <c r="D603" s="5">
        <v>56207.61</v>
      </c>
      <c r="E603" t="s">
        <v>327</v>
      </c>
      <c r="F603" t="s">
        <v>2278</v>
      </c>
      <c r="G603" s="6">
        <f t="shared" si="9"/>
        <v>-5.492274030590457E-2</v>
      </c>
    </row>
    <row r="604" spans="1:7">
      <c r="A604" t="s">
        <v>118</v>
      </c>
      <c r="B604" s="4">
        <v>45931</v>
      </c>
      <c r="C604" s="5">
        <v>56548.76</v>
      </c>
      <c r="D604" s="5">
        <v>58505.16</v>
      </c>
      <c r="E604" t="s">
        <v>322</v>
      </c>
      <c r="F604" t="s">
        <v>2277</v>
      </c>
      <c r="G604" s="6">
        <f t="shared" si="9"/>
        <v>3.4596691421704052E-2</v>
      </c>
    </row>
    <row r="605" spans="1:7">
      <c r="A605" t="s">
        <v>118</v>
      </c>
      <c r="B605" s="4">
        <v>45870</v>
      </c>
      <c r="C605" s="5">
        <v>34900.21</v>
      </c>
      <c r="D605" s="5">
        <v>41876.18</v>
      </c>
      <c r="E605" t="s">
        <v>322</v>
      </c>
      <c r="F605" t="s">
        <v>2278</v>
      </c>
      <c r="G605" s="6">
        <f t="shared" si="9"/>
        <v>0.19988332448429397</v>
      </c>
    </row>
    <row r="606" spans="1:7">
      <c r="A606" t="s">
        <v>73</v>
      </c>
      <c r="B606" s="4">
        <v>45962</v>
      </c>
      <c r="C606" s="5">
        <v>38971.56</v>
      </c>
      <c r="D606" s="5">
        <v>31963.58</v>
      </c>
      <c r="E606" t="s">
        <v>327</v>
      </c>
      <c r="F606" t="s">
        <v>2278</v>
      </c>
      <c r="G606" s="6">
        <f t="shared" si="9"/>
        <v>-0.17982292728338298</v>
      </c>
    </row>
    <row r="607" spans="1:7">
      <c r="A607" t="s">
        <v>73</v>
      </c>
      <c r="B607" s="4">
        <v>45901</v>
      </c>
      <c r="C607" s="5">
        <v>31315.7</v>
      </c>
      <c r="D607" s="5">
        <v>27348.39</v>
      </c>
      <c r="E607" t="s">
        <v>322</v>
      </c>
      <c r="F607" t="s">
        <v>2278</v>
      </c>
      <c r="G607" s="6">
        <f t="shared" si="9"/>
        <v>-0.12668757204852521</v>
      </c>
    </row>
    <row r="608" spans="1:7">
      <c r="A608" t="s">
        <v>73</v>
      </c>
      <c r="B608" s="4">
        <v>46082</v>
      </c>
      <c r="C608" s="5">
        <v>53501.13</v>
      </c>
      <c r="D608" s="5">
        <v>62337.07</v>
      </c>
      <c r="E608" t="s">
        <v>322</v>
      </c>
      <c r="F608" t="s">
        <v>2276</v>
      </c>
      <c r="G608" s="6">
        <f t="shared" si="9"/>
        <v>0.16515426870423117</v>
      </c>
    </row>
    <row r="609" spans="1:7">
      <c r="A609" t="s">
        <v>73</v>
      </c>
      <c r="B609" s="4">
        <v>46023</v>
      </c>
      <c r="C609" s="5">
        <v>44560.29</v>
      </c>
      <c r="D609" s="5">
        <v>53506.17</v>
      </c>
      <c r="E609" t="s">
        <v>327</v>
      </c>
      <c r="F609" t="s">
        <v>2277</v>
      </c>
      <c r="G609" s="6">
        <f t="shared" si="9"/>
        <v>0.20075901660424555</v>
      </c>
    </row>
    <row r="610" spans="1:7">
      <c r="A610" t="s">
        <v>73</v>
      </c>
      <c r="B610" s="4">
        <v>46054</v>
      </c>
      <c r="C610" s="5">
        <v>36991.96</v>
      </c>
      <c r="D610" s="5">
        <v>30785.11</v>
      </c>
      <c r="E610" t="s">
        <v>322</v>
      </c>
      <c r="F610" t="s">
        <v>2278</v>
      </c>
      <c r="G610" s="6">
        <f t="shared" si="9"/>
        <v>-0.16778916283430234</v>
      </c>
    </row>
    <row r="611" spans="1:7">
      <c r="A611" t="s">
        <v>73</v>
      </c>
      <c r="B611" s="4">
        <v>46174</v>
      </c>
      <c r="C611" s="5">
        <v>31349.24</v>
      </c>
      <c r="D611" s="5">
        <v>35448.129999999997</v>
      </c>
      <c r="E611" t="s">
        <v>327</v>
      </c>
      <c r="F611" t="s">
        <v>2275</v>
      </c>
      <c r="G611" s="6">
        <f t="shared" si="9"/>
        <v>0.13074926218307031</v>
      </c>
    </row>
    <row r="612" spans="1:7">
      <c r="A612" t="s">
        <v>197</v>
      </c>
      <c r="B612" s="4">
        <v>46023</v>
      </c>
      <c r="C612" s="5">
        <v>5840.65</v>
      </c>
      <c r="D612" s="5">
        <v>6408.94</v>
      </c>
      <c r="E612" t="s">
        <v>336</v>
      </c>
      <c r="F612" t="s">
        <v>2278</v>
      </c>
      <c r="G612" s="6">
        <f t="shared" si="9"/>
        <v>9.7299101983512104E-2</v>
      </c>
    </row>
    <row r="613" spans="1:7">
      <c r="A613" t="s">
        <v>197</v>
      </c>
      <c r="B613" s="4">
        <v>45901</v>
      </c>
      <c r="C613" s="5">
        <v>5055.3900000000003</v>
      </c>
      <c r="D613" s="5">
        <v>5966.5</v>
      </c>
      <c r="E613" t="s">
        <v>327</v>
      </c>
      <c r="F613" t="s">
        <v>2277</v>
      </c>
      <c r="G613" s="6">
        <f t="shared" si="9"/>
        <v>0.18022546232832673</v>
      </c>
    </row>
    <row r="614" spans="1:7">
      <c r="A614" t="s">
        <v>197</v>
      </c>
      <c r="B614" s="4">
        <v>46113</v>
      </c>
      <c r="C614" s="5">
        <v>8064.83</v>
      </c>
      <c r="D614" s="5">
        <v>7626.18</v>
      </c>
      <c r="E614" t="s">
        <v>336</v>
      </c>
      <c r="F614" t="s">
        <v>2277</v>
      </c>
      <c r="G614" s="6">
        <f t="shared" si="9"/>
        <v>-5.4390483122396832E-2</v>
      </c>
    </row>
    <row r="615" spans="1:7">
      <c r="A615" t="s">
        <v>197</v>
      </c>
      <c r="B615" s="4">
        <v>46143</v>
      </c>
      <c r="C615" s="5">
        <v>10640.2</v>
      </c>
      <c r="D615" s="5">
        <v>10585.04</v>
      </c>
      <c r="E615" t="s">
        <v>336</v>
      </c>
      <c r="F615" t="s">
        <v>2275</v>
      </c>
      <c r="G615" s="6">
        <f t="shared" si="9"/>
        <v>-5.1841130805811778E-3</v>
      </c>
    </row>
    <row r="616" spans="1:7">
      <c r="A616" t="s">
        <v>197</v>
      </c>
      <c r="B616" s="4">
        <v>46174</v>
      </c>
      <c r="C616" s="5">
        <v>10626.71</v>
      </c>
      <c r="D616" s="5">
        <v>10938.52</v>
      </c>
      <c r="E616" t="s">
        <v>322</v>
      </c>
      <c r="F616" t="s">
        <v>2278</v>
      </c>
      <c r="G616" s="6">
        <f t="shared" si="9"/>
        <v>2.9342101177128325E-2</v>
      </c>
    </row>
    <row r="617" spans="1:7">
      <c r="A617" t="s">
        <v>197</v>
      </c>
      <c r="B617" s="4">
        <v>45962</v>
      </c>
      <c r="C617" s="5">
        <v>9353.8700000000008</v>
      </c>
      <c r="D617" s="5">
        <v>10630.69</v>
      </c>
      <c r="E617" t="s">
        <v>336</v>
      </c>
      <c r="F617" t="s">
        <v>2278</v>
      </c>
      <c r="G617" s="6">
        <f t="shared" si="9"/>
        <v>0.13650179016813357</v>
      </c>
    </row>
    <row r="618" spans="1:7">
      <c r="A618" t="s">
        <v>301</v>
      </c>
      <c r="B618" s="4">
        <v>45962</v>
      </c>
      <c r="C618" s="5">
        <v>50858.93</v>
      </c>
      <c r="D618" s="5">
        <v>41022.730000000003</v>
      </c>
      <c r="E618" t="s">
        <v>336</v>
      </c>
      <c r="F618" t="s">
        <v>2275</v>
      </c>
      <c r="G618" s="6">
        <f t="shared" si="9"/>
        <v>-0.19340163074606559</v>
      </c>
    </row>
    <row r="619" spans="1:7">
      <c r="A619" t="s">
        <v>301</v>
      </c>
      <c r="B619" s="4">
        <v>46143</v>
      </c>
      <c r="C619" s="5">
        <v>26546.55</v>
      </c>
      <c r="D619" s="5">
        <v>22553.26</v>
      </c>
      <c r="E619" t="s">
        <v>327</v>
      </c>
      <c r="F619" t="s">
        <v>2278</v>
      </c>
      <c r="G619" s="6">
        <f t="shared" si="9"/>
        <v>-0.15042594988802691</v>
      </c>
    </row>
    <row r="620" spans="1:7">
      <c r="A620" t="s">
        <v>301</v>
      </c>
      <c r="B620" s="4">
        <v>46113</v>
      </c>
      <c r="C620" s="5">
        <v>39865.199999999997</v>
      </c>
      <c r="D620" s="5">
        <v>35263.440000000002</v>
      </c>
      <c r="E620" t="s">
        <v>322</v>
      </c>
      <c r="F620" t="s">
        <v>2277</v>
      </c>
      <c r="G620" s="6">
        <f t="shared" si="9"/>
        <v>-0.11543300924114253</v>
      </c>
    </row>
    <row r="621" spans="1:7">
      <c r="A621" t="s">
        <v>301</v>
      </c>
      <c r="B621" s="4">
        <v>45870</v>
      </c>
      <c r="C621" s="5">
        <v>48057.17</v>
      </c>
      <c r="D621" s="5">
        <v>41093.35</v>
      </c>
      <c r="E621" t="s">
        <v>336</v>
      </c>
      <c r="F621" t="s">
        <v>2277</v>
      </c>
      <c r="G621" s="6">
        <f t="shared" si="9"/>
        <v>-0.14490699306679938</v>
      </c>
    </row>
    <row r="622" spans="1:7">
      <c r="A622" t="s">
        <v>301</v>
      </c>
      <c r="B622" s="4">
        <v>46082</v>
      </c>
      <c r="C622" s="5">
        <v>31668.6</v>
      </c>
      <c r="D622" s="5">
        <v>30935.1</v>
      </c>
      <c r="E622" t="s">
        <v>336</v>
      </c>
      <c r="F622" t="s">
        <v>2278</v>
      </c>
      <c r="G622" s="6">
        <f t="shared" si="9"/>
        <v>-2.3161743809325328E-2</v>
      </c>
    </row>
    <row r="623" spans="1:7">
      <c r="A623" t="s">
        <v>110</v>
      </c>
      <c r="B623" s="4">
        <v>46174</v>
      </c>
      <c r="C623" s="5">
        <v>40130.76</v>
      </c>
      <c r="D623" s="5">
        <v>47070.879999999997</v>
      </c>
      <c r="E623" t="s">
        <v>327</v>
      </c>
      <c r="F623" t="s">
        <v>2277</v>
      </c>
      <c r="G623" s="6">
        <f t="shared" si="9"/>
        <v>0.17293766676733746</v>
      </c>
    </row>
    <row r="624" spans="1:7">
      <c r="A624" t="s">
        <v>110</v>
      </c>
      <c r="B624" s="4">
        <v>45901</v>
      </c>
      <c r="C624" s="5">
        <v>31781.38</v>
      </c>
      <c r="D624" s="5">
        <v>30609.439999999999</v>
      </c>
      <c r="E624" t="s">
        <v>336</v>
      </c>
      <c r="F624" t="s">
        <v>2277</v>
      </c>
      <c r="G624" s="6">
        <f t="shared" si="9"/>
        <v>-3.6875050737255659E-2</v>
      </c>
    </row>
    <row r="625" spans="1:7">
      <c r="A625" t="s">
        <v>110</v>
      </c>
      <c r="B625" s="4">
        <v>45992</v>
      </c>
      <c r="C625" s="5">
        <v>23980.46</v>
      </c>
      <c r="D625" s="5">
        <v>25428.53</v>
      </c>
      <c r="E625" t="s">
        <v>322</v>
      </c>
      <c r="F625" t="s">
        <v>2277</v>
      </c>
      <c r="G625" s="6">
        <f t="shared" si="9"/>
        <v>6.0385413791061548E-2</v>
      </c>
    </row>
    <row r="626" spans="1:7">
      <c r="A626" t="s">
        <v>110</v>
      </c>
      <c r="B626" s="4">
        <v>45931</v>
      </c>
      <c r="C626" s="5">
        <v>33373.58</v>
      </c>
      <c r="D626" s="5">
        <v>37875</v>
      </c>
      <c r="E626" t="s">
        <v>322</v>
      </c>
      <c r="F626" t="s">
        <v>2277</v>
      </c>
      <c r="G626" s="6">
        <f t="shared" si="9"/>
        <v>0.13487974619444476</v>
      </c>
    </row>
    <row r="627" spans="1:7">
      <c r="A627" t="s">
        <v>110</v>
      </c>
      <c r="B627" s="4">
        <v>46023</v>
      </c>
      <c r="C627" s="5">
        <v>50684.959999999999</v>
      </c>
      <c r="D627" s="5">
        <v>42507.57</v>
      </c>
      <c r="E627" t="s">
        <v>336</v>
      </c>
      <c r="F627" t="s">
        <v>2277</v>
      </c>
      <c r="G627" s="6">
        <f t="shared" si="9"/>
        <v>-0.16133760389669835</v>
      </c>
    </row>
    <row r="628" spans="1:7">
      <c r="A628" t="s">
        <v>295</v>
      </c>
      <c r="B628" s="4">
        <v>46054</v>
      </c>
      <c r="C628" s="5">
        <v>51904.4</v>
      </c>
      <c r="D628" s="5">
        <v>60850.18</v>
      </c>
      <c r="E628" t="s">
        <v>327</v>
      </c>
      <c r="F628" t="s">
        <v>2278</v>
      </c>
      <c r="G628" s="6">
        <f t="shared" si="9"/>
        <v>0.17235109162229018</v>
      </c>
    </row>
    <row r="629" spans="1:7">
      <c r="A629" t="s">
        <v>295</v>
      </c>
      <c r="B629" s="4">
        <v>46082</v>
      </c>
      <c r="C629" s="5">
        <v>69657.94</v>
      </c>
      <c r="D629" s="5">
        <v>83247.69</v>
      </c>
      <c r="E629" t="s">
        <v>336</v>
      </c>
      <c r="F629" t="s">
        <v>2275</v>
      </c>
      <c r="G629" s="6">
        <f t="shared" si="9"/>
        <v>0.19509261973581188</v>
      </c>
    </row>
    <row r="630" spans="1:7">
      <c r="A630" t="s">
        <v>295</v>
      </c>
      <c r="B630" s="4">
        <v>45839</v>
      </c>
      <c r="C630" s="5">
        <v>70563.12</v>
      </c>
      <c r="D630" s="5">
        <v>86635.5</v>
      </c>
      <c r="E630" t="s">
        <v>327</v>
      </c>
      <c r="F630" t="s">
        <v>2275</v>
      </c>
      <c r="G630" s="6">
        <f t="shared" si="9"/>
        <v>0.22777309166601484</v>
      </c>
    </row>
    <row r="631" spans="1:7">
      <c r="A631" t="s">
        <v>295</v>
      </c>
      <c r="B631" s="4">
        <v>45901</v>
      </c>
      <c r="C631" s="5">
        <v>95081</v>
      </c>
      <c r="D631" s="5">
        <v>92693.5</v>
      </c>
      <c r="E631" t="s">
        <v>336</v>
      </c>
      <c r="F631" t="s">
        <v>2278</v>
      </c>
      <c r="G631" s="6">
        <f t="shared" si="9"/>
        <v>-2.5110169224135212E-2</v>
      </c>
    </row>
    <row r="632" spans="1:7">
      <c r="A632" t="s">
        <v>295</v>
      </c>
      <c r="B632" s="4">
        <v>46174</v>
      </c>
      <c r="C632" s="5">
        <v>62909.98</v>
      </c>
      <c r="D632" s="5">
        <v>52454.02</v>
      </c>
      <c r="E632" t="s">
        <v>336</v>
      </c>
      <c r="F632" t="s">
        <v>2278</v>
      </c>
      <c r="G632" s="6">
        <f t="shared" si="9"/>
        <v>-0.16620510767925861</v>
      </c>
    </row>
    <row r="633" spans="1:7">
      <c r="A633" t="s">
        <v>295</v>
      </c>
      <c r="B633" s="4">
        <v>46113</v>
      </c>
      <c r="C633" s="5">
        <v>76697.289999999994</v>
      </c>
      <c r="D633" s="5">
        <v>95225.59</v>
      </c>
      <c r="E633" t="s">
        <v>327</v>
      </c>
      <c r="F633" t="s">
        <v>2278</v>
      </c>
      <c r="G633" s="6">
        <f t="shared" si="9"/>
        <v>0.24157698401077801</v>
      </c>
    </row>
    <row r="634" spans="1:7">
      <c r="A634" t="s">
        <v>295</v>
      </c>
      <c r="B634" s="4">
        <v>46143</v>
      </c>
      <c r="C634" s="5">
        <v>78726.77</v>
      </c>
      <c r="D634" s="5">
        <v>72410.37</v>
      </c>
      <c r="E634" t="s">
        <v>327</v>
      </c>
      <c r="F634" t="s">
        <v>2275</v>
      </c>
      <c r="G634" s="6">
        <f t="shared" si="9"/>
        <v>-8.0231921111459395E-2</v>
      </c>
    </row>
    <row r="635" spans="1:7">
      <c r="A635" t="s">
        <v>295</v>
      </c>
      <c r="B635" s="4">
        <v>45992</v>
      </c>
      <c r="C635" s="5">
        <v>106305.92</v>
      </c>
      <c r="D635" s="5">
        <v>122071.22</v>
      </c>
      <c r="E635" t="s">
        <v>336</v>
      </c>
      <c r="F635" t="s">
        <v>2278</v>
      </c>
      <c r="G635" s="6">
        <f t="shared" si="9"/>
        <v>0.14830124230146358</v>
      </c>
    </row>
    <row r="636" spans="1:7">
      <c r="A636" t="s">
        <v>144</v>
      </c>
      <c r="B636" s="4">
        <v>45962</v>
      </c>
      <c r="C636" s="5">
        <v>76232.600000000006</v>
      </c>
      <c r="D636" s="5">
        <v>58142.44</v>
      </c>
      <c r="E636" t="s">
        <v>322</v>
      </c>
      <c r="F636" t="s">
        <v>2277</v>
      </c>
      <c r="G636" s="6">
        <f t="shared" si="9"/>
        <v>-0.23730215157294912</v>
      </c>
    </row>
    <row r="637" spans="1:7">
      <c r="A637" t="s">
        <v>144</v>
      </c>
      <c r="B637" s="4">
        <v>46113</v>
      </c>
      <c r="C637" s="5">
        <v>32741.21</v>
      </c>
      <c r="D637" s="5">
        <v>37678.94</v>
      </c>
      <c r="E637" t="s">
        <v>336</v>
      </c>
      <c r="F637" t="s">
        <v>2276</v>
      </c>
      <c r="G637" s="6">
        <f t="shared" si="9"/>
        <v>0.1508108588534145</v>
      </c>
    </row>
    <row r="638" spans="1:7">
      <c r="A638" t="s">
        <v>144</v>
      </c>
      <c r="B638" s="4">
        <v>45870</v>
      </c>
      <c r="C638" s="5">
        <v>57818.55</v>
      </c>
      <c r="D638" s="5">
        <v>68758.039999999994</v>
      </c>
      <c r="E638" t="s">
        <v>322</v>
      </c>
      <c r="F638" t="s">
        <v>2276</v>
      </c>
      <c r="G638" s="6">
        <f t="shared" si="9"/>
        <v>0.18920381088768207</v>
      </c>
    </row>
    <row r="639" spans="1:7">
      <c r="A639" t="s">
        <v>144</v>
      </c>
      <c r="B639" s="4">
        <v>46143</v>
      </c>
      <c r="C639" s="5">
        <v>36813.56</v>
      </c>
      <c r="D639" s="5">
        <v>43759.76</v>
      </c>
      <c r="E639" t="s">
        <v>322</v>
      </c>
      <c r="F639" t="s">
        <v>2278</v>
      </c>
      <c r="G639" s="6">
        <f t="shared" si="9"/>
        <v>0.18868590812733146</v>
      </c>
    </row>
    <row r="640" spans="1:7">
      <c r="A640" t="s">
        <v>144</v>
      </c>
      <c r="B640" s="4">
        <v>46023</v>
      </c>
      <c r="C640" s="5">
        <v>70838.3</v>
      </c>
      <c r="D640" s="5">
        <v>55581.24</v>
      </c>
      <c r="E640" t="s">
        <v>322</v>
      </c>
      <c r="F640" t="s">
        <v>2278</v>
      </c>
      <c r="G640" s="6">
        <f t="shared" si="9"/>
        <v>-0.21537868638857799</v>
      </c>
    </row>
    <row r="641" spans="1:7">
      <c r="A641" t="s">
        <v>51</v>
      </c>
      <c r="B641" s="4">
        <v>46082</v>
      </c>
      <c r="C641" s="5">
        <v>12921.07</v>
      </c>
      <c r="D641" s="5">
        <v>14096.85</v>
      </c>
      <c r="E641" t="s">
        <v>336</v>
      </c>
      <c r="F641" t="s">
        <v>2278</v>
      </c>
      <c r="G641" s="6">
        <f t="shared" si="9"/>
        <v>9.0997107824661638E-2</v>
      </c>
    </row>
    <row r="642" spans="1:7">
      <c r="A642" t="s">
        <v>51</v>
      </c>
      <c r="B642" s="4">
        <v>45931</v>
      </c>
      <c r="C642" s="5">
        <v>8747.25</v>
      </c>
      <c r="D642" s="5">
        <v>8833.89</v>
      </c>
      <c r="E642" t="s">
        <v>327</v>
      </c>
      <c r="F642" t="s">
        <v>2275</v>
      </c>
      <c r="G642" s="6">
        <f t="shared" ref="G642:G669" si="10">IF(C642=0,0,(D642-C642)/C642)</f>
        <v>9.9048272314155219E-3</v>
      </c>
    </row>
    <row r="643" spans="1:7">
      <c r="A643" t="s">
        <v>51</v>
      </c>
      <c r="B643" s="4">
        <v>46023</v>
      </c>
      <c r="C643" s="5">
        <v>9680.4599999999991</v>
      </c>
      <c r="D643" s="5">
        <v>10261.1</v>
      </c>
      <c r="E643" t="s">
        <v>327</v>
      </c>
      <c r="F643" t="s">
        <v>2275</v>
      </c>
      <c r="G643" s="6">
        <f t="shared" si="10"/>
        <v>5.998062075562538E-2</v>
      </c>
    </row>
    <row r="644" spans="1:7">
      <c r="A644" t="s">
        <v>51</v>
      </c>
      <c r="B644" s="4">
        <v>46174</v>
      </c>
      <c r="C644" s="5">
        <v>7456.9</v>
      </c>
      <c r="D644" s="5">
        <v>9183.5300000000007</v>
      </c>
      <c r="E644" t="s">
        <v>327</v>
      </c>
      <c r="F644" t="s">
        <v>2276</v>
      </c>
      <c r="G644" s="6">
        <f t="shared" si="10"/>
        <v>0.23154796228995977</v>
      </c>
    </row>
    <row r="645" spans="1:7">
      <c r="A645" t="s">
        <v>283</v>
      </c>
      <c r="B645" s="4">
        <v>46054</v>
      </c>
      <c r="C645" s="5">
        <v>32176.09</v>
      </c>
      <c r="D645" s="5">
        <v>28764.03</v>
      </c>
      <c r="E645" t="s">
        <v>322</v>
      </c>
      <c r="F645" t="s">
        <v>2276</v>
      </c>
      <c r="G645" s="6">
        <f t="shared" si="10"/>
        <v>-0.10604333839195507</v>
      </c>
    </row>
    <row r="646" spans="1:7">
      <c r="A646" t="s">
        <v>283</v>
      </c>
      <c r="B646" s="4">
        <v>45962</v>
      </c>
      <c r="C646" s="5">
        <v>29866.080000000002</v>
      </c>
      <c r="D646" s="5">
        <v>24981.09</v>
      </c>
      <c r="E646" t="s">
        <v>327</v>
      </c>
      <c r="F646" t="s">
        <v>2277</v>
      </c>
      <c r="G646" s="6">
        <f t="shared" si="10"/>
        <v>-0.16356314588322274</v>
      </c>
    </row>
    <row r="647" spans="1:7">
      <c r="A647" t="s">
        <v>283</v>
      </c>
      <c r="B647" s="4">
        <v>46023</v>
      </c>
      <c r="C647" s="5">
        <v>28479.58</v>
      </c>
      <c r="D647" s="5">
        <v>24071.279999999999</v>
      </c>
      <c r="E647" t="s">
        <v>322</v>
      </c>
      <c r="F647" t="s">
        <v>2276</v>
      </c>
      <c r="G647" s="6">
        <f t="shared" si="10"/>
        <v>-0.15478809729637877</v>
      </c>
    </row>
    <row r="648" spans="1:7">
      <c r="A648" t="s">
        <v>283</v>
      </c>
      <c r="B648" s="4">
        <v>45901</v>
      </c>
      <c r="C648" s="5">
        <v>17587.259999999998</v>
      </c>
      <c r="D648" s="5">
        <v>14449.8</v>
      </c>
      <c r="E648" t="s">
        <v>327</v>
      </c>
      <c r="F648" t="s">
        <v>2277</v>
      </c>
      <c r="G648" s="6">
        <f t="shared" si="10"/>
        <v>-0.17839390558847709</v>
      </c>
    </row>
    <row r="649" spans="1:7">
      <c r="A649" t="s">
        <v>283</v>
      </c>
      <c r="B649" s="4">
        <v>45839</v>
      </c>
      <c r="C649" s="5">
        <v>26245.09</v>
      </c>
      <c r="D649" s="5">
        <v>27873.18</v>
      </c>
      <c r="E649" t="s">
        <v>322</v>
      </c>
      <c r="F649" t="s">
        <v>2275</v>
      </c>
      <c r="G649" s="6">
        <f t="shared" si="10"/>
        <v>6.2034079517349724E-2</v>
      </c>
    </row>
    <row r="650" spans="1:7">
      <c r="A650" t="s">
        <v>283</v>
      </c>
      <c r="B650" s="4">
        <v>45870</v>
      </c>
      <c r="C650" s="5">
        <v>28504.95</v>
      </c>
      <c r="D650" s="5">
        <v>33999.019999999997</v>
      </c>
      <c r="E650" t="s">
        <v>327</v>
      </c>
      <c r="F650" t="s">
        <v>2276</v>
      </c>
      <c r="G650" s="6">
        <f t="shared" si="10"/>
        <v>0.19274090991213794</v>
      </c>
    </row>
    <row r="651" spans="1:7">
      <c r="A651" t="s">
        <v>283</v>
      </c>
      <c r="B651" s="4">
        <v>46082</v>
      </c>
      <c r="C651" s="5">
        <v>21953.13</v>
      </c>
      <c r="D651" s="5">
        <v>21838.29</v>
      </c>
      <c r="E651" t="s">
        <v>322</v>
      </c>
      <c r="F651" t="s">
        <v>2275</v>
      </c>
      <c r="G651" s="6">
        <f t="shared" si="10"/>
        <v>-5.2311447160382201E-3</v>
      </c>
    </row>
    <row r="652" spans="1:7">
      <c r="A652" t="s">
        <v>283</v>
      </c>
      <c r="B652" s="4">
        <v>46143</v>
      </c>
      <c r="C652" s="5">
        <v>20525.599999999999</v>
      </c>
      <c r="D652" s="5">
        <v>20859.28</v>
      </c>
      <c r="E652" t="s">
        <v>336</v>
      </c>
      <c r="F652" t="s">
        <v>2275</v>
      </c>
      <c r="G652" s="6">
        <f t="shared" si="10"/>
        <v>1.6256772031024685E-2</v>
      </c>
    </row>
    <row r="653" spans="1:7">
      <c r="A653" t="s">
        <v>283</v>
      </c>
      <c r="B653" s="4">
        <v>46113</v>
      </c>
      <c r="C653" s="5">
        <v>24049.23</v>
      </c>
      <c r="D653" s="5">
        <v>19084.169999999998</v>
      </c>
      <c r="E653" t="s">
        <v>336</v>
      </c>
      <c r="F653" t="s">
        <v>2276</v>
      </c>
      <c r="G653" s="6">
        <f t="shared" si="10"/>
        <v>-0.20645401120950657</v>
      </c>
    </row>
    <row r="654" spans="1:7">
      <c r="A654" t="s">
        <v>25</v>
      </c>
      <c r="B654" s="4">
        <v>46054</v>
      </c>
      <c r="C654" s="5">
        <v>85647.17</v>
      </c>
      <c r="D654" s="5">
        <v>84954.86</v>
      </c>
      <c r="E654" t="s">
        <v>336</v>
      </c>
      <c r="F654" t="s">
        <v>2276</v>
      </c>
      <c r="G654" s="6">
        <f t="shared" si="10"/>
        <v>-8.0832793424464311E-3</v>
      </c>
    </row>
    <row r="655" spans="1:7">
      <c r="A655" t="s">
        <v>25</v>
      </c>
      <c r="B655" s="4">
        <v>46174</v>
      </c>
      <c r="C655" s="5">
        <v>101196.72</v>
      </c>
      <c r="D655" s="5">
        <v>123568.16</v>
      </c>
      <c r="E655" t="s">
        <v>336</v>
      </c>
      <c r="F655" t="s">
        <v>2276</v>
      </c>
      <c r="G655" s="6">
        <f t="shared" si="10"/>
        <v>0.22106882515559795</v>
      </c>
    </row>
    <row r="656" spans="1:7">
      <c r="A656" t="s">
        <v>25</v>
      </c>
      <c r="B656" s="4">
        <v>45992</v>
      </c>
      <c r="C656" s="5">
        <v>85043.520000000004</v>
      </c>
      <c r="D656" s="5">
        <v>85508.2</v>
      </c>
      <c r="E656" t="s">
        <v>327</v>
      </c>
      <c r="F656" t="s">
        <v>2275</v>
      </c>
      <c r="G656" s="6">
        <f t="shared" si="10"/>
        <v>5.4640259481262415E-3</v>
      </c>
    </row>
    <row r="657" spans="1:7">
      <c r="A657" t="s">
        <v>25</v>
      </c>
      <c r="B657" s="4">
        <v>45962</v>
      </c>
      <c r="C657" s="5">
        <v>69414.87</v>
      </c>
      <c r="D657" s="5">
        <v>74887.460000000006</v>
      </c>
      <c r="E657" t="s">
        <v>322</v>
      </c>
      <c r="F657" t="s">
        <v>2277</v>
      </c>
      <c r="G657" s="6">
        <f t="shared" si="10"/>
        <v>7.8838871267784716E-2</v>
      </c>
    </row>
    <row r="658" spans="1:7">
      <c r="A658" t="s">
        <v>25</v>
      </c>
      <c r="B658" s="4">
        <v>46113</v>
      </c>
      <c r="C658" s="5">
        <v>70082.02</v>
      </c>
      <c r="D658" s="5">
        <v>71812.14</v>
      </c>
      <c r="E658" t="s">
        <v>322</v>
      </c>
      <c r="F658" t="s">
        <v>2275</v>
      </c>
      <c r="G658" s="6">
        <f t="shared" si="10"/>
        <v>2.4687073802952531E-2</v>
      </c>
    </row>
    <row r="659" spans="1:7">
      <c r="A659" t="s">
        <v>25</v>
      </c>
      <c r="B659" s="4">
        <v>46082</v>
      </c>
      <c r="C659" s="5">
        <v>107655.51</v>
      </c>
      <c r="D659" s="5">
        <v>115483.16</v>
      </c>
      <c r="E659" t="s">
        <v>322</v>
      </c>
      <c r="F659" t="s">
        <v>2277</v>
      </c>
      <c r="G659" s="6">
        <f t="shared" si="10"/>
        <v>7.2710165972926136E-2</v>
      </c>
    </row>
    <row r="660" spans="1:7">
      <c r="A660" t="s">
        <v>16</v>
      </c>
      <c r="B660" s="4">
        <v>45931</v>
      </c>
      <c r="C660" s="5">
        <v>42830.96</v>
      </c>
      <c r="D660" s="5">
        <v>35818.33</v>
      </c>
      <c r="E660" t="s">
        <v>327</v>
      </c>
      <c r="F660" t="s">
        <v>2276</v>
      </c>
      <c r="G660" s="6">
        <f t="shared" si="10"/>
        <v>-0.16372806026294992</v>
      </c>
    </row>
    <row r="661" spans="1:7">
      <c r="A661" t="s">
        <v>16</v>
      </c>
      <c r="B661" s="4">
        <v>46054</v>
      </c>
      <c r="C661" s="5">
        <v>60747.74</v>
      </c>
      <c r="D661" s="5">
        <v>72337.149999999994</v>
      </c>
      <c r="E661" t="s">
        <v>322</v>
      </c>
      <c r="F661" t="s">
        <v>2275</v>
      </c>
      <c r="G661" s="6">
        <f t="shared" si="10"/>
        <v>0.19077927837315423</v>
      </c>
    </row>
    <row r="662" spans="1:7">
      <c r="A662" t="s">
        <v>16</v>
      </c>
      <c r="B662" s="4">
        <v>46174</v>
      </c>
      <c r="C662" s="5">
        <v>63268.36</v>
      </c>
      <c r="D662" s="5">
        <v>68242.740000000005</v>
      </c>
      <c r="E662" t="s">
        <v>327</v>
      </c>
      <c r="F662" t="s">
        <v>2277</v>
      </c>
      <c r="G662" s="6">
        <f t="shared" si="10"/>
        <v>7.8623501541686944E-2</v>
      </c>
    </row>
    <row r="663" spans="1:7">
      <c r="A663" t="s">
        <v>16</v>
      </c>
      <c r="B663" s="4">
        <v>45901</v>
      </c>
      <c r="C663" s="5">
        <v>56404.74</v>
      </c>
      <c r="D663" s="5">
        <v>48966.99</v>
      </c>
      <c r="E663" t="s">
        <v>327</v>
      </c>
      <c r="F663" t="s">
        <v>2276</v>
      </c>
      <c r="G663" s="6">
        <f t="shared" si="10"/>
        <v>-0.1318639178196726</v>
      </c>
    </row>
    <row r="664" spans="1:7">
      <c r="A664" t="s">
        <v>16</v>
      </c>
      <c r="B664" s="4">
        <v>45839</v>
      </c>
      <c r="C664" s="5">
        <v>38974.28</v>
      </c>
      <c r="D664" s="5">
        <v>32476.560000000001</v>
      </c>
      <c r="E664" t="s">
        <v>327</v>
      </c>
      <c r="F664" t="s">
        <v>2278</v>
      </c>
      <c r="G664" s="6">
        <f t="shared" si="10"/>
        <v>-0.16671815361310069</v>
      </c>
    </row>
    <row r="665" spans="1:7">
      <c r="A665" t="s">
        <v>168</v>
      </c>
      <c r="B665" s="4">
        <v>46113</v>
      </c>
      <c r="C665" s="5">
        <v>8219.3799999999992</v>
      </c>
      <c r="D665" s="5">
        <v>6666.56</v>
      </c>
      <c r="E665" t="s">
        <v>327</v>
      </c>
      <c r="F665" t="s">
        <v>2275</v>
      </c>
      <c r="G665" s="6">
        <f t="shared" si="10"/>
        <v>-0.18892179215463928</v>
      </c>
    </row>
    <row r="666" spans="1:7">
      <c r="A666" t="s">
        <v>168</v>
      </c>
      <c r="B666" s="4">
        <v>46082</v>
      </c>
      <c r="C666" s="5">
        <v>12360.9</v>
      </c>
      <c r="D666" s="5">
        <v>14724.96</v>
      </c>
      <c r="E666" t="s">
        <v>322</v>
      </c>
      <c r="F666" t="s">
        <v>2276</v>
      </c>
      <c r="G666" s="6">
        <f t="shared" si="10"/>
        <v>0.19125306409727444</v>
      </c>
    </row>
    <row r="667" spans="1:7">
      <c r="A667" t="s">
        <v>168</v>
      </c>
      <c r="B667" s="4">
        <v>45931</v>
      </c>
      <c r="C667" s="5">
        <v>12987.2</v>
      </c>
      <c r="D667" s="5">
        <v>11622.52</v>
      </c>
      <c r="E667" t="s">
        <v>322</v>
      </c>
      <c r="F667" t="s">
        <v>2278</v>
      </c>
      <c r="G667" s="6">
        <f t="shared" si="10"/>
        <v>-0.10507884686460517</v>
      </c>
    </row>
    <row r="668" spans="1:7">
      <c r="A668" t="s">
        <v>168</v>
      </c>
      <c r="B668" s="4">
        <v>45992</v>
      </c>
      <c r="C668" s="5">
        <v>8168.84</v>
      </c>
      <c r="D668" s="5">
        <v>7163.65</v>
      </c>
      <c r="E668" t="s">
        <v>336</v>
      </c>
      <c r="F668" t="s">
        <v>2277</v>
      </c>
      <c r="G668" s="6">
        <f t="shared" si="10"/>
        <v>-0.12305174296472944</v>
      </c>
    </row>
    <row r="669" spans="1:7">
      <c r="A669" t="s">
        <v>168</v>
      </c>
      <c r="B669" s="4">
        <v>45962</v>
      </c>
      <c r="C669" s="5">
        <v>7459.32</v>
      </c>
      <c r="D669" s="5">
        <v>7261</v>
      </c>
      <c r="E669" t="s">
        <v>327</v>
      </c>
      <c r="F669" t="s">
        <v>2275</v>
      </c>
      <c r="G669" s="6">
        <f t="shared" si="10"/>
        <v>-2.6586873870540439E-2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01"/>
  <sheetViews>
    <sheetView workbookViewId="0"/>
  </sheetViews>
  <sheetFormatPr baseColWidth="10" defaultColWidth="8.83203125" defaultRowHeight="15"/>
  <cols>
    <col min="1" max="1" width="11.6640625" customWidth="1"/>
    <col min="2" max="2" width="9.1640625" customWidth="1"/>
    <col min="3" max="3" width="10.5" customWidth="1"/>
    <col min="4" max="4" width="6.5" customWidth="1"/>
    <col min="5" max="5" width="15.33203125" customWidth="1"/>
    <col min="6" max="6" width="12.83203125" customWidth="1"/>
  </cols>
  <sheetData>
    <row r="1" spans="1:6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s="4">
        <v>45916</v>
      </c>
      <c r="D2">
        <v>37.299999999999997</v>
      </c>
      <c r="E2" t="s">
        <v>8</v>
      </c>
      <c r="F2" t="s">
        <v>9</v>
      </c>
    </row>
    <row r="3" spans="1:6">
      <c r="A3" t="s">
        <v>10</v>
      </c>
      <c r="B3" t="s">
        <v>11</v>
      </c>
      <c r="C3" s="4">
        <v>45944</v>
      </c>
      <c r="D3">
        <v>46.4</v>
      </c>
      <c r="E3" t="s">
        <v>8</v>
      </c>
      <c r="F3" t="s">
        <v>12</v>
      </c>
    </row>
    <row r="4" spans="1:6">
      <c r="A4" t="s">
        <v>13</v>
      </c>
      <c r="B4" t="s">
        <v>14</v>
      </c>
      <c r="C4" s="4">
        <v>46056</v>
      </c>
      <c r="D4">
        <v>44.8</v>
      </c>
      <c r="E4" t="s">
        <v>8</v>
      </c>
      <c r="F4" t="s">
        <v>12</v>
      </c>
    </row>
    <row r="5" spans="1:6">
      <c r="A5" t="s">
        <v>15</v>
      </c>
      <c r="B5" t="s">
        <v>16</v>
      </c>
      <c r="C5" s="4">
        <v>46098</v>
      </c>
      <c r="D5">
        <v>38.9</v>
      </c>
      <c r="E5" t="s">
        <v>8</v>
      </c>
      <c r="F5" t="s">
        <v>9</v>
      </c>
    </row>
    <row r="6" spans="1:6">
      <c r="A6" t="s">
        <v>17</v>
      </c>
      <c r="B6" t="s">
        <v>18</v>
      </c>
      <c r="C6" s="4">
        <v>45846</v>
      </c>
      <c r="D6">
        <v>0.4</v>
      </c>
      <c r="E6" t="s">
        <v>19</v>
      </c>
      <c r="F6" t="s">
        <v>12</v>
      </c>
    </row>
    <row r="7" spans="1:6">
      <c r="A7" t="s">
        <v>20</v>
      </c>
      <c r="B7" t="s">
        <v>21</v>
      </c>
      <c r="C7" s="4">
        <v>45860</v>
      </c>
      <c r="D7">
        <v>37.4</v>
      </c>
      <c r="E7" t="s">
        <v>8</v>
      </c>
      <c r="F7" t="s">
        <v>9</v>
      </c>
    </row>
    <row r="8" spans="1:6">
      <c r="A8" t="s">
        <v>22</v>
      </c>
      <c r="B8" t="s">
        <v>23</v>
      </c>
      <c r="C8" s="4">
        <v>46084</v>
      </c>
      <c r="D8">
        <v>30.6</v>
      </c>
      <c r="E8" t="s">
        <v>19</v>
      </c>
      <c r="F8" t="s">
        <v>9</v>
      </c>
    </row>
    <row r="9" spans="1:6">
      <c r="A9" t="s">
        <v>24</v>
      </c>
      <c r="B9" t="s">
        <v>25</v>
      </c>
      <c r="C9" s="4">
        <v>46063</v>
      </c>
      <c r="D9">
        <v>0.1</v>
      </c>
      <c r="E9" t="s">
        <v>8</v>
      </c>
      <c r="F9" t="s">
        <v>9</v>
      </c>
    </row>
    <row r="10" spans="1:6">
      <c r="A10" t="s">
        <v>26</v>
      </c>
      <c r="B10" t="s">
        <v>27</v>
      </c>
      <c r="C10" s="4">
        <v>46154</v>
      </c>
      <c r="D10">
        <v>23.1</v>
      </c>
      <c r="E10" t="s">
        <v>8</v>
      </c>
      <c r="F10" t="s">
        <v>9</v>
      </c>
    </row>
    <row r="11" spans="1:6">
      <c r="A11" t="s">
        <v>28</v>
      </c>
      <c r="B11" t="s">
        <v>29</v>
      </c>
      <c r="C11" s="4">
        <v>46077</v>
      </c>
      <c r="D11">
        <v>31.2</v>
      </c>
      <c r="E11" t="s">
        <v>30</v>
      </c>
      <c r="F11" t="s">
        <v>9</v>
      </c>
    </row>
    <row r="12" spans="1:6">
      <c r="A12" t="s">
        <v>31</v>
      </c>
      <c r="B12" t="s">
        <v>32</v>
      </c>
      <c r="C12" s="4">
        <v>45846</v>
      </c>
      <c r="D12">
        <v>23.8</v>
      </c>
      <c r="E12" t="s">
        <v>8</v>
      </c>
      <c r="F12" t="s">
        <v>9</v>
      </c>
    </row>
    <row r="13" spans="1:6">
      <c r="A13" t="s">
        <v>33</v>
      </c>
      <c r="B13" t="s">
        <v>34</v>
      </c>
      <c r="C13" s="4">
        <v>45874</v>
      </c>
      <c r="D13">
        <v>0.1</v>
      </c>
      <c r="E13" t="s">
        <v>30</v>
      </c>
      <c r="F13" t="s">
        <v>9</v>
      </c>
    </row>
    <row r="14" spans="1:6">
      <c r="A14" t="s">
        <v>35</v>
      </c>
      <c r="B14" t="s">
        <v>36</v>
      </c>
      <c r="C14" s="4">
        <v>46042</v>
      </c>
      <c r="D14">
        <v>7.3</v>
      </c>
      <c r="E14" t="s">
        <v>19</v>
      </c>
      <c r="F14" t="s">
        <v>9</v>
      </c>
    </row>
    <row r="15" spans="1:6">
      <c r="A15" t="s">
        <v>37</v>
      </c>
      <c r="B15" t="s">
        <v>38</v>
      </c>
      <c r="C15" s="4">
        <v>45874</v>
      </c>
      <c r="D15">
        <v>8.1999999999999993</v>
      </c>
      <c r="E15" t="s">
        <v>30</v>
      </c>
      <c r="F15" t="s">
        <v>9</v>
      </c>
    </row>
    <row r="16" spans="1:6">
      <c r="A16" t="s">
        <v>39</v>
      </c>
      <c r="B16" t="s">
        <v>40</v>
      </c>
      <c r="C16" s="4">
        <v>46098</v>
      </c>
      <c r="D16">
        <v>45.3</v>
      </c>
      <c r="E16" t="s">
        <v>8</v>
      </c>
      <c r="F16" t="s">
        <v>12</v>
      </c>
    </row>
    <row r="17" spans="1:6">
      <c r="A17" t="s">
        <v>41</v>
      </c>
      <c r="B17" t="s">
        <v>32</v>
      </c>
      <c r="C17" s="4">
        <v>46049</v>
      </c>
      <c r="D17">
        <v>23.1</v>
      </c>
      <c r="E17" t="s">
        <v>30</v>
      </c>
      <c r="F17" t="s">
        <v>9</v>
      </c>
    </row>
    <row r="18" spans="1:6">
      <c r="A18" t="s">
        <v>42</v>
      </c>
      <c r="B18" t="s">
        <v>43</v>
      </c>
      <c r="C18" s="4">
        <v>46112</v>
      </c>
      <c r="D18">
        <v>-0.6</v>
      </c>
      <c r="E18" t="s">
        <v>8</v>
      </c>
      <c r="F18" t="s">
        <v>12</v>
      </c>
    </row>
    <row r="19" spans="1:6">
      <c r="A19" t="s">
        <v>44</v>
      </c>
      <c r="B19" t="s">
        <v>45</v>
      </c>
      <c r="C19" s="4">
        <v>45874</v>
      </c>
      <c r="D19">
        <v>15.6</v>
      </c>
      <c r="E19" t="s">
        <v>8</v>
      </c>
      <c r="F19" t="s">
        <v>9</v>
      </c>
    </row>
    <row r="20" spans="1:6">
      <c r="A20" t="s">
        <v>46</v>
      </c>
      <c r="B20" t="s">
        <v>36</v>
      </c>
      <c r="C20" s="4">
        <v>45902</v>
      </c>
      <c r="D20">
        <v>29.5</v>
      </c>
      <c r="E20" t="s">
        <v>8</v>
      </c>
      <c r="F20" t="s">
        <v>9</v>
      </c>
    </row>
    <row r="21" spans="1:6">
      <c r="A21" t="s">
        <v>47</v>
      </c>
      <c r="B21" t="s">
        <v>36</v>
      </c>
      <c r="C21" s="4">
        <v>45930</v>
      </c>
      <c r="D21">
        <v>14.4</v>
      </c>
      <c r="E21" t="s">
        <v>30</v>
      </c>
      <c r="F21" t="s">
        <v>9</v>
      </c>
    </row>
    <row r="22" spans="1:6">
      <c r="A22" t="s">
        <v>48</v>
      </c>
      <c r="B22" t="s">
        <v>49</v>
      </c>
      <c r="C22" s="4">
        <v>46021</v>
      </c>
      <c r="D22">
        <v>30.9</v>
      </c>
      <c r="E22" t="s">
        <v>8</v>
      </c>
      <c r="F22" t="s">
        <v>9</v>
      </c>
    </row>
    <row r="23" spans="1:6">
      <c r="A23" t="s">
        <v>50</v>
      </c>
      <c r="B23" t="s">
        <v>51</v>
      </c>
      <c r="C23" s="4">
        <v>46140</v>
      </c>
      <c r="D23">
        <v>6.8</v>
      </c>
      <c r="E23" t="s">
        <v>8</v>
      </c>
      <c r="F23" t="s">
        <v>9</v>
      </c>
    </row>
    <row r="24" spans="1:6">
      <c r="A24" t="s">
        <v>52</v>
      </c>
      <c r="B24" t="s">
        <v>53</v>
      </c>
      <c r="C24" s="4">
        <v>45916</v>
      </c>
      <c r="D24">
        <v>6.8</v>
      </c>
      <c r="E24" t="s">
        <v>30</v>
      </c>
      <c r="F24" t="s">
        <v>9</v>
      </c>
    </row>
    <row r="25" spans="1:6">
      <c r="A25" t="s">
        <v>54</v>
      </c>
      <c r="B25" t="s">
        <v>16</v>
      </c>
      <c r="C25" s="4">
        <v>45986</v>
      </c>
      <c r="D25">
        <v>46.1</v>
      </c>
      <c r="E25" t="s">
        <v>8</v>
      </c>
      <c r="F25" t="s">
        <v>12</v>
      </c>
    </row>
    <row r="26" spans="1:6">
      <c r="A26" t="s">
        <v>55</v>
      </c>
      <c r="B26" t="s">
        <v>56</v>
      </c>
      <c r="C26" s="4">
        <v>45944</v>
      </c>
      <c r="D26">
        <v>16.100000000000001</v>
      </c>
      <c r="E26" t="s">
        <v>30</v>
      </c>
      <c r="F26" t="s">
        <v>9</v>
      </c>
    </row>
    <row r="27" spans="1:6">
      <c r="A27" t="s">
        <v>24</v>
      </c>
      <c r="B27" t="s">
        <v>57</v>
      </c>
      <c r="C27" s="4">
        <v>45965</v>
      </c>
      <c r="D27">
        <v>37.4</v>
      </c>
      <c r="E27" t="s">
        <v>8</v>
      </c>
      <c r="F27" t="s">
        <v>9</v>
      </c>
    </row>
    <row r="28" spans="1:6">
      <c r="A28" t="s">
        <v>58</v>
      </c>
      <c r="B28" t="s">
        <v>59</v>
      </c>
      <c r="C28" s="4">
        <v>45839</v>
      </c>
      <c r="D28">
        <v>45</v>
      </c>
      <c r="E28" t="s">
        <v>30</v>
      </c>
      <c r="F28" t="s">
        <v>12</v>
      </c>
    </row>
    <row r="29" spans="1:6">
      <c r="A29" t="s">
        <v>60</v>
      </c>
      <c r="B29" t="s">
        <v>61</v>
      </c>
      <c r="C29" s="4">
        <v>45972</v>
      </c>
      <c r="D29">
        <v>0</v>
      </c>
      <c r="E29" t="s">
        <v>8</v>
      </c>
      <c r="F29" t="s">
        <v>12</v>
      </c>
    </row>
    <row r="30" spans="1:6">
      <c r="A30" t="s">
        <v>62</v>
      </c>
      <c r="B30" t="s">
        <v>63</v>
      </c>
      <c r="C30" s="4">
        <v>45881</v>
      </c>
      <c r="D30">
        <v>7.2</v>
      </c>
      <c r="E30" t="s">
        <v>30</v>
      </c>
      <c r="F30" t="s">
        <v>9</v>
      </c>
    </row>
    <row r="31" spans="1:6">
      <c r="A31" t="s">
        <v>64</v>
      </c>
      <c r="B31" t="s">
        <v>21</v>
      </c>
      <c r="C31" s="4">
        <v>46119</v>
      </c>
      <c r="D31">
        <v>37.299999999999997</v>
      </c>
      <c r="E31" t="s">
        <v>8</v>
      </c>
      <c r="F31" t="s">
        <v>9</v>
      </c>
    </row>
    <row r="32" spans="1:6">
      <c r="A32" t="s">
        <v>65</v>
      </c>
      <c r="B32" t="s">
        <v>66</v>
      </c>
      <c r="C32" s="4">
        <v>46133</v>
      </c>
      <c r="D32">
        <v>23.8</v>
      </c>
      <c r="E32" t="s">
        <v>8</v>
      </c>
      <c r="F32" t="s">
        <v>9</v>
      </c>
    </row>
    <row r="33" spans="1:6">
      <c r="A33" t="s">
        <v>47</v>
      </c>
      <c r="B33" t="s">
        <v>67</v>
      </c>
      <c r="C33" s="4">
        <v>45895</v>
      </c>
      <c r="D33">
        <v>8.3000000000000007</v>
      </c>
      <c r="E33" t="s">
        <v>30</v>
      </c>
      <c r="F33" t="s">
        <v>9</v>
      </c>
    </row>
    <row r="34" spans="1:6">
      <c r="A34" t="s">
        <v>68</v>
      </c>
      <c r="B34" t="s">
        <v>69</v>
      </c>
      <c r="C34" s="4">
        <v>46000</v>
      </c>
      <c r="D34">
        <v>23.2</v>
      </c>
      <c r="E34" t="s">
        <v>30</v>
      </c>
      <c r="F34" t="s">
        <v>9</v>
      </c>
    </row>
    <row r="35" spans="1:6">
      <c r="A35" t="s">
        <v>58</v>
      </c>
      <c r="B35" t="s">
        <v>61</v>
      </c>
      <c r="C35" s="4">
        <v>46126</v>
      </c>
      <c r="D35">
        <v>8.1999999999999993</v>
      </c>
      <c r="E35" t="s">
        <v>8</v>
      </c>
      <c r="F35" t="s">
        <v>9</v>
      </c>
    </row>
    <row r="36" spans="1:6">
      <c r="A36" t="s">
        <v>70</v>
      </c>
      <c r="B36" t="s">
        <v>71</v>
      </c>
      <c r="C36" s="4">
        <v>46105</v>
      </c>
      <c r="D36">
        <v>22.1</v>
      </c>
      <c r="E36" t="s">
        <v>30</v>
      </c>
      <c r="F36" t="s">
        <v>9</v>
      </c>
    </row>
    <row r="37" spans="1:6">
      <c r="A37" t="s">
        <v>72</v>
      </c>
      <c r="B37" t="s">
        <v>73</v>
      </c>
      <c r="C37" s="4">
        <v>45846</v>
      </c>
      <c r="D37">
        <v>-0.8</v>
      </c>
      <c r="E37" t="s">
        <v>19</v>
      </c>
      <c r="F37" t="s">
        <v>12</v>
      </c>
    </row>
    <row r="38" spans="1:6">
      <c r="A38" t="s">
        <v>13</v>
      </c>
      <c r="B38" t="s">
        <v>74</v>
      </c>
      <c r="C38" s="4">
        <v>45958</v>
      </c>
      <c r="D38">
        <v>15</v>
      </c>
      <c r="E38" t="s">
        <v>8</v>
      </c>
      <c r="F38" t="s">
        <v>9</v>
      </c>
    </row>
    <row r="39" spans="1:6">
      <c r="A39" t="s">
        <v>75</v>
      </c>
      <c r="B39" t="s">
        <v>76</v>
      </c>
      <c r="C39" s="4">
        <v>46000</v>
      </c>
      <c r="D39">
        <v>30</v>
      </c>
      <c r="E39" t="s">
        <v>19</v>
      </c>
      <c r="F39" t="s">
        <v>12</v>
      </c>
    </row>
    <row r="40" spans="1:6">
      <c r="A40" t="s">
        <v>77</v>
      </c>
      <c r="B40" t="s">
        <v>23</v>
      </c>
      <c r="C40" s="4">
        <v>45867</v>
      </c>
      <c r="D40">
        <v>46.2</v>
      </c>
      <c r="E40" t="s">
        <v>8</v>
      </c>
      <c r="F40" t="s">
        <v>12</v>
      </c>
    </row>
    <row r="41" spans="1:6">
      <c r="A41" t="s">
        <v>78</v>
      </c>
      <c r="B41" t="s">
        <v>56</v>
      </c>
      <c r="C41" s="4">
        <v>45860</v>
      </c>
      <c r="D41">
        <v>29.6</v>
      </c>
      <c r="E41" t="s">
        <v>30</v>
      </c>
      <c r="F41" t="s">
        <v>9</v>
      </c>
    </row>
    <row r="42" spans="1:6">
      <c r="A42" t="s">
        <v>79</v>
      </c>
      <c r="B42" t="s">
        <v>80</v>
      </c>
      <c r="C42" s="4">
        <v>46084</v>
      </c>
      <c r="D42">
        <v>30</v>
      </c>
      <c r="E42" t="s">
        <v>8</v>
      </c>
      <c r="F42" t="s">
        <v>9</v>
      </c>
    </row>
    <row r="43" spans="1:6">
      <c r="A43" t="s">
        <v>81</v>
      </c>
      <c r="B43" t="s">
        <v>43</v>
      </c>
      <c r="C43" s="4">
        <v>46035</v>
      </c>
      <c r="D43">
        <v>46</v>
      </c>
      <c r="E43" t="s">
        <v>8</v>
      </c>
      <c r="F43" t="s">
        <v>12</v>
      </c>
    </row>
    <row r="44" spans="1:6">
      <c r="A44" t="s">
        <v>60</v>
      </c>
      <c r="B44" t="s">
        <v>82</v>
      </c>
      <c r="C44" s="4">
        <v>46098</v>
      </c>
      <c r="D44">
        <v>7.4</v>
      </c>
      <c r="E44" t="s">
        <v>8</v>
      </c>
      <c r="F44" t="s">
        <v>9</v>
      </c>
    </row>
    <row r="45" spans="1:6">
      <c r="A45" t="s">
        <v>83</v>
      </c>
      <c r="B45" t="s">
        <v>84</v>
      </c>
      <c r="C45" s="4">
        <v>46126</v>
      </c>
      <c r="D45">
        <v>7.3</v>
      </c>
      <c r="E45" t="s">
        <v>8</v>
      </c>
      <c r="F45" t="s">
        <v>9</v>
      </c>
    </row>
    <row r="46" spans="1:6">
      <c r="A46" t="s">
        <v>65</v>
      </c>
      <c r="B46" t="s">
        <v>73</v>
      </c>
      <c r="C46" s="4">
        <v>46140</v>
      </c>
      <c r="D46">
        <v>45.9</v>
      </c>
      <c r="E46" t="s">
        <v>8</v>
      </c>
      <c r="F46" t="s">
        <v>12</v>
      </c>
    </row>
    <row r="47" spans="1:6">
      <c r="A47" t="s">
        <v>85</v>
      </c>
      <c r="B47" t="s">
        <v>57</v>
      </c>
      <c r="C47" s="4">
        <v>45944</v>
      </c>
      <c r="D47">
        <v>6.8</v>
      </c>
      <c r="E47" t="s">
        <v>30</v>
      </c>
      <c r="F47" t="s">
        <v>9</v>
      </c>
    </row>
    <row r="48" spans="1:6">
      <c r="A48" t="s">
        <v>86</v>
      </c>
      <c r="B48" t="s">
        <v>87</v>
      </c>
      <c r="C48" s="4">
        <v>46091</v>
      </c>
      <c r="D48">
        <v>0.3</v>
      </c>
      <c r="E48" t="s">
        <v>8</v>
      </c>
      <c r="F48" t="s">
        <v>9</v>
      </c>
    </row>
    <row r="49" spans="1:6">
      <c r="A49" t="s">
        <v>88</v>
      </c>
      <c r="B49" t="s">
        <v>89</v>
      </c>
      <c r="C49" s="4">
        <v>45867</v>
      </c>
      <c r="D49">
        <v>22.7</v>
      </c>
      <c r="E49" t="s">
        <v>30</v>
      </c>
      <c r="F49" t="s">
        <v>9</v>
      </c>
    </row>
    <row r="50" spans="1:6">
      <c r="A50" t="s">
        <v>90</v>
      </c>
      <c r="B50" t="s">
        <v>91</v>
      </c>
      <c r="C50" s="4">
        <v>45965</v>
      </c>
      <c r="D50">
        <v>31.1</v>
      </c>
      <c r="E50" t="s">
        <v>19</v>
      </c>
      <c r="F50" t="s">
        <v>12</v>
      </c>
    </row>
    <row r="51" spans="1:6">
      <c r="A51" t="s">
        <v>92</v>
      </c>
      <c r="B51" t="s">
        <v>16</v>
      </c>
      <c r="C51" s="4">
        <v>45951</v>
      </c>
      <c r="D51">
        <v>30.3</v>
      </c>
      <c r="E51" t="s">
        <v>8</v>
      </c>
      <c r="F51" t="s">
        <v>9</v>
      </c>
    </row>
    <row r="52" spans="1:6">
      <c r="A52" t="s">
        <v>24</v>
      </c>
      <c r="B52" t="s">
        <v>43</v>
      </c>
      <c r="C52" s="4">
        <v>45888</v>
      </c>
      <c r="D52">
        <v>0.6</v>
      </c>
      <c r="E52" t="s">
        <v>8</v>
      </c>
      <c r="F52" t="s">
        <v>9</v>
      </c>
    </row>
    <row r="53" spans="1:6">
      <c r="A53" t="s">
        <v>93</v>
      </c>
      <c r="B53" t="s">
        <v>94</v>
      </c>
      <c r="C53" s="4">
        <v>46021</v>
      </c>
      <c r="D53">
        <v>37.5</v>
      </c>
      <c r="E53" t="s">
        <v>8</v>
      </c>
      <c r="F53" t="s">
        <v>9</v>
      </c>
    </row>
    <row r="54" spans="1:6">
      <c r="A54" t="s">
        <v>95</v>
      </c>
      <c r="B54" t="s">
        <v>96</v>
      </c>
      <c r="C54" s="4">
        <v>45874</v>
      </c>
      <c r="D54">
        <v>29.7</v>
      </c>
      <c r="E54" t="s">
        <v>8</v>
      </c>
      <c r="F54" t="s">
        <v>9</v>
      </c>
    </row>
    <row r="55" spans="1:6">
      <c r="A55" t="s">
        <v>52</v>
      </c>
      <c r="B55" t="s">
        <v>97</v>
      </c>
      <c r="C55" s="4">
        <v>46070</v>
      </c>
      <c r="D55">
        <v>8.1999999999999993</v>
      </c>
      <c r="E55" t="s">
        <v>30</v>
      </c>
      <c r="F55" t="s">
        <v>9</v>
      </c>
    </row>
    <row r="56" spans="1:6">
      <c r="A56" t="s">
        <v>98</v>
      </c>
      <c r="B56" t="s">
        <v>99</v>
      </c>
      <c r="C56" s="4">
        <v>45902</v>
      </c>
      <c r="D56">
        <v>37.1</v>
      </c>
      <c r="E56" t="s">
        <v>30</v>
      </c>
      <c r="F56" t="s">
        <v>9</v>
      </c>
    </row>
    <row r="57" spans="1:6">
      <c r="A57" t="s">
        <v>100</v>
      </c>
      <c r="B57" t="s">
        <v>101</v>
      </c>
      <c r="C57" s="4">
        <v>45860</v>
      </c>
      <c r="D57">
        <v>29.6</v>
      </c>
      <c r="E57" t="s">
        <v>8</v>
      </c>
      <c r="F57" t="s">
        <v>9</v>
      </c>
    </row>
    <row r="58" spans="1:6">
      <c r="A58" t="s">
        <v>102</v>
      </c>
      <c r="B58" t="s">
        <v>103</v>
      </c>
      <c r="C58" s="4">
        <v>45881</v>
      </c>
      <c r="D58">
        <v>14.3</v>
      </c>
      <c r="E58" t="s">
        <v>30</v>
      </c>
      <c r="F58" t="s">
        <v>9</v>
      </c>
    </row>
    <row r="59" spans="1:6">
      <c r="A59" t="s">
        <v>104</v>
      </c>
      <c r="B59" t="s">
        <v>105</v>
      </c>
      <c r="C59" s="4">
        <v>45860</v>
      </c>
      <c r="D59">
        <v>0.7</v>
      </c>
      <c r="E59" t="s">
        <v>8</v>
      </c>
      <c r="F59" t="s">
        <v>9</v>
      </c>
    </row>
    <row r="60" spans="1:6">
      <c r="A60" t="s">
        <v>48</v>
      </c>
      <c r="B60" t="s">
        <v>106</v>
      </c>
      <c r="C60" s="4">
        <v>46056</v>
      </c>
      <c r="D60">
        <v>22.2</v>
      </c>
      <c r="E60" t="s">
        <v>8</v>
      </c>
      <c r="F60" t="s">
        <v>9</v>
      </c>
    </row>
    <row r="61" spans="1:6">
      <c r="A61" t="s">
        <v>88</v>
      </c>
      <c r="B61" t="s">
        <v>101</v>
      </c>
      <c r="C61" s="4">
        <v>45923</v>
      </c>
      <c r="D61">
        <v>6.6</v>
      </c>
      <c r="E61" t="s">
        <v>8</v>
      </c>
      <c r="F61" t="s">
        <v>9</v>
      </c>
    </row>
    <row r="62" spans="1:6">
      <c r="A62" t="s">
        <v>81</v>
      </c>
      <c r="B62" t="s">
        <v>59</v>
      </c>
      <c r="C62" s="4">
        <v>46070</v>
      </c>
      <c r="D62">
        <v>45.3</v>
      </c>
      <c r="E62" t="s">
        <v>8</v>
      </c>
      <c r="F62" t="s">
        <v>12</v>
      </c>
    </row>
    <row r="63" spans="1:6">
      <c r="A63" t="s">
        <v>107</v>
      </c>
      <c r="B63" t="s">
        <v>108</v>
      </c>
      <c r="C63" s="4">
        <v>45951</v>
      </c>
      <c r="D63">
        <v>29.5</v>
      </c>
      <c r="E63" t="s">
        <v>8</v>
      </c>
      <c r="F63" t="s">
        <v>9</v>
      </c>
    </row>
    <row r="64" spans="1:6">
      <c r="A64" t="s">
        <v>44</v>
      </c>
      <c r="B64" t="s">
        <v>11</v>
      </c>
      <c r="C64" s="4">
        <v>45923</v>
      </c>
      <c r="D64">
        <v>46.2</v>
      </c>
      <c r="E64" t="s">
        <v>30</v>
      </c>
      <c r="F64" t="s">
        <v>12</v>
      </c>
    </row>
    <row r="65" spans="1:6">
      <c r="A65" t="s">
        <v>109</v>
      </c>
      <c r="B65" t="s">
        <v>110</v>
      </c>
      <c r="C65" s="4">
        <v>45909</v>
      </c>
      <c r="D65">
        <v>0.6</v>
      </c>
      <c r="E65" t="s">
        <v>19</v>
      </c>
      <c r="F65" t="s">
        <v>9</v>
      </c>
    </row>
    <row r="66" spans="1:6">
      <c r="A66" t="s">
        <v>111</v>
      </c>
      <c r="B66" t="s">
        <v>112</v>
      </c>
      <c r="C66" s="4">
        <v>46014</v>
      </c>
      <c r="D66">
        <v>31</v>
      </c>
      <c r="E66" t="s">
        <v>8</v>
      </c>
      <c r="F66" t="s">
        <v>9</v>
      </c>
    </row>
    <row r="67" spans="1:6">
      <c r="A67" t="s">
        <v>113</v>
      </c>
      <c r="B67" t="s">
        <v>114</v>
      </c>
      <c r="C67" s="4">
        <v>46070</v>
      </c>
      <c r="D67">
        <v>15.9</v>
      </c>
      <c r="E67" t="s">
        <v>30</v>
      </c>
      <c r="F67" t="s">
        <v>9</v>
      </c>
    </row>
    <row r="68" spans="1:6">
      <c r="A68" t="s">
        <v>115</v>
      </c>
      <c r="B68" t="s">
        <v>116</v>
      </c>
      <c r="C68" s="4">
        <v>45853</v>
      </c>
      <c r="D68">
        <v>8.6</v>
      </c>
      <c r="E68" t="s">
        <v>8</v>
      </c>
      <c r="F68" t="s">
        <v>9</v>
      </c>
    </row>
    <row r="69" spans="1:6">
      <c r="A69" t="s">
        <v>117</v>
      </c>
      <c r="B69" t="s">
        <v>118</v>
      </c>
      <c r="C69" s="4">
        <v>45972</v>
      </c>
      <c r="D69">
        <v>23.1</v>
      </c>
      <c r="E69" t="s">
        <v>8</v>
      </c>
      <c r="F69" t="s">
        <v>9</v>
      </c>
    </row>
    <row r="70" spans="1:6">
      <c r="A70" t="s">
        <v>119</v>
      </c>
      <c r="B70" t="s">
        <v>120</v>
      </c>
      <c r="C70" s="4">
        <v>45888</v>
      </c>
      <c r="D70">
        <v>7.5</v>
      </c>
      <c r="E70" t="s">
        <v>8</v>
      </c>
      <c r="F70" t="s">
        <v>9</v>
      </c>
    </row>
    <row r="71" spans="1:6">
      <c r="A71" t="s">
        <v>111</v>
      </c>
      <c r="B71" t="s">
        <v>121</v>
      </c>
      <c r="C71" s="4">
        <v>45951</v>
      </c>
      <c r="D71">
        <v>6.6</v>
      </c>
      <c r="E71" t="s">
        <v>30</v>
      </c>
      <c r="F71" t="s">
        <v>9</v>
      </c>
    </row>
    <row r="72" spans="1:6">
      <c r="A72" t="s">
        <v>122</v>
      </c>
      <c r="B72" t="s">
        <v>123</v>
      </c>
      <c r="C72" s="4">
        <v>46077</v>
      </c>
      <c r="D72">
        <v>0.9</v>
      </c>
      <c r="E72" t="s">
        <v>8</v>
      </c>
      <c r="F72" t="s">
        <v>9</v>
      </c>
    </row>
    <row r="73" spans="1:6">
      <c r="A73" t="s">
        <v>35</v>
      </c>
      <c r="B73" t="s">
        <v>124</v>
      </c>
      <c r="C73" s="4">
        <v>46147</v>
      </c>
      <c r="D73">
        <v>0.4</v>
      </c>
      <c r="E73" t="s">
        <v>30</v>
      </c>
      <c r="F73" t="s">
        <v>9</v>
      </c>
    </row>
    <row r="74" spans="1:6">
      <c r="A74" t="s">
        <v>125</v>
      </c>
      <c r="B74" t="s">
        <v>7</v>
      </c>
      <c r="C74" s="4">
        <v>45979</v>
      </c>
      <c r="D74">
        <v>15.5</v>
      </c>
      <c r="E74" t="s">
        <v>30</v>
      </c>
      <c r="F74" t="s">
        <v>9</v>
      </c>
    </row>
    <row r="75" spans="1:6">
      <c r="A75" t="s">
        <v>126</v>
      </c>
      <c r="B75" t="s">
        <v>127</v>
      </c>
      <c r="C75" s="4">
        <v>45916</v>
      </c>
      <c r="D75">
        <v>7.1</v>
      </c>
      <c r="E75" t="s">
        <v>30</v>
      </c>
      <c r="F75" t="s">
        <v>9</v>
      </c>
    </row>
    <row r="76" spans="1:6">
      <c r="A76" t="s">
        <v>70</v>
      </c>
      <c r="B76" t="s">
        <v>61</v>
      </c>
      <c r="C76" s="4">
        <v>46098</v>
      </c>
      <c r="D76">
        <v>23.1</v>
      </c>
      <c r="E76" t="s">
        <v>30</v>
      </c>
      <c r="F76" t="s">
        <v>9</v>
      </c>
    </row>
    <row r="77" spans="1:6">
      <c r="A77" t="s">
        <v>128</v>
      </c>
      <c r="B77" t="s">
        <v>129</v>
      </c>
      <c r="C77" s="4">
        <v>46014</v>
      </c>
      <c r="D77">
        <v>0.2</v>
      </c>
      <c r="E77" t="s">
        <v>19</v>
      </c>
      <c r="F77" t="s">
        <v>9</v>
      </c>
    </row>
    <row r="78" spans="1:6">
      <c r="A78" t="s">
        <v>42</v>
      </c>
      <c r="B78" t="s">
        <v>114</v>
      </c>
      <c r="C78" s="4">
        <v>45923</v>
      </c>
      <c r="D78">
        <v>30.6</v>
      </c>
      <c r="E78" t="s">
        <v>30</v>
      </c>
      <c r="F78" t="s">
        <v>9</v>
      </c>
    </row>
    <row r="79" spans="1:6">
      <c r="A79" t="s">
        <v>130</v>
      </c>
      <c r="B79" t="s">
        <v>67</v>
      </c>
      <c r="C79" s="4">
        <v>46105</v>
      </c>
      <c r="D79">
        <v>38.5</v>
      </c>
      <c r="E79" t="s">
        <v>8</v>
      </c>
      <c r="F79" t="s">
        <v>9</v>
      </c>
    </row>
    <row r="80" spans="1:6">
      <c r="A80" t="s">
        <v>35</v>
      </c>
      <c r="B80" t="s">
        <v>118</v>
      </c>
      <c r="C80" s="4">
        <v>45902</v>
      </c>
      <c r="D80">
        <v>15.2</v>
      </c>
      <c r="E80" t="s">
        <v>19</v>
      </c>
      <c r="F80" t="s">
        <v>9</v>
      </c>
    </row>
    <row r="81" spans="1:6">
      <c r="A81" t="s">
        <v>109</v>
      </c>
      <c r="B81" t="s">
        <v>131</v>
      </c>
      <c r="C81" s="4">
        <v>45944</v>
      </c>
      <c r="D81">
        <v>15.9</v>
      </c>
      <c r="E81" t="s">
        <v>30</v>
      </c>
      <c r="F81" t="s">
        <v>9</v>
      </c>
    </row>
    <row r="82" spans="1:6">
      <c r="A82" t="s">
        <v>132</v>
      </c>
      <c r="B82" t="s">
        <v>133</v>
      </c>
      <c r="C82" s="4">
        <v>45930</v>
      </c>
      <c r="D82">
        <v>46</v>
      </c>
      <c r="E82" t="s">
        <v>8</v>
      </c>
      <c r="F82" t="s">
        <v>12</v>
      </c>
    </row>
    <row r="83" spans="1:6">
      <c r="A83" t="s">
        <v>134</v>
      </c>
      <c r="B83" t="s">
        <v>108</v>
      </c>
      <c r="C83" s="4">
        <v>45965</v>
      </c>
      <c r="D83">
        <v>38.1</v>
      </c>
      <c r="E83" t="s">
        <v>8</v>
      </c>
      <c r="F83" t="s">
        <v>9</v>
      </c>
    </row>
    <row r="84" spans="1:6">
      <c r="A84" t="s">
        <v>135</v>
      </c>
      <c r="B84" t="s">
        <v>103</v>
      </c>
      <c r="C84" s="4">
        <v>45839</v>
      </c>
      <c r="D84">
        <v>8</v>
      </c>
      <c r="E84" t="s">
        <v>19</v>
      </c>
      <c r="F84" t="s">
        <v>12</v>
      </c>
    </row>
    <row r="85" spans="1:6">
      <c r="A85" t="s">
        <v>136</v>
      </c>
      <c r="B85" t="s">
        <v>69</v>
      </c>
      <c r="C85" s="4">
        <v>46133</v>
      </c>
      <c r="D85">
        <v>14.3</v>
      </c>
      <c r="E85" t="s">
        <v>8</v>
      </c>
      <c r="F85" t="s">
        <v>9</v>
      </c>
    </row>
    <row r="86" spans="1:6">
      <c r="A86" t="s">
        <v>6</v>
      </c>
      <c r="B86" t="s">
        <v>49</v>
      </c>
      <c r="C86" s="4">
        <v>46077</v>
      </c>
      <c r="D86">
        <v>-0.7</v>
      </c>
      <c r="E86" t="s">
        <v>8</v>
      </c>
      <c r="F86" t="s">
        <v>12</v>
      </c>
    </row>
    <row r="87" spans="1:6">
      <c r="A87" t="s">
        <v>137</v>
      </c>
      <c r="B87" t="s">
        <v>138</v>
      </c>
      <c r="C87" s="4">
        <v>45909</v>
      </c>
      <c r="D87">
        <v>45.9</v>
      </c>
      <c r="E87" t="s">
        <v>8</v>
      </c>
      <c r="F87" t="s">
        <v>12</v>
      </c>
    </row>
    <row r="88" spans="1:6">
      <c r="A88" t="s">
        <v>139</v>
      </c>
      <c r="B88" t="s">
        <v>140</v>
      </c>
      <c r="C88" s="4">
        <v>45951</v>
      </c>
      <c r="D88">
        <v>8.3000000000000007</v>
      </c>
      <c r="E88" t="s">
        <v>19</v>
      </c>
      <c r="F88" t="s">
        <v>9</v>
      </c>
    </row>
    <row r="89" spans="1:6">
      <c r="A89" t="s">
        <v>136</v>
      </c>
      <c r="B89" t="s">
        <v>123</v>
      </c>
      <c r="C89" s="4">
        <v>46000</v>
      </c>
      <c r="D89">
        <v>46</v>
      </c>
      <c r="E89" t="s">
        <v>30</v>
      </c>
      <c r="F89" t="s">
        <v>12</v>
      </c>
    </row>
    <row r="90" spans="1:6">
      <c r="A90" t="s">
        <v>139</v>
      </c>
      <c r="B90" t="s">
        <v>108</v>
      </c>
      <c r="C90" s="4">
        <v>46063</v>
      </c>
      <c r="D90">
        <v>0.2</v>
      </c>
      <c r="E90" t="s">
        <v>19</v>
      </c>
      <c r="F90" t="s">
        <v>9</v>
      </c>
    </row>
    <row r="91" spans="1:6">
      <c r="A91" t="s">
        <v>141</v>
      </c>
      <c r="B91" t="s">
        <v>142</v>
      </c>
      <c r="C91" s="4">
        <v>45846</v>
      </c>
      <c r="D91">
        <v>46.3</v>
      </c>
      <c r="E91" t="s">
        <v>8</v>
      </c>
      <c r="F91" t="s">
        <v>12</v>
      </c>
    </row>
    <row r="92" spans="1:6">
      <c r="A92" t="s">
        <v>143</v>
      </c>
      <c r="B92" t="s">
        <v>144</v>
      </c>
      <c r="C92" s="4">
        <v>46133</v>
      </c>
      <c r="D92">
        <v>37.1</v>
      </c>
      <c r="E92" t="s">
        <v>30</v>
      </c>
      <c r="F92" t="s">
        <v>9</v>
      </c>
    </row>
    <row r="93" spans="1:6">
      <c r="A93" t="s">
        <v>72</v>
      </c>
      <c r="B93" t="s">
        <v>76</v>
      </c>
      <c r="C93" s="4">
        <v>46014</v>
      </c>
      <c r="D93">
        <v>22.4</v>
      </c>
      <c r="E93" t="s">
        <v>8</v>
      </c>
      <c r="F93" t="s">
        <v>9</v>
      </c>
    </row>
    <row r="94" spans="1:6">
      <c r="A94" t="s">
        <v>54</v>
      </c>
      <c r="B94" t="s">
        <v>103</v>
      </c>
      <c r="C94" s="4">
        <v>45993</v>
      </c>
      <c r="D94">
        <v>38</v>
      </c>
      <c r="E94" t="s">
        <v>19</v>
      </c>
      <c r="F94" t="s">
        <v>9</v>
      </c>
    </row>
    <row r="95" spans="1:6">
      <c r="A95" t="s">
        <v>145</v>
      </c>
      <c r="B95" t="s">
        <v>25</v>
      </c>
      <c r="C95" s="4">
        <v>46000</v>
      </c>
      <c r="D95">
        <v>31.3</v>
      </c>
      <c r="E95" t="s">
        <v>8</v>
      </c>
      <c r="F95" t="s">
        <v>9</v>
      </c>
    </row>
    <row r="96" spans="1:6">
      <c r="A96" t="s">
        <v>125</v>
      </c>
      <c r="B96" t="s">
        <v>61</v>
      </c>
      <c r="C96" s="4">
        <v>45846</v>
      </c>
      <c r="D96">
        <v>22.9</v>
      </c>
      <c r="E96" t="s">
        <v>8</v>
      </c>
      <c r="F96" t="s">
        <v>9</v>
      </c>
    </row>
    <row r="97" spans="1:6">
      <c r="A97" t="s">
        <v>146</v>
      </c>
      <c r="B97" t="s">
        <v>45</v>
      </c>
      <c r="C97" s="4">
        <v>46133</v>
      </c>
      <c r="D97">
        <v>8.3000000000000007</v>
      </c>
      <c r="E97" t="s">
        <v>8</v>
      </c>
      <c r="F97" t="s">
        <v>9</v>
      </c>
    </row>
    <row r="98" spans="1:6">
      <c r="A98" t="s">
        <v>128</v>
      </c>
      <c r="B98" t="s">
        <v>67</v>
      </c>
      <c r="C98" s="4">
        <v>46091</v>
      </c>
      <c r="D98">
        <v>7.2</v>
      </c>
      <c r="E98" t="s">
        <v>8</v>
      </c>
      <c r="F98" t="s">
        <v>9</v>
      </c>
    </row>
    <row r="99" spans="1:6">
      <c r="A99" t="s">
        <v>132</v>
      </c>
      <c r="B99" t="s">
        <v>147</v>
      </c>
      <c r="C99" s="4">
        <v>45874</v>
      </c>
      <c r="D99">
        <v>15.2</v>
      </c>
      <c r="E99" t="s">
        <v>8</v>
      </c>
      <c r="F99" t="s">
        <v>9</v>
      </c>
    </row>
    <row r="100" spans="1:6">
      <c r="A100" t="s">
        <v>148</v>
      </c>
      <c r="B100" t="s">
        <v>131</v>
      </c>
      <c r="C100" s="4">
        <v>45909</v>
      </c>
      <c r="D100">
        <v>38.299999999999997</v>
      </c>
      <c r="E100" t="s">
        <v>30</v>
      </c>
      <c r="F100" t="s">
        <v>9</v>
      </c>
    </row>
    <row r="101" spans="1:6">
      <c r="A101" t="s">
        <v>149</v>
      </c>
      <c r="B101" t="s">
        <v>18</v>
      </c>
      <c r="C101" s="4">
        <v>46042</v>
      </c>
      <c r="D101">
        <v>46.1</v>
      </c>
      <c r="E101" t="s">
        <v>30</v>
      </c>
      <c r="F101" t="s">
        <v>12</v>
      </c>
    </row>
    <row r="102" spans="1:6">
      <c r="A102" t="s">
        <v>141</v>
      </c>
      <c r="B102" t="s">
        <v>56</v>
      </c>
      <c r="C102" s="4">
        <v>46049</v>
      </c>
      <c r="D102">
        <v>45.9</v>
      </c>
      <c r="E102" t="s">
        <v>8</v>
      </c>
      <c r="F102" t="s">
        <v>12</v>
      </c>
    </row>
    <row r="103" spans="1:6">
      <c r="A103" t="s">
        <v>150</v>
      </c>
      <c r="B103" t="s">
        <v>151</v>
      </c>
      <c r="C103" s="4">
        <v>45937</v>
      </c>
      <c r="D103">
        <v>44.8</v>
      </c>
      <c r="E103" t="s">
        <v>19</v>
      </c>
      <c r="F103" t="s">
        <v>12</v>
      </c>
    </row>
    <row r="104" spans="1:6">
      <c r="A104" t="s">
        <v>152</v>
      </c>
      <c r="B104" t="s">
        <v>120</v>
      </c>
      <c r="C104" s="4">
        <v>46098</v>
      </c>
      <c r="D104">
        <v>29.6</v>
      </c>
      <c r="E104" t="s">
        <v>8</v>
      </c>
      <c r="F104" t="s">
        <v>9</v>
      </c>
    </row>
    <row r="105" spans="1:6">
      <c r="A105" t="s">
        <v>153</v>
      </c>
      <c r="B105" t="s">
        <v>38</v>
      </c>
      <c r="C105" s="4">
        <v>46084</v>
      </c>
      <c r="D105">
        <v>45.1</v>
      </c>
      <c r="E105" t="s">
        <v>8</v>
      </c>
      <c r="F105" t="s">
        <v>12</v>
      </c>
    </row>
    <row r="106" spans="1:6">
      <c r="A106" t="s">
        <v>154</v>
      </c>
      <c r="B106" t="s">
        <v>155</v>
      </c>
      <c r="C106" s="4">
        <v>46147</v>
      </c>
      <c r="D106">
        <v>38.1</v>
      </c>
      <c r="E106" t="s">
        <v>8</v>
      </c>
      <c r="F106" t="s">
        <v>9</v>
      </c>
    </row>
    <row r="107" spans="1:6">
      <c r="A107" t="s">
        <v>156</v>
      </c>
      <c r="B107" t="s">
        <v>151</v>
      </c>
      <c r="C107" s="4">
        <v>45881</v>
      </c>
      <c r="D107">
        <v>0.9</v>
      </c>
      <c r="E107" t="s">
        <v>30</v>
      </c>
      <c r="F107" t="s">
        <v>9</v>
      </c>
    </row>
    <row r="108" spans="1:6">
      <c r="A108" t="s">
        <v>157</v>
      </c>
      <c r="B108" t="s">
        <v>147</v>
      </c>
      <c r="C108" s="4">
        <v>46126</v>
      </c>
      <c r="D108">
        <v>29.8</v>
      </c>
      <c r="E108" t="s">
        <v>30</v>
      </c>
      <c r="F108" t="s">
        <v>9</v>
      </c>
    </row>
    <row r="109" spans="1:6">
      <c r="A109" t="s">
        <v>154</v>
      </c>
      <c r="B109" t="s">
        <v>129</v>
      </c>
      <c r="C109" s="4">
        <v>46021</v>
      </c>
      <c r="D109">
        <v>45.9</v>
      </c>
      <c r="E109" t="s">
        <v>30</v>
      </c>
      <c r="F109" t="s">
        <v>12</v>
      </c>
    </row>
    <row r="110" spans="1:6">
      <c r="A110" t="s">
        <v>158</v>
      </c>
      <c r="B110" t="s">
        <v>159</v>
      </c>
      <c r="C110" s="4">
        <v>46077</v>
      </c>
      <c r="D110">
        <v>15.6</v>
      </c>
      <c r="E110" t="s">
        <v>19</v>
      </c>
      <c r="F110" t="s">
        <v>9</v>
      </c>
    </row>
    <row r="111" spans="1:6">
      <c r="A111" t="s">
        <v>160</v>
      </c>
      <c r="B111" t="s">
        <v>103</v>
      </c>
      <c r="C111" s="4">
        <v>46063</v>
      </c>
      <c r="D111">
        <v>22.1</v>
      </c>
      <c r="E111" t="s">
        <v>8</v>
      </c>
      <c r="F111" t="s">
        <v>9</v>
      </c>
    </row>
    <row r="112" spans="1:6">
      <c r="A112" t="s">
        <v>161</v>
      </c>
      <c r="B112" t="s">
        <v>162</v>
      </c>
      <c r="C112" s="4">
        <v>45986</v>
      </c>
      <c r="D112">
        <v>7.4</v>
      </c>
      <c r="E112" t="s">
        <v>8</v>
      </c>
      <c r="F112" t="s">
        <v>9</v>
      </c>
    </row>
    <row r="113" spans="1:6">
      <c r="A113" t="s">
        <v>95</v>
      </c>
      <c r="B113" t="s">
        <v>163</v>
      </c>
      <c r="C113" s="4">
        <v>45944</v>
      </c>
      <c r="D113">
        <v>0.3</v>
      </c>
      <c r="E113" t="s">
        <v>8</v>
      </c>
      <c r="F113" t="s">
        <v>9</v>
      </c>
    </row>
    <row r="114" spans="1:6">
      <c r="A114" t="s">
        <v>158</v>
      </c>
      <c r="B114" t="s">
        <v>53</v>
      </c>
      <c r="C114" s="4">
        <v>45839</v>
      </c>
      <c r="D114">
        <v>38.9</v>
      </c>
      <c r="E114" t="s">
        <v>19</v>
      </c>
      <c r="F114" t="s">
        <v>9</v>
      </c>
    </row>
    <row r="115" spans="1:6">
      <c r="A115" t="s">
        <v>28</v>
      </c>
      <c r="B115" t="s">
        <v>59</v>
      </c>
      <c r="C115" s="4">
        <v>46014</v>
      </c>
      <c r="D115">
        <v>38.4</v>
      </c>
      <c r="E115" t="s">
        <v>8</v>
      </c>
      <c r="F115" t="s">
        <v>9</v>
      </c>
    </row>
    <row r="116" spans="1:6">
      <c r="A116" t="s">
        <v>46</v>
      </c>
      <c r="B116" t="s">
        <v>164</v>
      </c>
      <c r="C116" s="4">
        <v>46028</v>
      </c>
      <c r="D116">
        <v>16.2</v>
      </c>
      <c r="E116" t="s">
        <v>8</v>
      </c>
      <c r="F116" t="s">
        <v>9</v>
      </c>
    </row>
    <row r="117" spans="1:6">
      <c r="A117" t="s">
        <v>165</v>
      </c>
      <c r="B117" t="s">
        <v>124</v>
      </c>
      <c r="C117" s="4">
        <v>46070</v>
      </c>
      <c r="D117">
        <v>30.6</v>
      </c>
      <c r="E117" t="s">
        <v>8</v>
      </c>
      <c r="F117" t="s">
        <v>9</v>
      </c>
    </row>
    <row r="118" spans="1:6">
      <c r="A118" t="s">
        <v>166</v>
      </c>
      <c r="B118" t="s">
        <v>89</v>
      </c>
      <c r="C118" s="4">
        <v>45867</v>
      </c>
      <c r="D118">
        <v>7.2</v>
      </c>
      <c r="E118" t="s">
        <v>8</v>
      </c>
      <c r="F118" t="s">
        <v>9</v>
      </c>
    </row>
    <row r="119" spans="1:6">
      <c r="A119" t="s">
        <v>167</v>
      </c>
      <c r="B119" t="s">
        <v>168</v>
      </c>
      <c r="C119" s="4">
        <v>45944</v>
      </c>
      <c r="D119">
        <v>23.1</v>
      </c>
      <c r="E119" t="s">
        <v>19</v>
      </c>
      <c r="F119" t="s">
        <v>9</v>
      </c>
    </row>
    <row r="120" spans="1:6">
      <c r="A120" t="s">
        <v>113</v>
      </c>
      <c r="B120" t="s">
        <v>73</v>
      </c>
      <c r="C120" s="4">
        <v>45930</v>
      </c>
      <c r="D120">
        <v>45.4</v>
      </c>
      <c r="E120" t="s">
        <v>8</v>
      </c>
      <c r="F120" t="s">
        <v>12</v>
      </c>
    </row>
    <row r="121" spans="1:6">
      <c r="A121" t="s">
        <v>169</v>
      </c>
      <c r="B121" t="s">
        <v>170</v>
      </c>
      <c r="C121" s="4">
        <v>46021</v>
      </c>
      <c r="D121">
        <v>7.3</v>
      </c>
      <c r="E121" t="s">
        <v>19</v>
      </c>
      <c r="F121" t="s">
        <v>12</v>
      </c>
    </row>
    <row r="122" spans="1:6">
      <c r="A122" t="s">
        <v>47</v>
      </c>
      <c r="B122" t="s">
        <v>171</v>
      </c>
      <c r="C122" s="4">
        <v>46084</v>
      </c>
      <c r="D122">
        <v>37.200000000000003</v>
      </c>
      <c r="E122" t="s">
        <v>8</v>
      </c>
      <c r="F122" t="s">
        <v>9</v>
      </c>
    </row>
    <row r="123" spans="1:6">
      <c r="A123" t="s">
        <v>39</v>
      </c>
      <c r="B123" t="s">
        <v>116</v>
      </c>
      <c r="C123" s="4">
        <v>45909</v>
      </c>
      <c r="D123">
        <v>23.6</v>
      </c>
      <c r="E123" t="s">
        <v>8</v>
      </c>
      <c r="F123" t="s">
        <v>9</v>
      </c>
    </row>
    <row r="124" spans="1:6">
      <c r="A124" t="s">
        <v>125</v>
      </c>
      <c r="B124" t="s">
        <v>87</v>
      </c>
      <c r="C124" s="4">
        <v>45902</v>
      </c>
      <c r="D124">
        <v>22</v>
      </c>
      <c r="E124" t="s">
        <v>8</v>
      </c>
      <c r="F124" t="s">
        <v>9</v>
      </c>
    </row>
    <row r="125" spans="1:6">
      <c r="A125" t="s">
        <v>172</v>
      </c>
      <c r="B125" t="s">
        <v>173</v>
      </c>
      <c r="C125" s="4">
        <v>45853</v>
      </c>
      <c r="D125">
        <v>-0.6</v>
      </c>
      <c r="E125" t="s">
        <v>8</v>
      </c>
      <c r="F125" t="s">
        <v>12</v>
      </c>
    </row>
    <row r="126" spans="1:6">
      <c r="A126" t="s">
        <v>77</v>
      </c>
      <c r="B126" t="s">
        <v>127</v>
      </c>
      <c r="C126" s="4">
        <v>46091</v>
      </c>
      <c r="D126">
        <v>30.2</v>
      </c>
      <c r="E126" t="s">
        <v>8</v>
      </c>
      <c r="F126" t="s">
        <v>9</v>
      </c>
    </row>
    <row r="127" spans="1:6">
      <c r="A127" t="s">
        <v>174</v>
      </c>
      <c r="B127" t="s">
        <v>155</v>
      </c>
      <c r="C127" s="4">
        <v>45867</v>
      </c>
      <c r="D127">
        <v>0</v>
      </c>
      <c r="E127" t="s">
        <v>30</v>
      </c>
      <c r="F127" t="s">
        <v>12</v>
      </c>
    </row>
    <row r="128" spans="1:6">
      <c r="A128" t="s">
        <v>175</v>
      </c>
      <c r="B128" t="s">
        <v>59</v>
      </c>
      <c r="C128" s="4">
        <v>46091</v>
      </c>
      <c r="D128">
        <v>0.1</v>
      </c>
      <c r="E128" t="s">
        <v>8</v>
      </c>
      <c r="F128" t="s">
        <v>9</v>
      </c>
    </row>
    <row r="129" spans="1:6">
      <c r="A129" t="s">
        <v>176</v>
      </c>
      <c r="B129" t="s">
        <v>14</v>
      </c>
      <c r="C129" s="4">
        <v>45839</v>
      </c>
      <c r="D129">
        <v>-0.2</v>
      </c>
      <c r="E129" t="s">
        <v>30</v>
      </c>
      <c r="F129" t="s">
        <v>12</v>
      </c>
    </row>
    <row r="130" spans="1:6">
      <c r="A130" t="s">
        <v>50</v>
      </c>
      <c r="B130" t="s">
        <v>118</v>
      </c>
      <c r="C130" s="4">
        <v>45958</v>
      </c>
      <c r="D130">
        <v>7.5</v>
      </c>
      <c r="E130" t="s">
        <v>8</v>
      </c>
      <c r="F130" t="s">
        <v>9</v>
      </c>
    </row>
    <row r="131" spans="1:6">
      <c r="A131" t="s">
        <v>177</v>
      </c>
      <c r="B131" t="s">
        <v>127</v>
      </c>
      <c r="C131" s="4">
        <v>45937</v>
      </c>
      <c r="D131">
        <v>-0.3</v>
      </c>
      <c r="E131" t="s">
        <v>8</v>
      </c>
      <c r="F131" t="s">
        <v>12</v>
      </c>
    </row>
    <row r="132" spans="1:6">
      <c r="A132" t="s">
        <v>178</v>
      </c>
      <c r="B132" t="s">
        <v>140</v>
      </c>
      <c r="C132" s="4">
        <v>46007</v>
      </c>
      <c r="D132">
        <v>22.9</v>
      </c>
      <c r="E132" t="s">
        <v>30</v>
      </c>
      <c r="F132" t="s">
        <v>9</v>
      </c>
    </row>
    <row r="133" spans="1:6">
      <c r="A133" t="s">
        <v>79</v>
      </c>
      <c r="B133" t="s">
        <v>89</v>
      </c>
      <c r="C133" s="4">
        <v>45944</v>
      </c>
      <c r="D133">
        <v>46.6</v>
      </c>
      <c r="E133" t="s">
        <v>8</v>
      </c>
      <c r="F133" t="s">
        <v>12</v>
      </c>
    </row>
    <row r="134" spans="1:6">
      <c r="A134" t="s">
        <v>179</v>
      </c>
      <c r="B134" t="s">
        <v>180</v>
      </c>
      <c r="C134" s="4">
        <v>46035</v>
      </c>
      <c r="D134">
        <v>23.7</v>
      </c>
      <c r="E134" t="s">
        <v>8</v>
      </c>
      <c r="F134" t="s">
        <v>9</v>
      </c>
    </row>
    <row r="135" spans="1:6">
      <c r="A135" t="s">
        <v>181</v>
      </c>
      <c r="B135" t="s">
        <v>27</v>
      </c>
      <c r="C135" s="4">
        <v>45874</v>
      </c>
      <c r="D135">
        <v>22.5</v>
      </c>
      <c r="E135" t="s">
        <v>8</v>
      </c>
      <c r="F135" t="s">
        <v>9</v>
      </c>
    </row>
    <row r="136" spans="1:6">
      <c r="A136" t="s">
        <v>182</v>
      </c>
      <c r="B136" t="s">
        <v>183</v>
      </c>
      <c r="C136" s="4">
        <v>46133</v>
      </c>
      <c r="D136">
        <v>6.8</v>
      </c>
      <c r="E136" t="s">
        <v>30</v>
      </c>
      <c r="F136" t="s">
        <v>9</v>
      </c>
    </row>
    <row r="137" spans="1:6">
      <c r="A137" t="s">
        <v>184</v>
      </c>
      <c r="B137" t="s">
        <v>185</v>
      </c>
      <c r="C137" s="4">
        <v>45916</v>
      </c>
      <c r="D137">
        <v>8.3000000000000007</v>
      </c>
      <c r="E137" t="s">
        <v>30</v>
      </c>
      <c r="F137" t="s">
        <v>9</v>
      </c>
    </row>
    <row r="138" spans="1:6">
      <c r="A138" t="s">
        <v>48</v>
      </c>
      <c r="B138" t="s">
        <v>186</v>
      </c>
      <c r="C138" s="4">
        <v>46147</v>
      </c>
      <c r="D138">
        <v>31.2</v>
      </c>
      <c r="E138" t="s">
        <v>8</v>
      </c>
      <c r="F138" t="s">
        <v>9</v>
      </c>
    </row>
    <row r="139" spans="1:6">
      <c r="A139" t="s">
        <v>187</v>
      </c>
      <c r="B139" t="s">
        <v>188</v>
      </c>
      <c r="C139" s="4">
        <v>46049</v>
      </c>
      <c r="D139">
        <v>7.4</v>
      </c>
      <c r="E139" t="s">
        <v>30</v>
      </c>
      <c r="F139" t="s">
        <v>9</v>
      </c>
    </row>
    <row r="140" spans="1:6">
      <c r="A140" t="s">
        <v>189</v>
      </c>
      <c r="B140" t="s">
        <v>190</v>
      </c>
      <c r="C140" s="4">
        <v>46105</v>
      </c>
      <c r="D140">
        <v>38.5</v>
      </c>
      <c r="E140" t="s">
        <v>30</v>
      </c>
      <c r="F140" t="s">
        <v>9</v>
      </c>
    </row>
    <row r="141" spans="1:6">
      <c r="A141" t="s">
        <v>191</v>
      </c>
      <c r="B141" t="s">
        <v>192</v>
      </c>
      <c r="C141" s="4">
        <v>46021</v>
      </c>
      <c r="D141">
        <v>22.3</v>
      </c>
      <c r="E141" t="s">
        <v>19</v>
      </c>
      <c r="F141" t="s">
        <v>9</v>
      </c>
    </row>
    <row r="142" spans="1:6">
      <c r="A142" t="s">
        <v>130</v>
      </c>
      <c r="B142" t="s">
        <v>193</v>
      </c>
      <c r="C142" s="4">
        <v>46098</v>
      </c>
      <c r="D142">
        <v>22.5</v>
      </c>
      <c r="E142" t="s">
        <v>30</v>
      </c>
      <c r="F142" t="s">
        <v>9</v>
      </c>
    </row>
    <row r="143" spans="1:6">
      <c r="A143" t="s">
        <v>35</v>
      </c>
      <c r="B143" t="s">
        <v>194</v>
      </c>
      <c r="C143" s="4">
        <v>45839</v>
      </c>
      <c r="D143">
        <v>6.6</v>
      </c>
      <c r="E143" t="s">
        <v>30</v>
      </c>
      <c r="F143" t="s">
        <v>9</v>
      </c>
    </row>
    <row r="144" spans="1:6">
      <c r="A144" t="s">
        <v>195</v>
      </c>
      <c r="B144" t="s">
        <v>196</v>
      </c>
      <c r="C144" s="4">
        <v>45895</v>
      </c>
      <c r="D144">
        <v>22.9</v>
      </c>
      <c r="E144" t="s">
        <v>30</v>
      </c>
      <c r="F144" t="s">
        <v>9</v>
      </c>
    </row>
    <row r="145" spans="1:6">
      <c r="A145" t="s">
        <v>93</v>
      </c>
      <c r="B145" t="s">
        <v>197</v>
      </c>
      <c r="C145" s="4">
        <v>45965</v>
      </c>
      <c r="D145">
        <v>31.4</v>
      </c>
      <c r="E145" t="s">
        <v>30</v>
      </c>
      <c r="F145" t="s">
        <v>9</v>
      </c>
    </row>
    <row r="146" spans="1:6">
      <c r="A146" t="s">
        <v>198</v>
      </c>
      <c r="B146" t="s">
        <v>127</v>
      </c>
      <c r="C146" s="4">
        <v>46084</v>
      </c>
      <c r="D146">
        <v>37.9</v>
      </c>
      <c r="E146" t="s">
        <v>8</v>
      </c>
      <c r="F146" t="s">
        <v>9</v>
      </c>
    </row>
    <row r="147" spans="1:6">
      <c r="A147" t="s">
        <v>179</v>
      </c>
      <c r="B147" t="s">
        <v>171</v>
      </c>
      <c r="C147" s="4">
        <v>46028</v>
      </c>
      <c r="D147">
        <v>22.1</v>
      </c>
      <c r="E147" t="s">
        <v>30</v>
      </c>
      <c r="F147" t="s">
        <v>9</v>
      </c>
    </row>
    <row r="148" spans="1:6">
      <c r="A148" t="s">
        <v>98</v>
      </c>
      <c r="B148" t="s">
        <v>199</v>
      </c>
      <c r="C148" s="4">
        <v>46028</v>
      </c>
      <c r="D148">
        <v>-0.3</v>
      </c>
      <c r="E148" t="s">
        <v>30</v>
      </c>
      <c r="F148" t="s">
        <v>12</v>
      </c>
    </row>
    <row r="149" spans="1:6">
      <c r="A149" t="s">
        <v>200</v>
      </c>
      <c r="B149" t="s">
        <v>59</v>
      </c>
      <c r="C149" s="4">
        <v>45846</v>
      </c>
      <c r="D149">
        <v>37.9</v>
      </c>
      <c r="E149" t="s">
        <v>19</v>
      </c>
      <c r="F149" t="s">
        <v>9</v>
      </c>
    </row>
    <row r="150" spans="1:6">
      <c r="A150" t="s">
        <v>201</v>
      </c>
      <c r="B150" t="s">
        <v>202</v>
      </c>
      <c r="C150" s="4">
        <v>46063</v>
      </c>
      <c r="D150">
        <v>0.2</v>
      </c>
      <c r="E150" t="s">
        <v>8</v>
      </c>
      <c r="F150" t="s">
        <v>9</v>
      </c>
    </row>
    <row r="151" spans="1:6">
      <c r="A151" t="s">
        <v>203</v>
      </c>
      <c r="B151" t="s">
        <v>204</v>
      </c>
      <c r="C151" s="4">
        <v>46000</v>
      </c>
      <c r="D151">
        <v>23.4</v>
      </c>
      <c r="E151" t="s">
        <v>19</v>
      </c>
      <c r="F151" t="s">
        <v>9</v>
      </c>
    </row>
    <row r="152" spans="1:6">
      <c r="A152" t="s">
        <v>189</v>
      </c>
      <c r="B152" t="s">
        <v>133</v>
      </c>
      <c r="C152" s="4">
        <v>46021</v>
      </c>
      <c r="D152">
        <v>23.2</v>
      </c>
      <c r="E152" t="s">
        <v>8</v>
      </c>
      <c r="F152" t="s">
        <v>9</v>
      </c>
    </row>
    <row r="153" spans="1:6">
      <c r="A153" t="s">
        <v>205</v>
      </c>
      <c r="B153" t="s">
        <v>140</v>
      </c>
      <c r="C153" s="4">
        <v>45986</v>
      </c>
      <c r="D153">
        <v>38.200000000000003</v>
      </c>
      <c r="E153" t="s">
        <v>8</v>
      </c>
      <c r="F153" t="s">
        <v>9</v>
      </c>
    </row>
    <row r="154" spans="1:6">
      <c r="A154" t="s">
        <v>72</v>
      </c>
      <c r="B154" t="s">
        <v>97</v>
      </c>
      <c r="C154" s="4">
        <v>46147</v>
      </c>
      <c r="D154">
        <v>45.5</v>
      </c>
      <c r="E154" t="s">
        <v>19</v>
      </c>
      <c r="F154" t="s">
        <v>12</v>
      </c>
    </row>
    <row r="155" spans="1:6">
      <c r="A155" t="s">
        <v>206</v>
      </c>
      <c r="B155" t="s">
        <v>63</v>
      </c>
      <c r="C155" s="4">
        <v>45902</v>
      </c>
      <c r="D155">
        <v>22.2</v>
      </c>
      <c r="E155" t="s">
        <v>30</v>
      </c>
      <c r="F155" t="s">
        <v>9</v>
      </c>
    </row>
    <row r="156" spans="1:6">
      <c r="A156" t="s">
        <v>207</v>
      </c>
      <c r="B156" t="s">
        <v>208</v>
      </c>
      <c r="C156" s="4">
        <v>46049</v>
      </c>
      <c r="D156">
        <v>45.9</v>
      </c>
      <c r="E156" t="s">
        <v>8</v>
      </c>
      <c r="F156" t="s">
        <v>12</v>
      </c>
    </row>
    <row r="157" spans="1:6">
      <c r="A157" t="s">
        <v>209</v>
      </c>
      <c r="B157" t="s">
        <v>96</v>
      </c>
      <c r="C157" s="4">
        <v>45979</v>
      </c>
      <c r="D157">
        <v>37.1</v>
      </c>
      <c r="E157" t="s">
        <v>8</v>
      </c>
      <c r="F157" t="s">
        <v>9</v>
      </c>
    </row>
    <row r="158" spans="1:6">
      <c r="A158" t="s">
        <v>210</v>
      </c>
      <c r="B158" t="s">
        <v>63</v>
      </c>
      <c r="C158" s="4">
        <v>45958</v>
      </c>
      <c r="D158">
        <v>46.6</v>
      </c>
      <c r="E158" t="s">
        <v>8</v>
      </c>
      <c r="F158" t="s">
        <v>12</v>
      </c>
    </row>
    <row r="159" spans="1:6">
      <c r="A159" t="s">
        <v>145</v>
      </c>
      <c r="B159" t="s">
        <v>211</v>
      </c>
      <c r="C159" s="4">
        <v>45951</v>
      </c>
      <c r="D159">
        <v>38.6</v>
      </c>
      <c r="E159" t="s">
        <v>30</v>
      </c>
      <c r="F159" t="s">
        <v>9</v>
      </c>
    </row>
    <row r="160" spans="1:6">
      <c r="A160" t="s">
        <v>189</v>
      </c>
      <c r="B160" t="s">
        <v>7</v>
      </c>
      <c r="C160" s="4">
        <v>46077</v>
      </c>
      <c r="D160">
        <v>6.8</v>
      </c>
      <c r="E160" t="s">
        <v>30</v>
      </c>
      <c r="F160" t="s">
        <v>9</v>
      </c>
    </row>
    <row r="161" spans="1:6">
      <c r="A161" t="s">
        <v>209</v>
      </c>
      <c r="B161" t="s">
        <v>212</v>
      </c>
      <c r="C161" s="4">
        <v>46154</v>
      </c>
      <c r="D161">
        <v>31.4</v>
      </c>
      <c r="E161" t="s">
        <v>8</v>
      </c>
      <c r="F161" t="s">
        <v>9</v>
      </c>
    </row>
    <row r="162" spans="1:6">
      <c r="A162" t="s">
        <v>213</v>
      </c>
      <c r="B162" t="s">
        <v>63</v>
      </c>
      <c r="C162" s="4">
        <v>46091</v>
      </c>
      <c r="D162">
        <v>38.799999999999997</v>
      </c>
      <c r="E162" t="s">
        <v>8</v>
      </c>
      <c r="F162" t="s">
        <v>9</v>
      </c>
    </row>
    <row r="163" spans="1:6">
      <c r="A163" t="s">
        <v>214</v>
      </c>
      <c r="B163" t="s">
        <v>56</v>
      </c>
      <c r="C163" s="4">
        <v>45958</v>
      </c>
      <c r="D163">
        <v>29.7</v>
      </c>
      <c r="E163" t="s">
        <v>30</v>
      </c>
      <c r="F163" t="s">
        <v>9</v>
      </c>
    </row>
    <row r="164" spans="1:6">
      <c r="A164" t="s">
        <v>166</v>
      </c>
      <c r="B164" t="s">
        <v>204</v>
      </c>
      <c r="C164" s="4">
        <v>45909</v>
      </c>
      <c r="D164">
        <v>46.2</v>
      </c>
      <c r="E164" t="s">
        <v>8</v>
      </c>
      <c r="F164" t="s">
        <v>12</v>
      </c>
    </row>
    <row r="165" spans="1:6">
      <c r="A165" t="s">
        <v>78</v>
      </c>
      <c r="B165" t="s">
        <v>215</v>
      </c>
      <c r="C165" s="4">
        <v>45909</v>
      </c>
      <c r="D165">
        <v>7</v>
      </c>
      <c r="E165" t="s">
        <v>8</v>
      </c>
      <c r="F165" t="s">
        <v>9</v>
      </c>
    </row>
    <row r="166" spans="1:6">
      <c r="A166" t="s">
        <v>216</v>
      </c>
      <c r="B166" t="s">
        <v>217</v>
      </c>
      <c r="C166" s="4">
        <v>45937</v>
      </c>
      <c r="D166">
        <v>30.1</v>
      </c>
      <c r="E166" t="s">
        <v>30</v>
      </c>
      <c r="F166" t="s">
        <v>9</v>
      </c>
    </row>
    <row r="167" spans="1:6">
      <c r="A167" t="s">
        <v>203</v>
      </c>
      <c r="B167" t="s">
        <v>82</v>
      </c>
      <c r="C167" s="4">
        <v>46077</v>
      </c>
      <c r="D167">
        <v>7.5</v>
      </c>
      <c r="E167" t="s">
        <v>8</v>
      </c>
      <c r="F167" t="s">
        <v>9</v>
      </c>
    </row>
    <row r="168" spans="1:6">
      <c r="A168" t="s">
        <v>218</v>
      </c>
      <c r="B168" t="s">
        <v>219</v>
      </c>
      <c r="C168" s="4">
        <v>46000</v>
      </c>
      <c r="D168">
        <v>23.7</v>
      </c>
      <c r="E168" t="s">
        <v>8</v>
      </c>
      <c r="F168" t="s">
        <v>9</v>
      </c>
    </row>
    <row r="169" spans="1:6">
      <c r="A169" t="s">
        <v>13</v>
      </c>
      <c r="B169" t="s">
        <v>121</v>
      </c>
      <c r="C169" s="4">
        <v>46133</v>
      </c>
      <c r="D169">
        <v>38.4</v>
      </c>
      <c r="E169" t="s">
        <v>8</v>
      </c>
      <c r="F169" t="s">
        <v>9</v>
      </c>
    </row>
    <row r="170" spans="1:6">
      <c r="A170" t="s">
        <v>220</v>
      </c>
      <c r="B170" t="s">
        <v>164</v>
      </c>
      <c r="C170" s="4">
        <v>45951</v>
      </c>
      <c r="D170">
        <v>23.4</v>
      </c>
      <c r="E170" t="s">
        <v>19</v>
      </c>
      <c r="F170" t="s">
        <v>12</v>
      </c>
    </row>
    <row r="171" spans="1:6">
      <c r="A171" t="s">
        <v>221</v>
      </c>
      <c r="B171" t="s">
        <v>185</v>
      </c>
      <c r="C171" s="4">
        <v>46028</v>
      </c>
      <c r="D171">
        <v>22.4</v>
      </c>
      <c r="E171" t="s">
        <v>8</v>
      </c>
      <c r="F171" t="s">
        <v>9</v>
      </c>
    </row>
    <row r="172" spans="1:6">
      <c r="A172" t="s">
        <v>222</v>
      </c>
      <c r="B172" t="s">
        <v>223</v>
      </c>
      <c r="C172" s="4">
        <v>45986</v>
      </c>
      <c r="D172">
        <v>44.9</v>
      </c>
      <c r="E172" t="s">
        <v>8</v>
      </c>
      <c r="F172" t="s">
        <v>12</v>
      </c>
    </row>
    <row r="173" spans="1:6">
      <c r="A173" t="s">
        <v>52</v>
      </c>
      <c r="B173" t="s">
        <v>36</v>
      </c>
      <c r="C173" s="4">
        <v>45895</v>
      </c>
      <c r="D173">
        <v>14.5</v>
      </c>
      <c r="E173" t="s">
        <v>30</v>
      </c>
      <c r="F173" t="s">
        <v>9</v>
      </c>
    </row>
    <row r="174" spans="1:6">
      <c r="A174" t="s">
        <v>224</v>
      </c>
      <c r="B174" t="s">
        <v>225</v>
      </c>
      <c r="C174" s="4">
        <v>46077</v>
      </c>
      <c r="D174">
        <v>38.5</v>
      </c>
      <c r="E174" t="s">
        <v>30</v>
      </c>
      <c r="F174" t="s">
        <v>9</v>
      </c>
    </row>
    <row r="175" spans="1:6">
      <c r="A175" t="s">
        <v>54</v>
      </c>
      <c r="B175" t="s">
        <v>226</v>
      </c>
      <c r="C175" s="4">
        <v>46112</v>
      </c>
      <c r="D175">
        <v>46.2</v>
      </c>
      <c r="E175" t="s">
        <v>8</v>
      </c>
      <c r="F175" t="s">
        <v>12</v>
      </c>
    </row>
    <row r="176" spans="1:6">
      <c r="A176" t="s">
        <v>128</v>
      </c>
      <c r="B176" t="s">
        <v>38</v>
      </c>
      <c r="C176" s="4">
        <v>46014</v>
      </c>
      <c r="D176">
        <v>-0.6</v>
      </c>
      <c r="E176" t="s">
        <v>30</v>
      </c>
      <c r="F176" t="s">
        <v>12</v>
      </c>
    </row>
    <row r="177" spans="1:6">
      <c r="A177" t="s">
        <v>41</v>
      </c>
      <c r="B177" t="s">
        <v>34</v>
      </c>
      <c r="C177" s="4">
        <v>46140</v>
      </c>
      <c r="D177">
        <v>44.9</v>
      </c>
      <c r="E177" t="s">
        <v>8</v>
      </c>
      <c r="F177" t="s">
        <v>12</v>
      </c>
    </row>
    <row r="178" spans="1:6">
      <c r="A178" t="s">
        <v>143</v>
      </c>
      <c r="B178" t="s">
        <v>227</v>
      </c>
      <c r="C178" s="4">
        <v>46084</v>
      </c>
      <c r="D178">
        <v>37.799999999999997</v>
      </c>
      <c r="E178" t="s">
        <v>8</v>
      </c>
      <c r="F178" t="s">
        <v>9</v>
      </c>
    </row>
    <row r="179" spans="1:6">
      <c r="A179" t="s">
        <v>145</v>
      </c>
      <c r="B179" t="s">
        <v>155</v>
      </c>
      <c r="C179" s="4">
        <v>46049</v>
      </c>
      <c r="D179">
        <v>23.2</v>
      </c>
      <c r="E179" t="s">
        <v>30</v>
      </c>
      <c r="F179" t="s">
        <v>9</v>
      </c>
    </row>
    <row r="180" spans="1:6">
      <c r="A180" t="s">
        <v>169</v>
      </c>
      <c r="B180" t="s">
        <v>183</v>
      </c>
      <c r="C180" s="4">
        <v>45867</v>
      </c>
      <c r="D180">
        <v>38.6</v>
      </c>
      <c r="E180" t="s">
        <v>19</v>
      </c>
      <c r="F180" t="s">
        <v>9</v>
      </c>
    </row>
    <row r="181" spans="1:6">
      <c r="A181" t="s">
        <v>187</v>
      </c>
      <c r="B181" t="s">
        <v>11</v>
      </c>
      <c r="C181" s="4">
        <v>46154</v>
      </c>
      <c r="D181">
        <v>45</v>
      </c>
      <c r="E181" t="s">
        <v>8</v>
      </c>
      <c r="F181" t="s">
        <v>12</v>
      </c>
    </row>
    <row r="182" spans="1:6">
      <c r="A182" t="s">
        <v>187</v>
      </c>
      <c r="B182" t="s">
        <v>171</v>
      </c>
      <c r="C182" s="4">
        <v>46077</v>
      </c>
      <c r="D182">
        <v>38.700000000000003</v>
      </c>
      <c r="E182" t="s">
        <v>8</v>
      </c>
      <c r="F182" t="s">
        <v>9</v>
      </c>
    </row>
    <row r="183" spans="1:6">
      <c r="A183" t="s">
        <v>203</v>
      </c>
      <c r="B183" t="s">
        <v>11</v>
      </c>
      <c r="C183" s="4">
        <v>45937</v>
      </c>
      <c r="D183">
        <v>21.8</v>
      </c>
      <c r="E183" t="s">
        <v>19</v>
      </c>
      <c r="F183" t="s">
        <v>9</v>
      </c>
    </row>
    <row r="184" spans="1:6">
      <c r="A184" t="s">
        <v>148</v>
      </c>
      <c r="B184" t="s">
        <v>228</v>
      </c>
      <c r="C184" s="4">
        <v>45881</v>
      </c>
      <c r="D184">
        <v>37.1</v>
      </c>
      <c r="E184" t="s">
        <v>19</v>
      </c>
      <c r="F184" t="s">
        <v>9</v>
      </c>
    </row>
    <row r="185" spans="1:6">
      <c r="A185" t="s">
        <v>229</v>
      </c>
      <c r="B185" t="s">
        <v>225</v>
      </c>
      <c r="C185" s="4">
        <v>46063</v>
      </c>
      <c r="D185">
        <v>8.3000000000000007</v>
      </c>
      <c r="E185" t="s">
        <v>8</v>
      </c>
      <c r="F185" t="s">
        <v>9</v>
      </c>
    </row>
    <row r="186" spans="1:6">
      <c r="A186" t="s">
        <v>81</v>
      </c>
      <c r="B186" t="s">
        <v>106</v>
      </c>
      <c r="C186" s="4">
        <v>45951</v>
      </c>
      <c r="D186">
        <v>23.6</v>
      </c>
      <c r="E186" t="s">
        <v>19</v>
      </c>
      <c r="F186" t="s">
        <v>12</v>
      </c>
    </row>
    <row r="187" spans="1:6">
      <c r="A187" t="s">
        <v>113</v>
      </c>
      <c r="B187" t="s">
        <v>197</v>
      </c>
      <c r="C187" s="4">
        <v>46077</v>
      </c>
      <c r="D187">
        <v>15.8</v>
      </c>
      <c r="E187" t="s">
        <v>19</v>
      </c>
      <c r="F187" t="s">
        <v>9</v>
      </c>
    </row>
    <row r="188" spans="1:6">
      <c r="A188" t="s">
        <v>90</v>
      </c>
      <c r="B188" t="s">
        <v>51</v>
      </c>
      <c r="C188" s="4">
        <v>46112</v>
      </c>
      <c r="D188">
        <v>15.1</v>
      </c>
      <c r="E188" t="s">
        <v>30</v>
      </c>
      <c r="F188" t="s">
        <v>9</v>
      </c>
    </row>
    <row r="189" spans="1:6">
      <c r="A189" t="s">
        <v>149</v>
      </c>
      <c r="B189" t="s">
        <v>97</v>
      </c>
      <c r="C189" s="4">
        <v>46126</v>
      </c>
      <c r="D189">
        <v>45.9</v>
      </c>
      <c r="E189" t="s">
        <v>19</v>
      </c>
      <c r="F189" t="s">
        <v>12</v>
      </c>
    </row>
    <row r="190" spans="1:6">
      <c r="A190" t="s">
        <v>230</v>
      </c>
      <c r="B190" t="s">
        <v>171</v>
      </c>
      <c r="C190" s="4">
        <v>45944</v>
      </c>
      <c r="D190">
        <v>45.8</v>
      </c>
      <c r="E190" t="s">
        <v>8</v>
      </c>
      <c r="F190" t="s">
        <v>12</v>
      </c>
    </row>
    <row r="191" spans="1:6">
      <c r="A191" t="s">
        <v>216</v>
      </c>
      <c r="B191" t="s">
        <v>25</v>
      </c>
      <c r="C191" s="4">
        <v>46063</v>
      </c>
      <c r="D191">
        <v>45.1</v>
      </c>
      <c r="E191" t="s">
        <v>8</v>
      </c>
      <c r="F191" t="s">
        <v>12</v>
      </c>
    </row>
    <row r="192" spans="1:6">
      <c r="A192" t="s">
        <v>160</v>
      </c>
      <c r="B192" t="s">
        <v>183</v>
      </c>
      <c r="C192" s="4">
        <v>46112</v>
      </c>
      <c r="D192">
        <v>38.200000000000003</v>
      </c>
      <c r="E192" t="s">
        <v>19</v>
      </c>
      <c r="F192" t="s">
        <v>9</v>
      </c>
    </row>
    <row r="193" spans="1:6">
      <c r="A193" t="s">
        <v>231</v>
      </c>
      <c r="B193" t="s">
        <v>112</v>
      </c>
      <c r="C193" s="4">
        <v>46147</v>
      </c>
      <c r="D193">
        <v>37.1</v>
      </c>
      <c r="E193" t="s">
        <v>19</v>
      </c>
      <c r="F193" t="s">
        <v>9</v>
      </c>
    </row>
    <row r="194" spans="1:6">
      <c r="A194" t="s">
        <v>206</v>
      </c>
      <c r="B194" t="s">
        <v>232</v>
      </c>
      <c r="C194" s="4">
        <v>45895</v>
      </c>
      <c r="D194">
        <v>0</v>
      </c>
      <c r="E194" t="s">
        <v>8</v>
      </c>
      <c r="F194" t="s">
        <v>12</v>
      </c>
    </row>
    <row r="195" spans="1:6">
      <c r="A195" t="s">
        <v>150</v>
      </c>
      <c r="B195" t="s">
        <v>226</v>
      </c>
      <c r="C195" s="4">
        <v>45895</v>
      </c>
      <c r="D195">
        <v>22.6</v>
      </c>
      <c r="E195" t="s">
        <v>8</v>
      </c>
      <c r="F195" t="s">
        <v>9</v>
      </c>
    </row>
    <row r="196" spans="1:6">
      <c r="A196" t="s">
        <v>233</v>
      </c>
      <c r="B196" t="s">
        <v>82</v>
      </c>
      <c r="C196" s="4">
        <v>46105</v>
      </c>
      <c r="D196">
        <v>38.5</v>
      </c>
      <c r="E196" t="s">
        <v>8</v>
      </c>
      <c r="F196" t="s">
        <v>9</v>
      </c>
    </row>
    <row r="197" spans="1:6">
      <c r="A197" t="s">
        <v>221</v>
      </c>
      <c r="B197" t="s">
        <v>63</v>
      </c>
      <c r="C197" s="4">
        <v>45958</v>
      </c>
      <c r="D197">
        <v>16</v>
      </c>
      <c r="E197" t="s">
        <v>30</v>
      </c>
      <c r="F197" t="s">
        <v>9</v>
      </c>
    </row>
    <row r="198" spans="1:6">
      <c r="A198" t="s">
        <v>234</v>
      </c>
      <c r="B198" t="s">
        <v>235</v>
      </c>
      <c r="C198" s="4">
        <v>46098</v>
      </c>
      <c r="D198">
        <v>29.7</v>
      </c>
      <c r="E198" t="s">
        <v>8</v>
      </c>
      <c r="F198" t="s">
        <v>9</v>
      </c>
    </row>
    <row r="199" spans="1:6">
      <c r="A199" t="s">
        <v>70</v>
      </c>
      <c r="B199" t="s">
        <v>120</v>
      </c>
      <c r="C199" s="4">
        <v>45881</v>
      </c>
      <c r="D199">
        <v>16.2</v>
      </c>
      <c r="E199" t="s">
        <v>19</v>
      </c>
      <c r="F199" t="s">
        <v>9</v>
      </c>
    </row>
    <row r="200" spans="1:6">
      <c r="A200" t="s">
        <v>24</v>
      </c>
      <c r="B200" t="s">
        <v>94</v>
      </c>
      <c r="C200" s="4">
        <v>46014</v>
      </c>
      <c r="D200">
        <v>-0.7</v>
      </c>
      <c r="E200" t="s">
        <v>19</v>
      </c>
      <c r="F200" t="s">
        <v>12</v>
      </c>
    </row>
    <row r="201" spans="1:6">
      <c r="A201" t="s">
        <v>236</v>
      </c>
      <c r="B201" t="s">
        <v>63</v>
      </c>
      <c r="C201" s="4">
        <v>46070</v>
      </c>
      <c r="D201">
        <v>0</v>
      </c>
      <c r="E201" t="s">
        <v>8</v>
      </c>
      <c r="F201" t="s">
        <v>12</v>
      </c>
    </row>
    <row r="202" spans="1:6">
      <c r="A202" t="s">
        <v>48</v>
      </c>
      <c r="B202" t="s">
        <v>162</v>
      </c>
      <c r="C202" s="4">
        <v>45930</v>
      </c>
      <c r="D202">
        <v>14.5</v>
      </c>
      <c r="E202" t="s">
        <v>8</v>
      </c>
      <c r="F202" t="s">
        <v>9</v>
      </c>
    </row>
    <row r="203" spans="1:6">
      <c r="A203" t="s">
        <v>68</v>
      </c>
      <c r="B203" t="s">
        <v>97</v>
      </c>
      <c r="C203" s="4">
        <v>45916</v>
      </c>
      <c r="D203">
        <v>14.6</v>
      </c>
      <c r="E203" t="s">
        <v>8</v>
      </c>
      <c r="F203" t="s">
        <v>9</v>
      </c>
    </row>
    <row r="204" spans="1:6">
      <c r="A204" t="s">
        <v>20</v>
      </c>
      <c r="B204" t="s">
        <v>27</v>
      </c>
      <c r="C204" s="4">
        <v>46070</v>
      </c>
      <c r="D204">
        <v>30.3</v>
      </c>
      <c r="E204" t="s">
        <v>8</v>
      </c>
      <c r="F204" t="s">
        <v>9</v>
      </c>
    </row>
    <row r="205" spans="1:6">
      <c r="A205" t="s">
        <v>92</v>
      </c>
      <c r="B205" t="s">
        <v>14</v>
      </c>
      <c r="C205" s="4">
        <v>45846</v>
      </c>
      <c r="D205">
        <v>38.700000000000003</v>
      </c>
      <c r="E205" t="s">
        <v>30</v>
      </c>
      <c r="F205" t="s">
        <v>9</v>
      </c>
    </row>
    <row r="206" spans="1:6">
      <c r="A206" t="s">
        <v>237</v>
      </c>
      <c r="B206" t="s">
        <v>215</v>
      </c>
      <c r="C206" s="4">
        <v>46140</v>
      </c>
      <c r="D206">
        <v>30.8</v>
      </c>
      <c r="E206" t="s">
        <v>8</v>
      </c>
      <c r="F206" t="s">
        <v>9</v>
      </c>
    </row>
    <row r="207" spans="1:6">
      <c r="A207" t="s">
        <v>65</v>
      </c>
      <c r="B207" t="s">
        <v>105</v>
      </c>
      <c r="C207" s="4">
        <v>45965</v>
      </c>
      <c r="D207">
        <v>14.9</v>
      </c>
      <c r="E207" t="s">
        <v>30</v>
      </c>
      <c r="F207" t="s">
        <v>9</v>
      </c>
    </row>
    <row r="208" spans="1:6">
      <c r="A208" t="s">
        <v>201</v>
      </c>
      <c r="B208" t="s">
        <v>43</v>
      </c>
      <c r="C208" s="4">
        <v>45944</v>
      </c>
      <c r="D208">
        <v>37.6</v>
      </c>
      <c r="E208" t="s">
        <v>8</v>
      </c>
      <c r="F208" t="s">
        <v>9</v>
      </c>
    </row>
    <row r="209" spans="1:6">
      <c r="A209" t="s">
        <v>77</v>
      </c>
      <c r="B209" t="s">
        <v>34</v>
      </c>
      <c r="C209" s="4">
        <v>45874</v>
      </c>
      <c r="D209">
        <v>38</v>
      </c>
      <c r="E209" t="s">
        <v>8</v>
      </c>
      <c r="F209" t="s">
        <v>9</v>
      </c>
    </row>
    <row r="210" spans="1:6">
      <c r="A210" t="s">
        <v>41</v>
      </c>
      <c r="B210" t="s">
        <v>106</v>
      </c>
      <c r="C210" s="4">
        <v>46021</v>
      </c>
      <c r="D210">
        <v>0.5</v>
      </c>
      <c r="E210" t="s">
        <v>19</v>
      </c>
      <c r="F210" t="s">
        <v>9</v>
      </c>
    </row>
    <row r="211" spans="1:6">
      <c r="A211" t="s">
        <v>238</v>
      </c>
      <c r="B211" t="s">
        <v>199</v>
      </c>
      <c r="C211" s="4">
        <v>45972</v>
      </c>
      <c r="D211">
        <v>31.1</v>
      </c>
      <c r="E211" t="s">
        <v>30</v>
      </c>
      <c r="F211" t="s">
        <v>9</v>
      </c>
    </row>
    <row r="212" spans="1:6">
      <c r="A212" t="s">
        <v>239</v>
      </c>
      <c r="B212" t="s">
        <v>120</v>
      </c>
      <c r="C212" s="4">
        <v>45881</v>
      </c>
      <c r="D212">
        <v>6.6</v>
      </c>
      <c r="E212" t="s">
        <v>30</v>
      </c>
      <c r="F212" t="s">
        <v>9</v>
      </c>
    </row>
    <row r="213" spans="1:6">
      <c r="A213" t="s">
        <v>240</v>
      </c>
      <c r="B213" t="s">
        <v>49</v>
      </c>
      <c r="C213" s="4">
        <v>46014</v>
      </c>
      <c r="D213">
        <v>14.2</v>
      </c>
      <c r="E213" t="s">
        <v>30</v>
      </c>
      <c r="F213" t="s">
        <v>9</v>
      </c>
    </row>
    <row r="214" spans="1:6">
      <c r="A214" t="s">
        <v>165</v>
      </c>
      <c r="B214" t="s">
        <v>11</v>
      </c>
      <c r="C214" s="4">
        <v>46098</v>
      </c>
      <c r="D214">
        <v>30.3</v>
      </c>
      <c r="E214" t="s">
        <v>8</v>
      </c>
      <c r="F214" t="s">
        <v>9</v>
      </c>
    </row>
    <row r="215" spans="1:6">
      <c r="A215" t="s">
        <v>115</v>
      </c>
      <c r="B215" t="s">
        <v>38</v>
      </c>
      <c r="C215" s="4">
        <v>46147</v>
      </c>
      <c r="D215">
        <v>7.5</v>
      </c>
      <c r="E215" t="s">
        <v>19</v>
      </c>
      <c r="F215" t="s">
        <v>9</v>
      </c>
    </row>
    <row r="216" spans="1:6">
      <c r="A216" t="s">
        <v>241</v>
      </c>
      <c r="B216" t="s">
        <v>131</v>
      </c>
      <c r="C216" s="4">
        <v>45874</v>
      </c>
      <c r="D216">
        <v>6.6</v>
      </c>
      <c r="E216" t="s">
        <v>30</v>
      </c>
      <c r="F216" t="s">
        <v>9</v>
      </c>
    </row>
    <row r="217" spans="1:6">
      <c r="A217" t="s">
        <v>242</v>
      </c>
      <c r="B217" t="s">
        <v>196</v>
      </c>
      <c r="C217" s="4">
        <v>45874</v>
      </c>
      <c r="D217">
        <v>44.8</v>
      </c>
      <c r="E217" t="s">
        <v>30</v>
      </c>
      <c r="F217" t="s">
        <v>12</v>
      </c>
    </row>
    <row r="218" spans="1:6">
      <c r="A218" t="s">
        <v>243</v>
      </c>
      <c r="B218" t="s">
        <v>225</v>
      </c>
      <c r="C218" s="4">
        <v>45839</v>
      </c>
      <c r="D218">
        <v>-0.1</v>
      </c>
      <c r="E218" t="s">
        <v>8</v>
      </c>
      <c r="F218" t="s">
        <v>12</v>
      </c>
    </row>
    <row r="219" spans="1:6">
      <c r="A219" t="s">
        <v>244</v>
      </c>
      <c r="B219" t="s">
        <v>245</v>
      </c>
      <c r="C219" s="4">
        <v>46098</v>
      </c>
      <c r="D219">
        <v>23.3</v>
      </c>
      <c r="E219" t="s">
        <v>8</v>
      </c>
      <c r="F219" t="s">
        <v>9</v>
      </c>
    </row>
    <row r="220" spans="1:6">
      <c r="A220" t="s">
        <v>135</v>
      </c>
      <c r="B220" t="s">
        <v>245</v>
      </c>
      <c r="C220" s="4">
        <v>45839</v>
      </c>
      <c r="D220">
        <v>23.3</v>
      </c>
      <c r="E220" t="s">
        <v>30</v>
      </c>
      <c r="F220" t="s">
        <v>9</v>
      </c>
    </row>
    <row r="221" spans="1:6">
      <c r="A221" t="s">
        <v>246</v>
      </c>
      <c r="B221" t="s">
        <v>247</v>
      </c>
      <c r="C221" s="4">
        <v>46084</v>
      </c>
      <c r="D221">
        <v>14.8</v>
      </c>
      <c r="E221" t="s">
        <v>8</v>
      </c>
      <c r="F221" t="s">
        <v>9</v>
      </c>
    </row>
    <row r="222" spans="1:6">
      <c r="A222" t="s">
        <v>44</v>
      </c>
      <c r="B222" t="s">
        <v>170</v>
      </c>
      <c r="C222" s="4">
        <v>46091</v>
      </c>
      <c r="D222">
        <v>38.200000000000003</v>
      </c>
      <c r="E222" t="s">
        <v>8</v>
      </c>
      <c r="F222" t="s">
        <v>9</v>
      </c>
    </row>
    <row r="223" spans="1:6">
      <c r="A223" t="s">
        <v>92</v>
      </c>
      <c r="B223" t="s">
        <v>49</v>
      </c>
      <c r="C223" s="4">
        <v>45839</v>
      </c>
      <c r="D223">
        <v>37.5</v>
      </c>
      <c r="E223" t="s">
        <v>8</v>
      </c>
      <c r="F223" t="s">
        <v>9</v>
      </c>
    </row>
    <row r="224" spans="1:6">
      <c r="A224" t="s">
        <v>62</v>
      </c>
      <c r="B224" t="s">
        <v>248</v>
      </c>
      <c r="C224" s="4">
        <v>46119</v>
      </c>
      <c r="D224">
        <v>37.200000000000003</v>
      </c>
      <c r="E224" t="s">
        <v>8</v>
      </c>
      <c r="F224" t="s">
        <v>9</v>
      </c>
    </row>
    <row r="225" spans="1:6">
      <c r="A225" t="s">
        <v>172</v>
      </c>
      <c r="B225" t="s">
        <v>249</v>
      </c>
      <c r="C225" s="4">
        <v>46126</v>
      </c>
      <c r="D225">
        <v>31</v>
      </c>
      <c r="E225" t="s">
        <v>8</v>
      </c>
      <c r="F225" t="s">
        <v>9</v>
      </c>
    </row>
    <row r="226" spans="1:6">
      <c r="A226" t="s">
        <v>222</v>
      </c>
      <c r="B226" t="s">
        <v>91</v>
      </c>
      <c r="C226" s="4">
        <v>46098</v>
      </c>
      <c r="D226">
        <v>29.8</v>
      </c>
      <c r="E226" t="s">
        <v>8</v>
      </c>
      <c r="F226" t="s">
        <v>9</v>
      </c>
    </row>
    <row r="227" spans="1:6">
      <c r="A227" t="s">
        <v>218</v>
      </c>
      <c r="B227" t="s">
        <v>71</v>
      </c>
      <c r="C227" s="4">
        <v>46042</v>
      </c>
      <c r="D227">
        <v>29.4</v>
      </c>
      <c r="E227" t="s">
        <v>30</v>
      </c>
      <c r="F227" t="s">
        <v>9</v>
      </c>
    </row>
    <row r="228" spans="1:6">
      <c r="A228" t="s">
        <v>161</v>
      </c>
      <c r="B228" t="s">
        <v>116</v>
      </c>
      <c r="C228" s="4">
        <v>45874</v>
      </c>
      <c r="D228">
        <v>15.1</v>
      </c>
      <c r="E228" t="s">
        <v>30</v>
      </c>
      <c r="F228" t="s">
        <v>9</v>
      </c>
    </row>
    <row r="229" spans="1:6">
      <c r="A229" t="s">
        <v>250</v>
      </c>
      <c r="B229" t="s">
        <v>49</v>
      </c>
      <c r="C229" s="4">
        <v>46119</v>
      </c>
      <c r="D229">
        <v>38.200000000000003</v>
      </c>
      <c r="E229" t="s">
        <v>30</v>
      </c>
      <c r="F229" t="s">
        <v>9</v>
      </c>
    </row>
    <row r="230" spans="1:6">
      <c r="A230" t="s">
        <v>107</v>
      </c>
      <c r="B230" t="s">
        <v>67</v>
      </c>
      <c r="C230" s="4">
        <v>45839</v>
      </c>
      <c r="D230">
        <v>23.8</v>
      </c>
      <c r="E230" t="s">
        <v>30</v>
      </c>
      <c r="F230" t="s">
        <v>9</v>
      </c>
    </row>
    <row r="231" spans="1:6">
      <c r="A231" t="s">
        <v>184</v>
      </c>
      <c r="B231" t="s">
        <v>96</v>
      </c>
      <c r="C231" s="4">
        <v>46091</v>
      </c>
      <c r="D231">
        <v>23.7</v>
      </c>
      <c r="E231" t="s">
        <v>19</v>
      </c>
      <c r="F231" t="s">
        <v>9</v>
      </c>
    </row>
    <row r="232" spans="1:6">
      <c r="A232" t="s">
        <v>251</v>
      </c>
      <c r="B232" t="s">
        <v>11</v>
      </c>
      <c r="C232" s="4">
        <v>46063</v>
      </c>
      <c r="D232">
        <v>23.7</v>
      </c>
      <c r="E232" t="s">
        <v>8</v>
      </c>
      <c r="F232" t="s">
        <v>9</v>
      </c>
    </row>
    <row r="233" spans="1:6">
      <c r="A233" t="s">
        <v>251</v>
      </c>
      <c r="B233" t="s">
        <v>49</v>
      </c>
      <c r="C233" s="4">
        <v>45965</v>
      </c>
      <c r="D233">
        <v>44.8</v>
      </c>
      <c r="E233" t="s">
        <v>30</v>
      </c>
      <c r="F233" t="s">
        <v>12</v>
      </c>
    </row>
    <row r="234" spans="1:6">
      <c r="A234" t="s">
        <v>175</v>
      </c>
      <c r="B234" t="s">
        <v>144</v>
      </c>
      <c r="C234" s="4">
        <v>46007</v>
      </c>
      <c r="D234">
        <v>37.4</v>
      </c>
      <c r="E234" t="s">
        <v>8</v>
      </c>
      <c r="F234" t="s">
        <v>9</v>
      </c>
    </row>
    <row r="235" spans="1:6">
      <c r="A235" t="s">
        <v>132</v>
      </c>
      <c r="B235" t="s">
        <v>185</v>
      </c>
      <c r="C235" s="4">
        <v>46126</v>
      </c>
      <c r="D235">
        <v>37.299999999999997</v>
      </c>
      <c r="E235" t="s">
        <v>8</v>
      </c>
      <c r="F235" t="s">
        <v>9</v>
      </c>
    </row>
    <row r="236" spans="1:6">
      <c r="A236" t="s">
        <v>157</v>
      </c>
      <c r="B236" t="s">
        <v>110</v>
      </c>
      <c r="C236" s="4">
        <v>45895</v>
      </c>
      <c r="D236">
        <v>29.9</v>
      </c>
      <c r="E236" t="s">
        <v>8</v>
      </c>
      <c r="F236" t="s">
        <v>9</v>
      </c>
    </row>
    <row r="237" spans="1:6">
      <c r="A237" t="s">
        <v>214</v>
      </c>
      <c r="B237" t="s">
        <v>212</v>
      </c>
      <c r="C237" s="4">
        <v>45986</v>
      </c>
      <c r="D237">
        <v>38.200000000000003</v>
      </c>
      <c r="E237" t="s">
        <v>8</v>
      </c>
      <c r="F237" t="s">
        <v>9</v>
      </c>
    </row>
    <row r="238" spans="1:6">
      <c r="A238" t="s">
        <v>252</v>
      </c>
      <c r="B238" t="s">
        <v>170</v>
      </c>
      <c r="C238" s="4">
        <v>46000</v>
      </c>
      <c r="D238">
        <v>23.6</v>
      </c>
      <c r="E238" t="s">
        <v>8</v>
      </c>
      <c r="F238" t="s">
        <v>9</v>
      </c>
    </row>
    <row r="239" spans="1:6">
      <c r="A239" t="s">
        <v>20</v>
      </c>
      <c r="B239" t="s">
        <v>253</v>
      </c>
      <c r="C239" s="4">
        <v>46140</v>
      </c>
      <c r="D239">
        <v>22.5</v>
      </c>
      <c r="E239" t="s">
        <v>30</v>
      </c>
      <c r="F239" t="s">
        <v>9</v>
      </c>
    </row>
    <row r="240" spans="1:6">
      <c r="A240" t="s">
        <v>236</v>
      </c>
      <c r="B240" t="s">
        <v>199</v>
      </c>
      <c r="C240" s="4">
        <v>46028</v>
      </c>
      <c r="D240">
        <v>0</v>
      </c>
      <c r="E240" t="s">
        <v>8</v>
      </c>
      <c r="F240" t="s">
        <v>12</v>
      </c>
    </row>
    <row r="241" spans="1:6">
      <c r="A241" t="s">
        <v>254</v>
      </c>
      <c r="B241" t="s">
        <v>74</v>
      </c>
      <c r="C241" s="4">
        <v>45895</v>
      </c>
      <c r="D241">
        <v>0.7</v>
      </c>
      <c r="E241" t="s">
        <v>8</v>
      </c>
      <c r="F241" t="s">
        <v>9</v>
      </c>
    </row>
    <row r="242" spans="1:6">
      <c r="A242" t="s">
        <v>255</v>
      </c>
      <c r="B242" t="s">
        <v>101</v>
      </c>
      <c r="C242" s="4">
        <v>46091</v>
      </c>
      <c r="D242">
        <v>8.5</v>
      </c>
      <c r="E242" t="s">
        <v>8</v>
      </c>
      <c r="F242" t="s">
        <v>9</v>
      </c>
    </row>
    <row r="243" spans="1:6">
      <c r="A243" t="s">
        <v>205</v>
      </c>
      <c r="B243" t="s">
        <v>110</v>
      </c>
      <c r="C243" s="4">
        <v>45937</v>
      </c>
      <c r="D243">
        <v>46.4</v>
      </c>
      <c r="E243" t="s">
        <v>8</v>
      </c>
      <c r="F243" t="s">
        <v>12</v>
      </c>
    </row>
    <row r="244" spans="1:6">
      <c r="A244" t="s">
        <v>256</v>
      </c>
      <c r="B244" t="s">
        <v>49</v>
      </c>
      <c r="C244" s="4">
        <v>45909</v>
      </c>
      <c r="D244">
        <v>15.9</v>
      </c>
      <c r="E244" t="s">
        <v>8</v>
      </c>
      <c r="F244" t="s">
        <v>9</v>
      </c>
    </row>
    <row r="245" spans="1:6">
      <c r="A245" t="s">
        <v>240</v>
      </c>
      <c r="B245" t="s">
        <v>63</v>
      </c>
      <c r="C245" s="4">
        <v>46063</v>
      </c>
      <c r="D245">
        <v>16</v>
      </c>
      <c r="E245" t="s">
        <v>30</v>
      </c>
      <c r="F245" t="s">
        <v>9</v>
      </c>
    </row>
    <row r="246" spans="1:6">
      <c r="A246" t="s">
        <v>22</v>
      </c>
      <c r="B246" t="s">
        <v>7</v>
      </c>
      <c r="C246" s="4">
        <v>45860</v>
      </c>
      <c r="D246">
        <v>7.6</v>
      </c>
      <c r="E246" t="s">
        <v>30</v>
      </c>
      <c r="F246" t="s">
        <v>9</v>
      </c>
    </row>
    <row r="247" spans="1:6">
      <c r="A247" t="s">
        <v>257</v>
      </c>
      <c r="B247" t="s">
        <v>133</v>
      </c>
      <c r="C247" s="4">
        <v>45909</v>
      </c>
      <c r="D247">
        <v>45.1</v>
      </c>
      <c r="E247" t="s">
        <v>8</v>
      </c>
      <c r="F247" t="s">
        <v>12</v>
      </c>
    </row>
    <row r="248" spans="1:6">
      <c r="A248" t="s">
        <v>258</v>
      </c>
      <c r="B248" t="s">
        <v>16</v>
      </c>
      <c r="C248" s="4">
        <v>46021</v>
      </c>
      <c r="D248">
        <v>7.4</v>
      </c>
      <c r="E248" t="s">
        <v>19</v>
      </c>
      <c r="F248" t="s">
        <v>9</v>
      </c>
    </row>
    <row r="249" spans="1:6">
      <c r="A249" t="s">
        <v>259</v>
      </c>
      <c r="B249" t="s">
        <v>7</v>
      </c>
      <c r="C249" s="4">
        <v>46049</v>
      </c>
      <c r="D249">
        <v>6.7</v>
      </c>
      <c r="E249" t="s">
        <v>8</v>
      </c>
      <c r="F249" t="s">
        <v>9</v>
      </c>
    </row>
    <row r="250" spans="1:6">
      <c r="A250" t="s">
        <v>236</v>
      </c>
      <c r="B250" t="s">
        <v>34</v>
      </c>
      <c r="C250" s="4">
        <v>46147</v>
      </c>
      <c r="D250">
        <v>0.9</v>
      </c>
      <c r="E250" t="s">
        <v>8</v>
      </c>
      <c r="F250" t="s">
        <v>9</v>
      </c>
    </row>
    <row r="251" spans="1:6">
      <c r="A251" t="s">
        <v>90</v>
      </c>
      <c r="B251" t="s">
        <v>91</v>
      </c>
      <c r="C251" s="4">
        <v>45839</v>
      </c>
      <c r="D251">
        <v>37.4</v>
      </c>
      <c r="E251" t="s">
        <v>8</v>
      </c>
      <c r="F251" t="s">
        <v>9</v>
      </c>
    </row>
    <row r="252" spans="1:6">
      <c r="A252" t="s">
        <v>20</v>
      </c>
      <c r="B252" t="s">
        <v>211</v>
      </c>
      <c r="C252" s="4">
        <v>46133</v>
      </c>
      <c r="D252">
        <v>7.2</v>
      </c>
      <c r="E252" t="s">
        <v>8</v>
      </c>
      <c r="F252" t="s">
        <v>9</v>
      </c>
    </row>
    <row r="253" spans="1:6">
      <c r="A253" t="s">
        <v>234</v>
      </c>
      <c r="B253" t="s">
        <v>260</v>
      </c>
      <c r="C253" s="4">
        <v>46000</v>
      </c>
      <c r="D253">
        <v>16.100000000000001</v>
      </c>
      <c r="E253" t="s">
        <v>19</v>
      </c>
      <c r="F253" t="s">
        <v>9</v>
      </c>
    </row>
    <row r="254" spans="1:6">
      <c r="A254" t="s">
        <v>135</v>
      </c>
      <c r="B254" t="s">
        <v>16</v>
      </c>
      <c r="C254" s="4">
        <v>45923</v>
      </c>
      <c r="D254">
        <v>6.7</v>
      </c>
      <c r="E254" t="s">
        <v>8</v>
      </c>
      <c r="F254" t="s">
        <v>9</v>
      </c>
    </row>
    <row r="255" spans="1:6">
      <c r="A255" t="s">
        <v>169</v>
      </c>
      <c r="B255" t="s">
        <v>168</v>
      </c>
      <c r="C255" s="4">
        <v>45979</v>
      </c>
      <c r="D255">
        <v>44.6</v>
      </c>
      <c r="E255" t="s">
        <v>19</v>
      </c>
      <c r="F255" t="s">
        <v>12</v>
      </c>
    </row>
    <row r="256" spans="1:6">
      <c r="A256" t="s">
        <v>148</v>
      </c>
      <c r="B256" t="s">
        <v>38</v>
      </c>
      <c r="C256" s="4">
        <v>46147</v>
      </c>
      <c r="D256">
        <v>1</v>
      </c>
      <c r="E256" t="s">
        <v>8</v>
      </c>
      <c r="F256" t="s">
        <v>9</v>
      </c>
    </row>
    <row r="257" spans="1:6">
      <c r="A257" t="s">
        <v>187</v>
      </c>
      <c r="B257" t="s">
        <v>66</v>
      </c>
      <c r="C257" s="4">
        <v>45972</v>
      </c>
      <c r="D257">
        <v>38.4</v>
      </c>
      <c r="E257" t="s">
        <v>30</v>
      </c>
      <c r="F257" t="s">
        <v>9</v>
      </c>
    </row>
    <row r="258" spans="1:6">
      <c r="A258" t="s">
        <v>261</v>
      </c>
      <c r="B258" t="s">
        <v>61</v>
      </c>
      <c r="C258" s="4">
        <v>46126</v>
      </c>
      <c r="D258">
        <v>15.8</v>
      </c>
      <c r="E258" t="s">
        <v>8</v>
      </c>
      <c r="F258" t="s">
        <v>9</v>
      </c>
    </row>
    <row r="259" spans="1:6">
      <c r="A259" t="s">
        <v>174</v>
      </c>
      <c r="B259" t="s">
        <v>168</v>
      </c>
      <c r="C259" s="4">
        <v>46084</v>
      </c>
      <c r="D259">
        <v>37.4</v>
      </c>
      <c r="E259" t="s">
        <v>19</v>
      </c>
      <c r="F259" t="s">
        <v>9</v>
      </c>
    </row>
    <row r="260" spans="1:6">
      <c r="A260" t="s">
        <v>150</v>
      </c>
      <c r="B260" t="s">
        <v>262</v>
      </c>
      <c r="C260" s="4">
        <v>45958</v>
      </c>
      <c r="D260">
        <v>30.9</v>
      </c>
      <c r="E260" t="s">
        <v>8</v>
      </c>
      <c r="F260" t="s">
        <v>9</v>
      </c>
    </row>
    <row r="261" spans="1:6">
      <c r="A261" t="s">
        <v>179</v>
      </c>
      <c r="B261" t="s">
        <v>89</v>
      </c>
      <c r="C261" s="4">
        <v>46063</v>
      </c>
      <c r="D261">
        <v>16.2</v>
      </c>
      <c r="E261" t="s">
        <v>8</v>
      </c>
      <c r="F261" t="s">
        <v>9</v>
      </c>
    </row>
    <row r="262" spans="1:6">
      <c r="A262" t="s">
        <v>143</v>
      </c>
      <c r="B262" t="s">
        <v>61</v>
      </c>
      <c r="C262" s="4">
        <v>46077</v>
      </c>
      <c r="D262">
        <v>7</v>
      </c>
      <c r="E262" t="s">
        <v>30</v>
      </c>
      <c r="F262" t="s">
        <v>9</v>
      </c>
    </row>
    <row r="263" spans="1:6">
      <c r="A263" t="s">
        <v>259</v>
      </c>
      <c r="B263" t="s">
        <v>57</v>
      </c>
      <c r="C263" s="4">
        <v>45951</v>
      </c>
      <c r="D263">
        <v>21.9</v>
      </c>
      <c r="E263" t="s">
        <v>8</v>
      </c>
      <c r="F263" t="s">
        <v>9</v>
      </c>
    </row>
    <row r="264" spans="1:6">
      <c r="A264" t="s">
        <v>119</v>
      </c>
      <c r="B264" t="s">
        <v>249</v>
      </c>
      <c r="C264" s="4">
        <v>46112</v>
      </c>
      <c r="D264">
        <v>29.8</v>
      </c>
      <c r="E264" t="s">
        <v>8</v>
      </c>
      <c r="F264" t="s">
        <v>9</v>
      </c>
    </row>
    <row r="265" spans="1:6">
      <c r="A265" t="s">
        <v>184</v>
      </c>
      <c r="B265" t="s">
        <v>155</v>
      </c>
      <c r="C265" s="4">
        <v>45965</v>
      </c>
      <c r="D265">
        <v>16.100000000000001</v>
      </c>
      <c r="E265" t="s">
        <v>30</v>
      </c>
      <c r="F265" t="s">
        <v>9</v>
      </c>
    </row>
    <row r="266" spans="1:6">
      <c r="A266" t="s">
        <v>263</v>
      </c>
      <c r="B266" t="s">
        <v>142</v>
      </c>
      <c r="C266" s="4">
        <v>45951</v>
      </c>
      <c r="D266">
        <v>38.5</v>
      </c>
      <c r="E266" t="s">
        <v>30</v>
      </c>
      <c r="F266" t="s">
        <v>9</v>
      </c>
    </row>
    <row r="267" spans="1:6">
      <c r="A267" t="s">
        <v>264</v>
      </c>
      <c r="B267" t="s">
        <v>227</v>
      </c>
      <c r="C267" s="4">
        <v>45902</v>
      </c>
      <c r="D267">
        <v>30.5</v>
      </c>
      <c r="E267" t="s">
        <v>8</v>
      </c>
      <c r="F267" t="s">
        <v>9</v>
      </c>
    </row>
    <row r="268" spans="1:6">
      <c r="A268" t="s">
        <v>141</v>
      </c>
      <c r="B268" t="s">
        <v>76</v>
      </c>
      <c r="C268" s="4">
        <v>46028</v>
      </c>
      <c r="D268">
        <v>8.1</v>
      </c>
      <c r="E268" t="s">
        <v>8</v>
      </c>
      <c r="F268" t="s">
        <v>9</v>
      </c>
    </row>
    <row r="269" spans="1:6">
      <c r="A269" t="s">
        <v>175</v>
      </c>
      <c r="B269" t="s">
        <v>180</v>
      </c>
      <c r="C269" s="4">
        <v>45937</v>
      </c>
      <c r="D269">
        <v>46.6</v>
      </c>
      <c r="E269" t="s">
        <v>19</v>
      </c>
      <c r="F269" t="s">
        <v>12</v>
      </c>
    </row>
    <row r="270" spans="1:6">
      <c r="A270" t="s">
        <v>187</v>
      </c>
      <c r="B270" t="s">
        <v>25</v>
      </c>
      <c r="C270" s="4">
        <v>45923</v>
      </c>
      <c r="D270">
        <v>37.6</v>
      </c>
      <c r="E270" t="s">
        <v>8</v>
      </c>
      <c r="F270" t="s">
        <v>9</v>
      </c>
    </row>
    <row r="271" spans="1:6">
      <c r="A271" t="s">
        <v>175</v>
      </c>
      <c r="B271" t="s">
        <v>67</v>
      </c>
      <c r="C271" s="4">
        <v>46119</v>
      </c>
      <c r="D271">
        <v>-0.4</v>
      </c>
      <c r="E271" t="s">
        <v>19</v>
      </c>
      <c r="F271" t="s">
        <v>12</v>
      </c>
    </row>
    <row r="272" spans="1:6">
      <c r="A272" t="s">
        <v>93</v>
      </c>
      <c r="B272" t="s">
        <v>197</v>
      </c>
      <c r="C272" s="4">
        <v>45986</v>
      </c>
      <c r="D272">
        <v>21.9</v>
      </c>
      <c r="E272" t="s">
        <v>30</v>
      </c>
      <c r="F272" t="s">
        <v>9</v>
      </c>
    </row>
    <row r="273" spans="1:6">
      <c r="A273" t="s">
        <v>265</v>
      </c>
      <c r="B273" t="s">
        <v>101</v>
      </c>
      <c r="C273" s="4">
        <v>45860</v>
      </c>
      <c r="D273">
        <v>30.1</v>
      </c>
      <c r="E273" t="s">
        <v>30</v>
      </c>
      <c r="F273" t="s">
        <v>9</v>
      </c>
    </row>
    <row r="274" spans="1:6">
      <c r="A274" t="s">
        <v>64</v>
      </c>
      <c r="B274" t="s">
        <v>105</v>
      </c>
      <c r="C274" s="4">
        <v>46000</v>
      </c>
      <c r="D274">
        <v>29.7</v>
      </c>
      <c r="E274" t="s">
        <v>30</v>
      </c>
      <c r="F274" t="s">
        <v>9</v>
      </c>
    </row>
    <row r="275" spans="1:6">
      <c r="A275" t="s">
        <v>28</v>
      </c>
      <c r="B275" t="s">
        <v>108</v>
      </c>
      <c r="C275" s="4">
        <v>45853</v>
      </c>
      <c r="D275">
        <v>38.9</v>
      </c>
      <c r="E275" t="s">
        <v>19</v>
      </c>
      <c r="F275" t="s">
        <v>9</v>
      </c>
    </row>
    <row r="276" spans="1:6">
      <c r="A276" t="s">
        <v>182</v>
      </c>
      <c r="B276" t="s">
        <v>87</v>
      </c>
      <c r="C276" s="4">
        <v>46119</v>
      </c>
      <c r="D276">
        <v>45.2</v>
      </c>
      <c r="E276" t="s">
        <v>8</v>
      </c>
      <c r="F276" t="s">
        <v>12</v>
      </c>
    </row>
    <row r="277" spans="1:6">
      <c r="A277" t="s">
        <v>148</v>
      </c>
      <c r="B277" t="s">
        <v>99</v>
      </c>
      <c r="C277" s="4">
        <v>45937</v>
      </c>
      <c r="D277">
        <v>8.5</v>
      </c>
      <c r="E277" t="s">
        <v>19</v>
      </c>
      <c r="F277" t="s">
        <v>9</v>
      </c>
    </row>
    <row r="278" spans="1:6">
      <c r="A278" t="s">
        <v>266</v>
      </c>
      <c r="B278" t="s">
        <v>159</v>
      </c>
      <c r="C278" s="4">
        <v>45881</v>
      </c>
      <c r="D278">
        <v>39</v>
      </c>
      <c r="E278" t="s">
        <v>8</v>
      </c>
      <c r="F278" t="s">
        <v>9</v>
      </c>
    </row>
    <row r="279" spans="1:6">
      <c r="A279" t="s">
        <v>205</v>
      </c>
      <c r="B279" t="s">
        <v>61</v>
      </c>
      <c r="C279" s="4">
        <v>45965</v>
      </c>
      <c r="D279">
        <v>46.5</v>
      </c>
      <c r="E279" t="s">
        <v>30</v>
      </c>
      <c r="F279" t="s">
        <v>12</v>
      </c>
    </row>
    <row r="280" spans="1:6">
      <c r="A280" t="s">
        <v>79</v>
      </c>
      <c r="B280" t="s">
        <v>226</v>
      </c>
      <c r="C280" s="4">
        <v>46147</v>
      </c>
      <c r="D280">
        <v>14.5</v>
      </c>
      <c r="E280" t="s">
        <v>8</v>
      </c>
      <c r="F280" t="s">
        <v>9</v>
      </c>
    </row>
    <row r="281" spans="1:6">
      <c r="A281" t="s">
        <v>139</v>
      </c>
      <c r="B281" t="s">
        <v>91</v>
      </c>
      <c r="C281" s="4">
        <v>45937</v>
      </c>
      <c r="D281">
        <v>23.4</v>
      </c>
      <c r="E281" t="s">
        <v>19</v>
      </c>
      <c r="F281" t="s">
        <v>9</v>
      </c>
    </row>
    <row r="282" spans="1:6">
      <c r="A282" t="s">
        <v>267</v>
      </c>
      <c r="B282" t="s">
        <v>226</v>
      </c>
      <c r="C282" s="4">
        <v>45916</v>
      </c>
      <c r="D282">
        <v>8.4</v>
      </c>
      <c r="E282" t="s">
        <v>30</v>
      </c>
      <c r="F282" t="s">
        <v>9</v>
      </c>
    </row>
    <row r="283" spans="1:6">
      <c r="A283" t="s">
        <v>145</v>
      </c>
      <c r="B283" t="s">
        <v>142</v>
      </c>
      <c r="C283" s="4">
        <v>45979</v>
      </c>
      <c r="D283">
        <v>0.6</v>
      </c>
      <c r="E283" t="s">
        <v>30</v>
      </c>
      <c r="F283" t="s">
        <v>9</v>
      </c>
    </row>
    <row r="284" spans="1:6">
      <c r="A284" t="s">
        <v>198</v>
      </c>
      <c r="B284" t="s">
        <v>97</v>
      </c>
      <c r="C284" s="4">
        <v>45909</v>
      </c>
      <c r="D284">
        <v>-0.2</v>
      </c>
      <c r="E284" t="s">
        <v>30</v>
      </c>
      <c r="F284" t="s">
        <v>12</v>
      </c>
    </row>
    <row r="285" spans="1:6">
      <c r="A285" t="s">
        <v>268</v>
      </c>
      <c r="B285" t="s">
        <v>105</v>
      </c>
      <c r="C285" s="4">
        <v>45979</v>
      </c>
      <c r="D285">
        <v>7.3</v>
      </c>
      <c r="E285" t="s">
        <v>19</v>
      </c>
      <c r="F285" t="s">
        <v>9</v>
      </c>
    </row>
    <row r="286" spans="1:6">
      <c r="A286" t="s">
        <v>203</v>
      </c>
      <c r="B286" t="s">
        <v>183</v>
      </c>
      <c r="C286" s="4">
        <v>46126</v>
      </c>
      <c r="D286">
        <v>46</v>
      </c>
      <c r="E286" t="s">
        <v>8</v>
      </c>
      <c r="F286" t="s">
        <v>12</v>
      </c>
    </row>
    <row r="287" spans="1:6">
      <c r="A287" t="s">
        <v>152</v>
      </c>
      <c r="B287" t="s">
        <v>112</v>
      </c>
      <c r="C287" s="4">
        <v>46112</v>
      </c>
      <c r="D287">
        <v>21.9</v>
      </c>
      <c r="E287" t="s">
        <v>8</v>
      </c>
      <c r="F287" t="s">
        <v>9</v>
      </c>
    </row>
    <row r="288" spans="1:6">
      <c r="A288" t="s">
        <v>174</v>
      </c>
      <c r="B288" t="s">
        <v>118</v>
      </c>
      <c r="C288" s="4">
        <v>46035</v>
      </c>
      <c r="D288">
        <v>45</v>
      </c>
      <c r="E288" t="s">
        <v>8</v>
      </c>
      <c r="F288" t="s">
        <v>12</v>
      </c>
    </row>
    <row r="289" spans="1:6">
      <c r="A289" t="s">
        <v>17</v>
      </c>
      <c r="B289" t="s">
        <v>180</v>
      </c>
      <c r="C289" s="4">
        <v>45860</v>
      </c>
      <c r="D289">
        <v>23.2</v>
      </c>
      <c r="E289" t="s">
        <v>30</v>
      </c>
      <c r="F289" t="s">
        <v>9</v>
      </c>
    </row>
    <row r="290" spans="1:6">
      <c r="A290" t="s">
        <v>198</v>
      </c>
      <c r="B290" t="s">
        <v>34</v>
      </c>
      <c r="C290" s="4">
        <v>45846</v>
      </c>
      <c r="D290">
        <v>15.5</v>
      </c>
      <c r="E290" t="s">
        <v>30</v>
      </c>
      <c r="F290" t="s">
        <v>9</v>
      </c>
    </row>
    <row r="291" spans="1:6">
      <c r="A291" t="s">
        <v>39</v>
      </c>
      <c r="B291" t="s">
        <v>97</v>
      </c>
      <c r="C291" s="4">
        <v>46014</v>
      </c>
      <c r="D291">
        <v>23.7</v>
      </c>
      <c r="E291" t="s">
        <v>30</v>
      </c>
      <c r="F291" t="s">
        <v>9</v>
      </c>
    </row>
    <row r="292" spans="1:6">
      <c r="A292" t="s">
        <v>254</v>
      </c>
      <c r="B292" t="s">
        <v>269</v>
      </c>
      <c r="C292" s="4">
        <v>45839</v>
      </c>
      <c r="D292">
        <v>15.6</v>
      </c>
      <c r="E292" t="s">
        <v>30</v>
      </c>
      <c r="F292" t="s">
        <v>9</v>
      </c>
    </row>
    <row r="293" spans="1:6">
      <c r="A293" t="s">
        <v>148</v>
      </c>
      <c r="B293" t="s">
        <v>106</v>
      </c>
      <c r="C293" s="4">
        <v>45993</v>
      </c>
      <c r="D293">
        <v>16.100000000000001</v>
      </c>
      <c r="E293" t="s">
        <v>19</v>
      </c>
      <c r="F293" t="s">
        <v>9</v>
      </c>
    </row>
    <row r="294" spans="1:6">
      <c r="A294" t="s">
        <v>270</v>
      </c>
      <c r="B294" t="s">
        <v>245</v>
      </c>
      <c r="C294" s="4">
        <v>46147</v>
      </c>
      <c r="D294">
        <v>-0.4</v>
      </c>
      <c r="E294" t="s">
        <v>8</v>
      </c>
      <c r="F294" t="s">
        <v>12</v>
      </c>
    </row>
    <row r="295" spans="1:6">
      <c r="A295" t="s">
        <v>271</v>
      </c>
      <c r="B295" t="s">
        <v>140</v>
      </c>
      <c r="C295" s="4">
        <v>46112</v>
      </c>
      <c r="D295">
        <v>8.5</v>
      </c>
      <c r="E295" t="s">
        <v>19</v>
      </c>
      <c r="F295" t="s">
        <v>9</v>
      </c>
    </row>
    <row r="296" spans="1:6">
      <c r="A296" t="s">
        <v>201</v>
      </c>
      <c r="B296" t="s">
        <v>245</v>
      </c>
      <c r="C296" s="4">
        <v>45916</v>
      </c>
      <c r="D296">
        <v>37.700000000000003</v>
      </c>
      <c r="E296" t="s">
        <v>30</v>
      </c>
      <c r="F296" t="s">
        <v>9</v>
      </c>
    </row>
    <row r="297" spans="1:6">
      <c r="A297" t="s">
        <v>184</v>
      </c>
      <c r="B297" t="s">
        <v>14</v>
      </c>
      <c r="C297" s="4">
        <v>46000</v>
      </c>
      <c r="D297">
        <v>45.7</v>
      </c>
      <c r="E297" t="s">
        <v>8</v>
      </c>
      <c r="F297" t="s">
        <v>12</v>
      </c>
    </row>
    <row r="298" spans="1:6">
      <c r="A298" t="s">
        <v>236</v>
      </c>
      <c r="B298" t="s">
        <v>159</v>
      </c>
      <c r="C298" s="4">
        <v>45867</v>
      </c>
      <c r="D298">
        <v>6.7</v>
      </c>
      <c r="E298" t="s">
        <v>19</v>
      </c>
      <c r="F298" t="s">
        <v>9</v>
      </c>
    </row>
    <row r="299" spans="1:6">
      <c r="A299" t="s">
        <v>237</v>
      </c>
      <c r="B299" t="s">
        <v>97</v>
      </c>
      <c r="C299" s="4">
        <v>46126</v>
      </c>
      <c r="D299">
        <v>7.4</v>
      </c>
      <c r="E299" t="s">
        <v>8</v>
      </c>
      <c r="F299" t="s">
        <v>9</v>
      </c>
    </row>
    <row r="300" spans="1:6">
      <c r="A300" t="s">
        <v>214</v>
      </c>
      <c r="B300" t="s">
        <v>43</v>
      </c>
      <c r="C300" s="4">
        <v>45867</v>
      </c>
      <c r="D300">
        <v>37.799999999999997</v>
      </c>
      <c r="E300" t="s">
        <v>8</v>
      </c>
      <c r="F300" t="s">
        <v>9</v>
      </c>
    </row>
    <row r="301" spans="1:6">
      <c r="A301" t="s">
        <v>272</v>
      </c>
      <c r="B301" t="s">
        <v>273</v>
      </c>
      <c r="C301" s="4">
        <v>46147</v>
      </c>
      <c r="D301">
        <v>16.2</v>
      </c>
      <c r="E301" t="s">
        <v>8</v>
      </c>
      <c r="F301" t="s">
        <v>9</v>
      </c>
    </row>
    <row r="302" spans="1:6">
      <c r="A302" t="s">
        <v>41</v>
      </c>
      <c r="B302" t="s">
        <v>226</v>
      </c>
      <c r="C302" s="4">
        <v>45895</v>
      </c>
      <c r="D302">
        <v>46.4</v>
      </c>
      <c r="E302" t="s">
        <v>8</v>
      </c>
      <c r="F302" t="s">
        <v>12</v>
      </c>
    </row>
    <row r="303" spans="1:6">
      <c r="A303" t="s">
        <v>242</v>
      </c>
      <c r="B303" t="s">
        <v>71</v>
      </c>
      <c r="C303" s="4">
        <v>45965</v>
      </c>
      <c r="D303">
        <v>23</v>
      </c>
      <c r="E303" t="s">
        <v>19</v>
      </c>
      <c r="F303" t="s">
        <v>9</v>
      </c>
    </row>
    <row r="304" spans="1:6">
      <c r="A304" t="s">
        <v>83</v>
      </c>
      <c r="B304" t="s">
        <v>116</v>
      </c>
      <c r="C304" s="4">
        <v>45839</v>
      </c>
      <c r="D304">
        <v>30.4</v>
      </c>
      <c r="E304" t="s">
        <v>8</v>
      </c>
      <c r="F304" t="s">
        <v>9</v>
      </c>
    </row>
    <row r="305" spans="1:6">
      <c r="A305" t="s">
        <v>64</v>
      </c>
      <c r="B305" t="s">
        <v>11</v>
      </c>
      <c r="C305" s="4">
        <v>45979</v>
      </c>
      <c r="D305">
        <v>7</v>
      </c>
      <c r="E305" t="s">
        <v>30</v>
      </c>
      <c r="F305" t="s">
        <v>9</v>
      </c>
    </row>
    <row r="306" spans="1:6">
      <c r="A306" t="s">
        <v>15</v>
      </c>
      <c r="B306" t="s">
        <v>188</v>
      </c>
      <c r="C306" s="4">
        <v>46056</v>
      </c>
      <c r="D306">
        <v>16.2</v>
      </c>
      <c r="E306" t="s">
        <v>8</v>
      </c>
      <c r="F306" t="s">
        <v>9</v>
      </c>
    </row>
    <row r="307" spans="1:6">
      <c r="A307" t="s">
        <v>169</v>
      </c>
      <c r="B307" t="s">
        <v>38</v>
      </c>
      <c r="C307" s="4">
        <v>46014</v>
      </c>
      <c r="D307">
        <v>14.8</v>
      </c>
      <c r="E307" t="s">
        <v>8</v>
      </c>
      <c r="F307" t="s">
        <v>9</v>
      </c>
    </row>
    <row r="308" spans="1:6">
      <c r="A308" t="s">
        <v>35</v>
      </c>
      <c r="B308" t="s">
        <v>133</v>
      </c>
      <c r="C308" s="4">
        <v>46098</v>
      </c>
      <c r="D308">
        <v>7.9</v>
      </c>
      <c r="E308" t="s">
        <v>30</v>
      </c>
      <c r="F308" t="s">
        <v>9</v>
      </c>
    </row>
    <row r="309" spans="1:6">
      <c r="A309" t="s">
        <v>274</v>
      </c>
      <c r="B309" t="s">
        <v>232</v>
      </c>
      <c r="C309" s="4">
        <v>45902</v>
      </c>
      <c r="D309">
        <v>15.8</v>
      </c>
      <c r="E309" t="s">
        <v>8</v>
      </c>
      <c r="F309" t="s">
        <v>9</v>
      </c>
    </row>
    <row r="310" spans="1:6">
      <c r="A310" t="s">
        <v>275</v>
      </c>
      <c r="B310" t="s">
        <v>114</v>
      </c>
      <c r="C310" s="4">
        <v>45839</v>
      </c>
      <c r="D310">
        <v>46.2</v>
      </c>
      <c r="E310" t="s">
        <v>30</v>
      </c>
      <c r="F310" t="s">
        <v>12</v>
      </c>
    </row>
    <row r="311" spans="1:6">
      <c r="A311" t="s">
        <v>107</v>
      </c>
      <c r="B311" t="s">
        <v>155</v>
      </c>
      <c r="C311" s="4">
        <v>46021</v>
      </c>
      <c r="D311">
        <v>0.4</v>
      </c>
      <c r="E311" t="s">
        <v>8</v>
      </c>
      <c r="F311" t="s">
        <v>9</v>
      </c>
    </row>
    <row r="312" spans="1:6">
      <c r="A312" t="s">
        <v>201</v>
      </c>
      <c r="B312" t="s">
        <v>29</v>
      </c>
      <c r="C312" s="4">
        <v>46077</v>
      </c>
      <c r="D312">
        <v>38.799999999999997</v>
      </c>
      <c r="E312" t="s">
        <v>8</v>
      </c>
      <c r="F312" t="s">
        <v>9</v>
      </c>
    </row>
    <row r="313" spans="1:6">
      <c r="A313" t="s">
        <v>200</v>
      </c>
      <c r="B313" t="s">
        <v>97</v>
      </c>
      <c r="C313" s="4">
        <v>45902</v>
      </c>
      <c r="D313">
        <v>6.8</v>
      </c>
      <c r="E313" t="s">
        <v>8</v>
      </c>
      <c r="F313" t="s">
        <v>9</v>
      </c>
    </row>
    <row r="314" spans="1:6">
      <c r="A314" t="s">
        <v>238</v>
      </c>
      <c r="B314" t="s">
        <v>120</v>
      </c>
      <c r="C314" s="4">
        <v>45895</v>
      </c>
      <c r="D314">
        <v>38.9</v>
      </c>
      <c r="E314" t="s">
        <v>8</v>
      </c>
      <c r="F314" t="s">
        <v>9</v>
      </c>
    </row>
    <row r="315" spans="1:6">
      <c r="A315" t="s">
        <v>95</v>
      </c>
      <c r="B315" t="s">
        <v>11</v>
      </c>
      <c r="C315" s="4">
        <v>46042</v>
      </c>
      <c r="D315">
        <v>23.3</v>
      </c>
      <c r="E315" t="s">
        <v>19</v>
      </c>
      <c r="F315" t="s">
        <v>9</v>
      </c>
    </row>
    <row r="316" spans="1:6">
      <c r="A316" t="s">
        <v>276</v>
      </c>
      <c r="B316" t="s">
        <v>103</v>
      </c>
      <c r="C316" s="4">
        <v>45979</v>
      </c>
      <c r="D316">
        <v>0.1</v>
      </c>
      <c r="E316" t="s">
        <v>8</v>
      </c>
      <c r="F316" t="s">
        <v>9</v>
      </c>
    </row>
    <row r="317" spans="1:6">
      <c r="A317" t="s">
        <v>20</v>
      </c>
      <c r="B317" t="s">
        <v>168</v>
      </c>
      <c r="C317" s="4">
        <v>46098</v>
      </c>
      <c r="D317">
        <v>-0.2</v>
      </c>
      <c r="E317" t="s">
        <v>8</v>
      </c>
      <c r="F317" t="s">
        <v>12</v>
      </c>
    </row>
    <row r="318" spans="1:6">
      <c r="A318" t="s">
        <v>272</v>
      </c>
      <c r="B318" t="s">
        <v>80</v>
      </c>
      <c r="C318" s="4">
        <v>45944</v>
      </c>
      <c r="D318">
        <v>30.7</v>
      </c>
      <c r="E318" t="s">
        <v>19</v>
      </c>
      <c r="F318" t="s">
        <v>9</v>
      </c>
    </row>
    <row r="319" spans="1:6">
      <c r="A319" t="s">
        <v>169</v>
      </c>
      <c r="B319" t="s">
        <v>74</v>
      </c>
      <c r="C319" s="4">
        <v>46042</v>
      </c>
      <c r="D319">
        <v>22.5</v>
      </c>
      <c r="E319" t="s">
        <v>8</v>
      </c>
      <c r="F319" t="s">
        <v>9</v>
      </c>
    </row>
    <row r="320" spans="1:6">
      <c r="A320" t="s">
        <v>277</v>
      </c>
      <c r="B320" t="s">
        <v>223</v>
      </c>
      <c r="C320" s="4">
        <v>46042</v>
      </c>
      <c r="D320">
        <v>8</v>
      </c>
      <c r="E320" t="s">
        <v>8</v>
      </c>
      <c r="F320" t="s">
        <v>9</v>
      </c>
    </row>
    <row r="321" spans="1:6">
      <c r="A321" t="s">
        <v>237</v>
      </c>
      <c r="B321" t="s">
        <v>36</v>
      </c>
      <c r="C321" s="4">
        <v>45874</v>
      </c>
      <c r="D321">
        <v>-0.3</v>
      </c>
      <c r="E321" t="s">
        <v>8</v>
      </c>
      <c r="F321" t="s">
        <v>12</v>
      </c>
    </row>
    <row r="322" spans="1:6">
      <c r="A322" t="s">
        <v>44</v>
      </c>
      <c r="B322" t="s">
        <v>7</v>
      </c>
      <c r="C322" s="4">
        <v>45916</v>
      </c>
      <c r="D322">
        <v>15.1</v>
      </c>
      <c r="E322" t="s">
        <v>19</v>
      </c>
      <c r="F322" t="s">
        <v>12</v>
      </c>
    </row>
    <row r="323" spans="1:6">
      <c r="A323" t="s">
        <v>278</v>
      </c>
      <c r="B323" t="s">
        <v>170</v>
      </c>
      <c r="C323" s="4">
        <v>46133</v>
      </c>
      <c r="D323">
        <v>14.3</v>
      </c>
      <c r="E323" t="s">
        <v>19</v>
      </c>
      <c r="F323" t="s">
        <v>9</v>
      </c>
    </row>
    <row r="324" spans="1:6">
      <c r="A324" t="s">
        <v>122</v>
      </c>
      <c r="B324" t="s">
        <v>248</v>
      </c>
      <c r="C324" s="4">
        <v>46091</v>
      </c>
      <c r="D324">
        <v>30.8</v>
      </c>
      <c r="E324" t="s">
        <v>30</v>
      </c>
      <c r="F324" t="s">
        <v>9</v>
      </c>
    </row>
    <row r="325" spans="1:6">
      <c r="A325" t="s">
        <v>55</v>
      </c>
      <c r="B325" t="s">
        <v>118</v>
      </c>
      <c r="C325" s="4">
        <v>46028</v>
      </c>
      <c r="D325">
        <v>8.1</v>
      </c>
      <c r="E325" t="s">
        <v>8</v>
      </c>
      <c r="F325" t="s">
        <v>9</v>
      </c>
    </row>
    <row r="326" spans="1:6">
      <c r="A326" t="s">
        <v>141</v>
      </c>
      <c r="B326" t="s">
        <v>59</v>
      </c>
      <c r="C326" s="4">
        <v>46000</v>
      </c>
      <c r="D326">
        <v>22.9</v>
      </c>
      <c r="E326" t="s">
        <v>8</v>
      </c>
      <c r="F326" t="s">
        <v>9</v>
      </c>
    </row>
    <row r="327" spans="1:6">
      <c r="A327" t="s">
        <v>256</v>
      </c>
      <c r="B327" t="s">
        <v>164</v>
      </c>
      <c r="C327" s="4">
        <v>45979</v>
      </c>
      <c r="D327">
        <v>38.5</v>
      </c>
      <c r="E327" t="s">
        <v>30</v>
      </c>
      <c r="F327" t="s">
        <v>9</v>
      </c>
    </row>
    <row r="328" spans="1:6">
      <c r="A328" t="s">
        <v>20</v>
      </c>
      <c r="B328" t="s">
        <v>219</v>
      </c>
      <c r="C328" s="4">
        <v>46154</v>
      </c>
      <c r="D328">
        <v>44.8</v>
      </c>
      <c r="E328" t="s">
        <v>30</v>
      </c>
      <c r="F328" t="s">
        <v>12</v>
      </c>
    </row>
    <row r="329" spans="1:6">
      <c r="A329" t="s">
        <v>26</v>
      </c>
      <c r="B329" t="s">
        <v>101</v>
      </c>
      <c r="C329" s="4">
        <v>45860</v>
      </c>
      <c r="D329">
        <v>1</v>
      </c>
      <c r="E329" t="s">
        <v>8</v>
      </c>
      <c r="F329" t="s">
        <v>9</v>
      </c>
    </row>
    <row r="330" spans="1:6">
      <c r="A330" t="s">
        <v>279</v>
      </c>
      <c r="B330" t="s">
        <v>212</v>
      </c>
      <c r="C330" s="4">
        <v>46077</v>
      </c>
      <c r="D330">
        <v>0.6</v>
      </c>
      <c r="E330" t="s">
        <v>30</v>
      </c>
      <c r="F330" t="s">
        <v>9</v>
      </c>
    </row>
    <row r="331" spans="1:6">
      <c r="A331" t="s">
        <v>231</v>
      </c>
      <c r="B331" t="s">
        <v>114</v>
      </c>
      <c r="C331" s="4">
        <v>46084</v>
      </c>
      <c r="D331">
        <v>30.6</v>
      </c>
      <c r="E331" t="s">
        <v>8</v>
      </c>
      <c r="F331" t="s">
        <v>9</v>
      </c>
    </row>
    <row r="332" spans="1:6">
      <c r="A332" t="s">
        <v>179</v>
      </c>
      <c r="B332" t="s">
        <v>212</v>
      </c>
      <c r="C332" s="4">
        <v>45916</v>
      </c>
      <c r="D332">
        <v>0</v>
      </c>
      <c r="E332" t="s">
        <v>8</v>
      </c>
      <c r="F332" t="s">
        <v>12</v>
      </c>
    </row>
    <row r="333" spans="1:6">
      <c r="A333" t="s">
        <v>276</v>
      </c>
      <c r="B333" t="s">
        <v>82</v>
      </c>
      <c r="C333" s="4">
        <v>45860</v>
      </c>
      <c r="D333">
        <v>44.8</v>
      </c>
      <c r="E333" t="s">
        <v>8</v>
      </c>
      <c r="F333" t="s">
        <v>12</v>
      </c>
    </row>
    <row r="334" spans="1:6">
      <c r="A334" t="s">
        <v>55</v>
      </c>
      <c r="B334" t="s">
        <v>170</v>
      </c>
      <c r="C334" s="4">
        <v>46049</v>
      </c>
      <c r="D334">
        <v>14.2</v>
      </c>
      <c r="E334" t="s">
        <v>8</v>
      </c>
      <c r="F334" t="s">
        <v>9</v>
      </c>
    </row>
    <row r="335" spans="1:6">
      <c r="A335" t="s">
        <v>207</v>
      </c>
      <c r="B335" t="s">
        <v>245</v>
      </c>
      <c r="C335" s="4">
        <v>45965</v>
      </c>
      <c r="D335">
        <v>37.299999999999997</v>
      </c>
      <c r="E335" t="s">
        <v>19</v>
      </c>
      <c r="F335" t="s">
        <v>9</v>
      </c>
    </row>
    <row r="336" spans="1:6">
      <c r="A336" t="s">
        <v>251</v>
      </c>
      <c r="B336" t="s">
        <v>249</v>
      </c>
      <c r="C336" s="4">
        <v>45902</v>
      </c>
      <c r="D336">
        <v>7.1</v>
      </c>
      <c r="E336" t="s">
        <v>8</v>
      </c>
      <c r="F336" t="s">
        <v>9</v>
      </c>
    </row>
    <row r="337" spans="1:6">
      <c r="A337" t="s">
        <v>166</v>
      </c>
      <c r="B337" t="s">
        <v>106</v>
      </c>
      <c r="C337" s="4">
        <v>46126</v>
      </c>
      <c r="D337">
        <v>15.7</v>
      </c>
      <c r="E337" t="s">
        <v>19</v>
      </c>
      <c r="F337" t="s">
        <v>9</v>
      </c>
    </row>
    <row r="338" spans="1:6">
      <c r="A338" t="s">
        <v>47</v>
      </c>
      <c r="B338" t="s">
        <v>114</v>
      </c>
      <c r="C338" s="4">
        <v>46021</v>
      </c>
      <c r="D338">
        <v>23</v>
      </c>
      <c r="E338" t="s">
        <v>30</v>
      </c>
      <c r="F338" t="s">
        <v>9</v>
      </c>
    </row>
    <row r="339" spans="1:6">
      <c r="A339" t="s">
        <v>218</v>
      </c>
      <c r="B339" t="s">
        <v>97</v>
      </c>
      <c r="C339" s="4">
        <v>46140</v>
      </c>
      <c r="D339">
        <v>15.7</v>
      </c>
      <c r="E339" t="s">
        <v>30</v>
      </c>
      <c r="F339" t="s">
        <v>9</v>
      </c>
    </row>
    <row r="340" spans="1:6">
      <c r="A340" t="s">
        <v>280</v>
      </c>
      <c r="B340" t="s">
        <v>57</v>
      </c>
      <c r="C340" s="4">
        <v>46119</v>
      </c>
      <c r="D340">
        <v>16.2</v>
      </c>
      <c r="E340" t="s">
        <v>8</v>
      </c>
      <c r="F340" t="s">
        <v>9</v>
      </c>
    </row>
    <row r="341" spans="1:6">
      <c r="A341" t="s">
        <v>70</v>
      </c>
      <c r="B341" t="s">
        <v>18</v>
      </c>
      <c r="C341" s="4">
        <v>45937</v>
      </c>
      <c r="D341">
        <v>-0.7</v>
      </c>
      <c r="E341" t="s">
        <v>30</v>
      </c>
      <c r="F341" t="s">
        <v>12</v>
      </c>
    </row>
    <row r="342" spans="1:6">
      <c r="A342" t="s">
        <v>41</v>
      </c>
      <c r="B342" t="s">
        <v>151</v>
      </c>
      <c r="C342" s="4">
        <v>45895</v>
      </c>
      <c r="D342">
        <v>46.4</v>
      </c>
      <c r="E342" t="s">
        <v>8</v>
      </c>
      <c r="F342" t="s">
        <v>12</v>
      </c>
    </row>
    <row r="343" spans="1:6">
      <c r="A343" t="s">
        <v>198</v>
      </c>
      <c r="B343" t="s">
        <v>273</v>
      </c>
      <c r="C343" s="4">
        <v>45895</v>
      </c>
      <c r="D343">
        <v>37.200000000000003</v>
      </c>
      <c r="E343" t="s">
        <v>8</v>
      </c>
      <c r="F343" t="s">
        <v>9</v>
      </c>
    </row>
    <row r="344" spans="1:6">
      <c r="A344" t="s">
        <v>6</v>
      </c>
      <c r="B344" t="s">
        <v>281</v>
      </c>
      <c r="C344" s="4">
        <v>45951</v>
      </c>
      <c r="D344">
        <v>29.8</v>
      </c>
      <c r="E344" t="s">
        <v>30</v>
      </c>
      <c r="F344" t="s">
        <v>9</v>
      </c>
    </row>
    <row r="345" spans="1:6">
      <c r="A345" t="s">
        <v>282</v>
      </c>
      <c r="B345" t="s">
        <v>253</v>
      </c>
      <c r="C345" s="4">
        <v>46154</v>
      </c>
      <c r="D345">
        <v>0.2</v>
      </c>
      <c r="E345" t="s">
        <v>19</v>
      </c>
      <c r="F345" t="s">
        <v>9</v>
      </c>
    </row>
    <row r="346" spans="1:6">
      <c r="A346" t="s">
        <v>15</v>
      </c>
      <c r="B346" t="s">
        <v>151</v>
      </c>
      <c r="C346" s="4">
        <v>46014</v>
      </c>
      <c r="D346">
        <v>37.200000000000003</v>
      </c>
      <c r="E346" t="s">
        <v>8</v>
      </c>
      <c r="F346" t="s">
        <v>9</v>
      </c>
    </row>
    <row r="347" spans="1:6">
      <c r="A347" t="s">
        <v>182</v>
      </c>
      <c r="B347" t="s">
        <v>269</v>
      </c>
      <c r="C347" s="4">
        <v>45867</v>
      </c>
      <c r="D347">
        <v>44.6</v>
      </c>
      <c r="E347" t="s">
        <v>8</v>
      </c>
      <c r="F347" t="s">
        <v>12</v>
      </c>
    </row>
    <row r="348" spans="1:6">
      <c r="A348" t="s">
        <v>143</v>
      </c>
      <c r="B348" t="s">
        <v>283</v>
      </c>
      <c r="C348" s="4">
        <v>46021</v>
      </c>
      <c r="D348">
        <v>46.4</v>
      </c>
      <c r="E348" t="s">
        <v>30</v>
      </c>
      <c r="F348" t="s">
        <v>12</v>
      </c>
    </row>
    <row r="349" spans="1:6">
      <c r="A349" t="s">
        <v>83</v>
      </c>
      <c r="B349" t="s">
        <v>45</v>
      </c>
      <c r="C349" s="4">
        <v>45972</v>
      </c>
      <c r="D349">
        <v>31.1</v>
      </c>
      <c r="E349" t="s">
        <v>8</v>
      </c>
      <c r="F349" t="s">
        <v>9</v>
      </c>
    </row>
    <row r="350" spans="1:6">
      <c r="A350" t="s">
        <v>214</v>
      </c>
      <c r="B350" t="s">
        <v>163</v>
      </c>
      <c r="C350" s="4">
        <v>46070</v>
      </c>
      <c r="D350">
        <v>14.4</v>
      </c>
      <c r="E350" t="s">
        <v>30</v>
      </c>
      <c r="F350" t="s">
        <v>9</v>
      </c>
    </row>
    <row r="351" spans="1:6">
      <c r="A351" t="s">
        <v>177</v>
      </c>
      <c r="B351" t="s">
        <v>186</v>
      </c>
      <c r="C351" s="4">
        <v>46077</v>
      </c>
      <c r="D351">
        <v>-0.4</v>
      </c>
      <c r="E351" t="s">
        <v>30</v>
      </c>
      <c r="F351" t="s">
        <v>12</v>
      </c>
    </row>
    <row r="352" spans="1:6">
      <c r="A352" t="s">
        <v>284</v>
      </c>
      <c r="B352" t="s">
        <v>285</v>
      </c>
      <c r="C352" s="4">
        <v>45902</v>
      </c>
      <c r="D352">
        <v>37.200000000000003</v>
      </c>
      <c r="E352" t="s">
        <v>19</v>
      </c>
      <c r="F352" t="s">
        <v>9</v>
      </c>
    </row>
    <row r="353" spans="1:6">
      <c r="A353" t="s">
        <v>241</v>
      </c>
      <c r="B353" t="s">
        <v>194</v>
      </c>
      <c r="C353" s="4">
        <v>45839</v>
      </c>
      <c r="D353">
        <v>37.1</v>
      </c>
      <c r="E353" t="s">
        <v>8</v>
      </c>
      <c r="F353" t="s">
        <v>9</v>
      </c>
    </row>
    <row r="354" spans="1:6">
      <c r="A354" t="s">
        <v>28</v>
      </c>
      <c r="B354" t="s">
        <v>138</v>
      </c>
      <c r="C354" s="4">
        <v>46021</v>
      </c>
      <c r="D354">
        <v>0.9</v>
      </c>
      <c r="E354" t="s">
        <v>8</v>
      </c>
      <c r="F354" t="s">
        <v>9</v>
      </c>
    </row>
    <row r="355" spans="1:6">
      <c r="A355" t="s">
        <v>35</v>
      </c>
      <c r="B355" t="s">
        <v>159</v>
      </c>
      <c r="C355" s="4">
        <v>45937</v>
      </c>
      <c r="D355">
        <v>45.4</v>
      </c>
      <c r="E355" t="s">
        <v>8</v>
      </c>
      <c r="F355" t="s">
        <v>12</v>
      </c>
    </row>
    <row r="356" spans="1:6">
      <c r="A356" t="s">
        <v>65</v>
      </c>
      <c r="B356" t="s">
        <v>193</v>
      </c>
      <c r="C356" s="4">
        <v>46014</v>
      </c>
      <c r="D356">
        <v>22.5</v>
      </c>
      <c r="E356" t="s">
        <v>8</v>
      </c>
      <c r="F356" t="s">
        <v>9</v>
      </c>
    </row>
    <row r="357" spans="1:6">
      <c r="A357" t="s">
        <v>135</v>
      </c>
      <c r="B357" t="s">
        <v>40</v>
      </c>
      <c r="C357" s="4">
        <v>45951</v>
      </c>
      <c r="D357">
        <v>23.1</v>
      </c>
      <c r="E357" t="s">
        <v>8</v>
      </c>
      <c r="F357" t="s">
        <v>9</v>
      </c>
    </row>
    <row r="358" spans="1:6">
      <c r="A358" t="s">
        <v>242</v>
      </c>
      <c r="B358" t="s">
        <v>21</v>
      </c>
      <c r="C358" s="4">
        <v>45923</v>
      </c>
      <c r="D358">
        <v>45.2</v>
      </c>
      <c r="E358" t="s">
        <v>30</v>
      </c>
      <c r="F358" t="s">
        <v>12</v>
      </c>
    </row>
    <row r="359" spans="1:6">
      <c r="A359" t="s">
        <v>154</v>
      </c>
      <c r="B359" t="s">
        <v>71</v>
      </c>
      <c r="C359" s="4">
        <v>46021</v>
      </c>
      <c r="D359">
        <v>21.8</v>
      </c>
      <c r="E359" t="s">
        <v>30</v>
      </c>
      <c r="F359" t="s">
        <v>9</v>
      </c>
    </row>
    <row r="360" spans="1:6">
      <c r="A360" t="s">
        <v>207</v>
      </c>
      <c r="B360" t="s">
        <v>219</v>
      </c>
      <c r="C360" s="4">
        <v>46042</v>
      </c>
      <c r="D360">
        <v>14.5</v>
      </c>
      <c r="E360" t="s">
        <v>8</v>
      </c>
      <c r="F360" t="s">
        <v>9</v>
      </c>
    </row>
    <row r="361" spans="1:6">
      <c r="A361" t="s">
        <v>279</v>
      </c>
      <c r="B361" t="s">
        <v>286</v>
      </c>
      <c r="C361" s="4">
        <v>45888</v>
      </c>
      <c r="D361">
        <v>7.2</v>
      </c>
      <c r="E361" t="s">
        <v>8</v>
      </c>
      <c r="F361" t="s">
        <v>9</v>
      </c>
    </row>
    <row r="362" spans="1:6">
      <c r="A362" t="s">
        <v>98</v>
      </c>
      <c r="B362" t="s">
        <v>127</v>
      </c>
      <c r="C362" s="4">
        <v>46021</v>
      </c>
      <c r="D362">
        <v>44.9</v>
      </c>
      <c r="E362" t="s">
        <v>30</v>
      </c>
      <c r="F362" t="s">
        <v>12</v>
      </c>
    </row>
    <row r="363" spans="1:6">
      <c r="A363" t="s">
        <v>191</v>
      </c>
      <c r="B363" t="s">
        <v>173</v>
      </c>
      <c r="C363" s="4">
        <v>46084</v>
      </c>
      <c r="D363">
        <v>45.2</v>
      </c>
      <c r="E363" t="s">
        <v>30</v>
      </c>
      <c r="F363" t="s">
        <v>12</v>
      </c>
    </row>
    <row r="364" spans="1:6">
      <c r="A364" t="s">
        <v>28</v>
      </c>
      <c r="B364" t="s">
        <v>185</v>
      </c>
      <c r="C364" s="4">
        <v>46063</v>
      </c>
      <c r="D364">
        <v>0</v>
      </c>
      <c r="E364" t="s">
        <v>19</v>
      </c>
      <c r="F364" t="s">
        <v>12</v>
      </c>
    </row>
    <row r="365" spans="1:6">
      <c r="A365" t="s">
        <v>287</v>
      </c>
      <c r="B365" t="s">
        <v>59</v>
      </c>
      <c r="C365" s="4">
        <v>46056</v>
      </c>
      <c r="D365">
        <v>38.9</v>
      </c>
      <c r="E365" t="s">
        <v>30</v>
      </c>
      <c r="F365" t="s">
        <v>9</v>
      </c>
    </row>
    <row r="366" spans="1:6">
      <c r="A366" t="s">
        <v>139</v>
      </c>
      <c r="B366" t="s">
        <v>56</v>
      </c>
      <c r="C366" s="4">
        <v>46021</v>
      </c>
      <c r="D366">
        <v>15.5</v>
      </c>
      <c r="E366" t="s">
        <v>30</v>
      </c>
      <c r="F366" t="s">
        <v>9</v>
      </c>
    </row>
    <row r="367" spans="1:6">
      <c r="A367" t="s">
        <v>288</v>
      </c>
      <c r="B367" t="s">
        <v>249</v>
      </c>
      <c r="C367" s="4">
        <v>46105</v>
      </c>
      <c r="D367">
        <v>38.4</v>
      </c>
      <c r="E367" t="s">
        <v>8</v>
      </c>
      <c r="F367" t="s">
        <v>9</v>
      </c>
    </row>
    <row r="368" spans="1:6">
      <c r="A368" t="s">
        <v>60</v>
      </c>
      <c r="B368" t="s">
        <v>162</v>
      </c>
      <c r="C368" s="4">
        <v>45986</v>
      </c>
      <c r="D368">
        <v>-0.5</v>
      </c>
      <c r="E368" t="s">
        <v>8</v>
      </c>
      <c r="F368" t="s">
        <v>12</v>
      </c>
    </row>
    <row r="369" spans="1:6">
      <c r="A369" t="s">
        <v>26</v>
      </c>
      <c r="B369" t="s">
        <v>49</v>
      </c>
      <c r="C369" s="4">
        <v>45916</v>
      </c>
      <c r="D369">
        <v>23.1</v>
      </c>
      <c r="E369" t="s">
        <v>8</v>
      </c>
      <c r="F369" t="s">
        <v>9</v>
      </c>
    </row>
    <row r="370" spans="1:6">
      <c r="A370" t="s">
        <v>289</v>
      </c>
      <c r="B370" t="s">
        <v>235</v>
      </c>
      <c r="C370" s="4">
        <v>45944</v>
      </c>
      <c r="D370">
        <v>23.7</v>
      </c>
      <c r="E370" t="s">
        <v>19</v>
      </c>
      <c r="F370" t="s">
        <v>12</v>
      </c>
    </row>
    <row r="371" spans="1:6">
      <c r="A371" t="s">
        <v>149</v>
      </c>
      <c r="B371" t="s">
        <v>123</v>
      </c>
      <c r="C371" s="4">
        <v>45867</v>
      </c>
      <c r="D371">
        <v>8</v>
      </c>
      <c r="E371" t="s">
        <v>8</v>
      </c>
      <c r="F371" t="s">
        <v>9</v>
      </c>
    </row>
    <row r="372" spans="1:6">
      <c r="A372" t="s">
        <v>119</v>
      </c>
      <c r="B372" t="s">
        <v>84</v>
      </c>
      <c r="C372" s="4">
        <v>46056</v>
      </c>
      <c r="D372">
        <v>29.5</v>
      </c>
      <c r="E372" t="s">
        <v>19</v>
      </c>
      <c r="F372" t="s">
        <v>12</v>
      </c>
    </row>
    <row r="373" spans="1:6">
      <c r="A373" t="s">
        <v>266</v>
      </c>
      <c r="B373" t="s">
        <v>40</v>
      </c>
      <c r="C373" s="4">
        <v>46007</v>
      </c>
      <c r="D373">
        <v>45.7</v>
      </c>
      <c r="E373" t="s">
        <v>8</v>
      </c>
      <c r="F373" t="s">
        <v>12</v>
      </c>
    </row>
    <row r="374" spans="1:6">
      <c r="A374" t="s">
        <v>158</v>
      </c>
      <c r="B374" t="s">
        <v>120</v>
      </c>
      <c r="C374" s="4">
        <v>46042</v>
      </c>
      <c r="D374">
        <v>30.6</v>
      </c>
      <c r="E374" t="s">
        <v>19</v>
      </c>
      <c r="F374" t="s">
        <v>9</v>
      </c>
    </row>
    <row r="375" spans="1:6">
      <c r="A375" t="s">
        <v>290</v>
      </c>
      <c r="B375" t="s">
        <v>170</v>
      </c>
      <c r="C375" s="4">
        <v>46119</v>
      </c>
      <c r="D375">
        <v>23.7</v>
      </c>
      <c r="E375" t="s">
        <v>8</v>
      </c>
      <c r="F375" t="s">
        <v>9</v>
      </c>
    </row>
    <row r="376" spans="1:6">
      <c r="A376" t="s">
        <v>174</v>
      </c>
      <c r="B376" t="s">
        <v>286</v>
      </c>
      <c r="C376" s="4">
        <v>46000</v>
      </c>
      <c r="D376">
        <v>37.9</v>
      </c>
      <c r="E376" t="s">
        <v>19</v>
      </c>
      <c r="F376" t="s">
        <v>9</v>
      </c>
    </row>
    <row r="377" spans="1:6">
      <c r="A377" t="s">
        <v>24</v>
      </c>
      <c r="B377" t="s">
        <v>40</v>
      </c>
      <c r="C377" s="4">
        <v>46063</v>
      </c>
      <c r="D377">
        <v>31.3</v>
      </c>
      <c r="E377" t="s">
        <v>8</v>
      </c>
      <c r="F377" t="s">
        <v>9</v>
      </c>
    </row>
    <row r="378" spans="1:6">
      <c r="A378" t="s">
        <v>241</v>
      </c>
      <c r="B378" t="s">
        <v>38</v>
      </c>
      <c r="C378" s="4">
        <v>45958</v>
      </c>
      <c r="D378">
        <v>14.4</v>
      </c>
      <c r="E378" t="s">
        <v>8</v>
      </c>
      <c r="F378" t="s">
        <v>9</v>
      </c>
    </row>
    <row r="379" spans="1:6">
      <c r="A379" t="s">
        <v>79</v>
      </c>
      <c r="B379" t="s">
        <v>116</v>
      </c>
      <c r="C379" s="4">
        <v>46077</v>
      </c>
      <c r="D379">
        <v>46.4</v>
      </c>
      <c r="E379" t="s">
        <v>30</v>
      </c>
      <c r="F379" t="s">
        <v>12</v>
      </c>
    </row>
    <row r="380" spans="1:6">
      <c r="A380" t="s">
        <v>243</v>
      </c>
      <c r="B380" t="s">
        <v>215</v>
      </c>
      <c r="C380" s="4">
        <v>45972</v>
      </c>
      <c r="D380">
        <v>37.200000000000003</v>
      </c>
      <c r="E380" t="s">
        <v>8</v>
      </c>
      <c r="F380" t="s">
        <v>9</v>
      </c>
    </row>
    <row r="381" spans="1:6">
      <c r="A381" t="s">
        <v>130</v>
      </c>
      <c r="B381" t="s">
        <v>108</v>
      </c>
      <c r="C381" s="4">
        <v>45902</v>
      </c>
      <c r="D381">
        <v>23.4</v>
      </c>
      <c r="E381" t="s">
        <v>8</v>
      </c>
      <c r="F381" t="s">
        <v>9</v>
      </c>
    </row>
    <row r="382" spans="1:6">
      <c r="A382" t="s">
        <v>290</v>
      </c>
      <c r="B382" t="s">
        <v>21</v>
      </c>
      <c r="C382" s="4">
        <v>45972</v>
      </c>
      <c r="D382">
        <v>-0.1</v>
      </c>
      <c r="E382" t="s">
        <v>8</v>
      </c>
      <c r="F382" t="s">
        <v>12</v>
      </c>
    </row>
    <row r="383" spans="1:6">
      <c r="A383" t="s">
        <v>241</v>
      </c>
      <c r="B383" t="s">
        <v>97</v>
      </c>
      <c r="C383" s="4">
        <v>46042</v>
      </c>
      <c r="D383">
        <v>1</v>
      </c>
      <c r="E383" t="s">
        <v>8</v>
      </c>
      <c r="F383" t="s">
        <v>9</v>
      </c>
    </row>
    <row r="384" spans="1:6">
      <c r="A384" t="s">
        <v>216</v>
      </c>
      <c r="B384" t="s">
        <v>40</v>
      </c>
      <c r="C384" s="4">
        <v>46154</v>
      </c>
      <c r="D384">
        <v>39</v>
      </c>
      <c r="E384" t="s">
        <v>8</v>
      </c>
      <c r="F384" t="s">
        <v>9</v>
      </c>
    </row>
    <row r="385" spans="1:6">
      <c r="A385" t="s">
        <v>111</v>
      </c>
      <c r="B385" t="s">
        <v>121</v>
      </c>
      <c r="C385" s="4">
        <v>45965</v>
      </c>
      <c r="D385">
        <v>8.6</v>
      </c>
      <c r="E385" t="s">
        <v>19</v>
      </c>
      <c r="F385" t="s">
        <v>9</v>
      </c>
    </row>
    <row r="386" spans="1:6">
      <c r="A386" t="s">
        <v>39</v>
      </c>
      <c r="B386" t="s">
        <v>32</v>
      </c>
      <c r="C386" s="4">
        <v>45944</v>
      </c>
      <c r="D386">
        <v>0.8</v>
      </c>
      <c r="E386" t="s">
        <v>19</v>
      </c>
      <c r="F386" t="s">
        <v>9</v>
      </c>
    </row>
    <row r="387" spans="1:6">
      <c r="A387" t="s">
        <v>206</v>
      </c>
      <c r="B387" t="s">
        <v>40</v>
      </c>
      <c r="C387" s="4">
        <v>45979</v>
      </c>
      <c r="D387">
        <v>22.2</v>
      </c>
      <c r="E387" t="s">
        <v>30</v>
      </c>
      <c r="F387" t="s">
        <v>9</v>
      </c>
    </row>
    <row r="388" spans="1:6">
      <c r="A388" t="s">
        <v>50</v>
      </c>
      <c r="B388" t="s">
        <v>71</v>
      </c>
      <c r="C388" s="4">
        <v>46021</v>
      </c>
      <c r="D388">
        <v>15.5</v>
      </c>
      <c r="E388" t="s">
        <v>8</v>
      </c>
      <c r="F388" t="s">
        <v>9</v>
      </c>
    </row>
    <row r="389" spans="1:6">
      <c r="A389" t="s">
        <v>278</v>
      </c>
      <c r="B389" t="s">
        <v>14</v>
      </c>
      <c r="C389" s="4">
        <v>46140</v>
      </c>
      <c r="D389">
        <v>6.7</v>
      </c>
      <c r="E389" t="s">
        <v>30</v>
      </c>
      <c r="F389" t="s">
        <v>9</v>
      </c>
    </row>
    <row r="390" spans="1:6">
      <c r="A390" t="s">
        <v>72</v>
      </c>
      <c r="B390" t="s">
        <v>87</v>
      </c>
      <c r="C390" s="4">
        <v>46070</v>
      </c>
      <c r="D390">
        <v>-0.3</v>
      </c>
      <c r="E390" t="s">
        <v>8</v>
      </c>
      <c r="F390" t="s">
        <v>12</v>
      </c>
    </row>
    <row r="391" spans="1:6">
      <c r="A391" t="s">
        <v>92</v>
      </c>
      <c r="B391" t="s">
        <v>105</v>
      </c>
      <c r="C391" s="4">
        <v>46000</v>
      </c>
      <c r="D391">
        <v>45.7</v>
      </c>
      <c r="E391" t="s">
        <v>8</v>
      </c>
      <c r="F391" t="s">
        <v>12</v>
      </c>
    </row>
    <row r="392" spans="1:6">
      <c r="A392" t="s">
        <v>156</v>
      </c>
      <c r="B392" t="s">
        <v>106</v>
      </c>
      <c r="C392" s="4">
        <v>45979</v>
      </c>
      <c r="D392">
        <v>14.6</v>
      </c>
      <c r="E392" t="s">
        <v>30</v>
      </c>
      <c r="F392" t="s">
        <v>9</v>
      </c>
    </row>
    <row r="393" spans="1:6">
      <c r="A393" t="s">
        <v>282</v>
      </c>
      <c r="B393" t="s">
        <v>106</v>
      </c>
      <c r="C393" s="4">
        <v>45916</v>
      </c>
      <c r="D393">
        <v>31.2</v>
      </c>
      <c r="E393" t="s">
        <v>8</v>
      </c>
      <c r="F393" t="s">
        <v>9</v>
      </c>
    </row>
    <row r="394" spans="1:6">
      <c r="A394" t="s">
        <v>166</v>
      </c>
      <c r="B394" t="s">
        <v>23</v>
      </c>
      <c r="C394" s="4">
        <v>45958</v>
      </c>
      <c r="D394">
        <v>0.4</v>
      </c>
      <c r="E394" t="s">
        <v>19</v>
      </c>
      <c r="F394" t="s">
        <v>9</v>
      </c>
    </row>
    <row r="395" spans="1:6">
      <c r="A395" t="s">
        <v>238</v>
      </c>
      <c r="B395" t="s">
        <v>87</v>
      </c>
      <c r="C395" s="4">
        <v>45923</v>
      </c>
      <c r="D395">
        <v>46.5</v>
      </c>
      <c r="E395" t="s">
        <v>19</v>
      </c>
      <c r="F395" t="s">
        <v>12</v>
      </c>
    </row>
    <row r="396" spans="1:6">
      <c r="A396" t="s">
        <v>176</v>
      </c>
      <c r="B396" t="s">
        <v>94</v>
      </c>
      <c r="C396" s="4">
        <v>46147</v>
      </c>
      <c r="D396">
        <v>37.799999999999997</v>
      </c>
      <c r="E396" t="s">
        <v>8</v>
      </c>
      <c r="F396" t="s">
        <v>9</v>
      </c>
    </row>
    <row r="397" spans="1:6">
      <c r="A397" t="s">
        <v>243</v>
      </c>
      <c r="B397" t="s">
        <v>235</v>
      </c>
      <c r="C397" s="4">
        <v>46035</v>
      </c>
      <c r="D397">
        <v>30.3</v>
      </c>
      <c r="E397" t="s">
        <v>30</v>
      </c>
      <c r="F397" t="s">
        <v>9</v>
      </c>
    </row>
    <row r="398" spans="1:6">
      <c r="A398" t="s">
        <v>166</v>
      </c>
      <c r="B398" t="s">
        <v>226</v>
      </c>
      <c r="C398" s="4">
        <v>45979</v>
      </c>
      <c r="D398">
        <v>29.8</v>
      </c>
      <c r="E398" t="s">
        <v>8</v>
      </c>
      <c r="F398" t="s">
        <v>9</v>
      </c>
    </row>
    <row r="399" spans="1:6">
      <c r="A399" t="s">
        <v>255</v>
      </c>
      <c r="B399" t="s">
        <v>106</v>
      </c>
      <c r="C399" s="4">
        <v>45860</v>
      </c>
      <c r="D399">
        <v>46.3</v>
      </c>
      <c r="E399" t="s">
        <v>19</v>
      </c>
      <c r="F399" t="s">
        <v>12</v>
      </c>
    </row>
    <row r="400" spans="1:6">
      <c r="A400" t="s">
        <v>178</v>
      </c>
      <c r="B400" t="s">
        <v>232</v>
      </c>
      <c r="C400" s="4">
        <v>45993</v>
      </c>
      <c r="D400">
        <v>-0.7</v>
      </c>
      <c r="E400" t="s">
        <v>8</v>
      </c>
      <c r="F400" t="s">
        <v>12</v>
      </c>
    </row>
    <row r="401" spans="1:6">
      <c r="A401" t="s">
        <v>20</v>
      </c>
      <c r="B401" t="s">
        <v>114</v>
      </c>
      <c r="C401" s="4">
        <v>45846</v>
      </c>
      <c r="D401">
        <v>22.5</v>
      </c>
      <c r="E401" t="s">
        <v>8</v>
      </c>
      <c r="F401" t="s">
        <v>9</v>
      </c>
    </row>
    <row r="402" spans="1:6">
      <c r="A402" t="s">
        <v>218</v>
      </c>
      <c r="B402" t="s">
        <v>57</v>
      </c>
      <c r="C402" s="4">
        <v>45846</v>
      </c>
      <c r="D402">
        <v>15.2</v>
      </c>
      <c r="E402" t="s">
        <v>30</v>
      </c>
      <c r="F402" t="s">
        <v>9</v>
      </c>
    </row>
    <row r="403" spans="1:6">
      <c r="A403" t="s">
        <v>41</v>
      </c>
      <c r="B403" t="s">
        <v>114</v>
      </c>
      <c r="C403" s="4">
        <v>45972</v>
      </c>
      <c r="D403">
        <v>14.8</v>
      </c>
      <c r="E403" t="s">
        <v>30</v>
      </c>
      <c r="F403" t="s">
        <v>9</v>
      </c>
    </row>
    <row r="404" spans="1:6">
      <c r="A404" t="s">
        <v>35</v>
      </c>
      <c r="B404" t="s">
        <v>121</v>
      </c>
      <c r="C404" s="4">
        <v>46028</v>
      </c>
      <c r="D404">
        <v>7.8</v>
      </c>
      <c r="E404" t="s">
        <v>8</v>
      </c>
      <c r="F404" t="s">
        <v>9</v>
      </c>
    </row>
    <row r="405" spans="1:6">
      <c r="A405" t="s">
        <v>104</v>
      </c>
      <c r="B405" t="s">
        <v>27</v>
      </c>
      <c r="C405" s="4">
        <v>45888</v>
      </c>
      <c r="D405">
        <v>0.8</v>
      </c>
      <c r="E405" t="s">
        <v>30</v>
      </c>
      <c r="F405" t="s">
        <v>9</v>
      </c>
    </row>
    <row r="406" spans="1:6">
      <c r="A406" t="s">
        <v>220</v>
      </c>
      <c r="B406" t="s">
        <v>61</v>
      </c>
      <c r="C406" s="4">
        <v>46119</v>
      </c>
      <c r="D406">
        <v>44.8</v>
      </c>
      <c r="E406" t="s">
        <v>19</v>
      </c>
      <c r="F406" t="s">
        <v>12</v>
      </c>
    </row>
    <row r="407" spans="1:6">
      <c r="A407" t="s">
        <v>160</v>
      </c>
      <c r="B407" t="s">
        <v>32</v>
      </c>
      <c r="C407" s="4">
        <v>45888</v>
      </c>
      <c r="D407">
        <v>15</v>
      </c>
      <c r="E407" t="s">
        <v>8</v>
      </c>
      <c r="F407" t="s">
        <v>9</v>
      </c>
    </row>
    <row r="408" spans="1:6">
      <c r="A408" t="s">
        <v>128</v>
      </c>
      <c r="B408" t="s">
        <v>248</v>
      </c>
      <c r="C408" s="4">
        <v>46014</v>
      </c>
      <c r="D408">
        <v>16</v>
      </c>
      <c r="E408" t="s">
        <v>8</v>
      </c>
      <c r="F408" t="s">
        <v>9</v>
      </c>
    </row>
    <row r="409" spans="1:6">
      <c r="A409" t="s">
        <v>291</v>
      </c>
      <c r="B409" t="s">
        <v>133</v>
      </c>
      <c r="C409" s="4">
        <v>46091</v>
      </c>
      <c r="D409">
        <v>45.9</v>
      </c>
      <c r="E409" t="s">
        <v>8</v>
      </c>
      <c r="F409" t="s">
        <v>12</v>
      </c>
    </row>
    <row r="410" spans="1:6">
      <c r="A410" t="s">
        <v>156</v>
      </c>
      <c r="B410" t="s">
        <v>253</v>
      </c>
      <c r="C410" s="4">
        <v>45895</v>
      </c>
      <c r="D410">
        <v>45.3</v>
      </c>
      <c r="E410" t="s">
        <v>30</v>
      </c>
      <c r="F410" t="s">
        <v>12</v>
      </c>
    </row>
    <row r="411" spans="1:6">
      <c r="A411" t="s">
        <v>272</v>
      </c>
      <c r="B411" t="s">
        <v>226</v>
      </c>
      <c r="C411" s="4">
        <v>45930</v>
      </c>
      <c r="D411">
        <v>14.5</v>
      </c>
      <c r="E411" t="s">
        <v>8</v>
      </c>
      <c r="F411" t="s">
        <v>9</v>
      </c>
    </row>
    <row r="412" spans="1:6">
      <c r="A412" t="s">
        <v>244</v>
      </c>
      <c r="B412" t="s">
        <v>269</v>
      </c>
      <c r="C412" s="4">
        <v>46035</v>
      </c>
      <c r="D412">
        <v>15.6</v>
      </c>
      <c r="E412" t="s">
        <v>8</v>
      </c>
      <c r="F412" t="s">
        <v>9</v>
      </c>
    </row>
    <row r="413" spans="1:6">
      <c r="A413" t="s">
        <v>113</v>
      </c>
      <c r="B413" t="s">
        <v>51</v>
      </c>
      <c r="C413" s="4">
        <v>46105</v>
      </c>
      <c r="D413">
        <v>14.2</v>
      </c>
      <c r="E413" t="s">
        <v>8</v>
      </c>
      <c r="F413" t="s">
        <v>9</v>
      </c>
    </row>
    <row r="414" spans="1:6">
      <c r="A414" t="s">
        <v>265</v>
      </c>
      <c r="B414" t="s">
        <v>27</v>
      </c>
      <c r="C414" s="4">
        <v>46147</v>
      </c>
      <c r="D414">
        <v>0.8</v>
      </c>
      <c r="E414" t="s">
        <v>30</v>
      </c>
      <c r="F414" t="s">
        <v>9</v>
      </c>
    </row>
    <row r="415" spans="1:6">
      <c r="A415" t="s">
        <v>88</v>
      </c>
      <c r="B415" t="s">
        <v>235</v>
      </c>
      <c r="C415" s="4">
        <v>45895</v>
      </c>
      <c r="D415">
        <v>15</v>
      </c>
      <c r="E415" t="s">
        <v>8</v>
      </c>
      <c r="F415" t="s">
        <v>9</v>
      </c>
    </row>
    <row r="416" spans="1:6">
      <c r="A416" t="s">
        <v>282</v>
      </c>
      <c r="B416" t="s">
        <v>57</v>
      </c>
      <c r="C416" s="4">
        <v>46049</v>
      </c>
      <c r="D416">
        <v>29.6</v>
      </c>
      <c r="E416" t="s">
        <v>8</v>
      </c>
      <c r="F416" t="s">
        <v>9</v>
      </c>
    </row>
    <row r="417" spans="1:6">
      <c r="A417" t="s">
        <v>72</v>
      </c>
      <c r="B417" t="s">
        <v>273</v>
      </c>
      <c r="C417" s="4">
        <v>46063</v>
      </c>
      <c r="D417">
        <v>15</v>
      </c>
      <c r="E417" t="s">
        <v>8</v>
      </c>
      <c r="F417" t="s">
        <v>9</v>
      </c>
    </row>
    <row r="418" spans="1:6">
      <c r="A418" t="s">
        <v>130</v>
      </c>
      <c r="B418" t="s">
        <v>96</v>
      </c>
      <c r="C418" s="4">
        <v>46063</v>
      </c>
      <c r="D418">
        <v>-0.7</v>
      </c>
      <c r="E418" t="s">
        <v>19</v>
      </c>
      <c r="F418" t="s">
        <v>12</v>
      </c>
    </row>
    <row r="419" spans="1:6">
      <c r="A419" t="s">
        <v>191</v>
      </c>
      <c r="B419" t="s">
        <v>57</v>
      </c>
      <c r="C419" s="4">
        <v>45881</v>
      </c>
      <c r="D419">
        <v>7.6</v>
      </c>
      <c r="E419" t="s">
        <v>8</v>
      </c>
      <c r="F419" t="s">
        <v>9</v>
      </c>
    </row>
    <row r="420" spans="1:6">
      <c r="A420" t="s">
        <v>92</v>
      </c>
      <c r="B420" t="s">
        <v>151</v>
      </c>
      <c r="C420" s="4">
        <v>46126</v>
      </c>
      <c r="D420">
        <v>0.9</v>
      </c>
      <c r="E420" t="s">
        <v>19</v>
      </c>
      <c r="F420" t="s">
        <v>12</v>
      </c>
    </row>
    <row r="421" spans="1:6">
      <c r="A421" t="s">
        <v>152</v>
      </c>
      <c r="B421" t="s">
        <v>185</v>
      </c>
      <c r="C421" s="4">
        <v>46084</v>
      </c>
      <c r="D421">
        <v>46.5</v>
      </c>
      <c r="E421" t="s">
        <v>30</v>
      </c>
      <c r="F421" t="s">
        <v>12</v>
      </c>
    </row>
    <row r="422" spans="1:6">
      <c r="A422" t="s">
        <v>246</v>
      </c>
      <c r="B422" t="s">
        <v>147</v>
      </c>
      <c r="C422" s="4">
        <v>46119</v>
      </c>
      <c r="D422">
        <v>31.2</v>
      </c>
      <c r="E422" t="s">
        <v>30</v>
      </c>
      <c r="F422" t="s">
        <v>9</v>
      </c>
    </row>
    <row r="423" spans="1:6">
      <c r="A423" t="s">
        <v>277</v>
      </c>
      <c r="B423" t="s">
        <v>82</v>
      </c>
      <c r="C423" s="4">
        <v>45951</v>
      </c>
      <c r="D423">
        <v>-0.2</v>
      </c>
      <c r="E423" t="s">
        <v>8</v>
      </c>
      <c r="F423" t="s">
        <v>12</v>
      </c>
    </row>
    <row r="424" spans="1:6">
      <c r="A424" t="s">
        <v>289</v>
      </c>
      <c r="B424" t="s">
        <v>124</v>
      </c>
      <c r="C424" s="4">
        <v>45951</v>
      </c>
      <c r="D424">
        <v>14.5</v>
      </c>
      <c r="E424" t="s">
        <v>19</v>
      </c>
      <c r="F424" t="s">
        <v>9</v>
      </c>
    </row>
    <row r="425" spans="1:6">
      <c r="A425" t="s">
        <v>203</v>
      </c>
      <c r="B425" t="s">
        <v>18</v>
      </c>
      <c r="C425" s="4">
        <v>45902</v>
      </c>
      <c r="D425">
        <v>16</v>
      </c>
      <c r="E425" t="s">
        <v>8</v>
      </c>
      <c r="F425" t="s">
        <v>9</v>
      </c>
    </row>
    <row r="426" spans="1:6">
      <c r="A426" t="s">
        <v>259</v>
      </c>
      <c r="B426" t="s">
        <v>99</v>
      </c>
      <c r="C426" s="4">
        <v>46105</v>
      </c>
      <c r="D426">
        <v>22.3</v>
      </c>
      <c r="E426" t="s">
        <v>8</v>
      </c>
      <c r="F426" t="s">
        <v>9</v>
      </c>
    </row>
    <row r="427" spans="1:6">
      <c r="A427" t="s">
        <v>292</v>
      </c>
      <c r="B427" t="s">
        <v>147</v>
      </c>
      <c r="C427" s="4">
        <v>46091</v>
      </c>
      <c r="D427">
        <v>15.6</v>
      </c>
      <c r="E427" t="s">
        <v>30</v>
      </c>
      <c r="F427" t="s">
        <v>9</v>
      </c>
    </row>
    <row r="428" spans="1:6">
      <c r="A428" t="s">
        <v>6</v>
      </c>
      <c r="B428" t="s">
        <v>140</v>
      </c>
      <c r="C428" s="4">
        <v>45916</v>
      </c>
      <c r="D428">
        <v>15.7</v>
      </c>
      <c r="E428" t="s">
        <v>8</v>
      </c>
      <c r="F428" t="s">
        <v>9</v>
      </c>
    </row>
    <row r="429" spans="1:6">
      <c r="A429" t="s">
        <v>258</v>
      </c>
      <c r="B429" t="s">
        <v>67</v>
      </c>
      <c r="C429" s="4">
        <v>45916</v>
      </c>
      <c r="D429">
        <v>0.8</v>
      </c>
      <c r="E429" t="s">
        <v>19</v>
      </c>
      <c r="F429" t="s">
        <v>9</v>
      </c>
    </row>
    <row r="430" spans="1:6">
      <c r="A430" t="s">
        <v>78</v>
      </c>
      <c r="B430" t="s">
        <v>173</v>
      </c>
      <c r="C430" s="4">
        <v>45860</v>
      </c>
      <c r="D430">
        <v>29.9</v>
      </c>
      <c r="E430" t="s">
        <v>19</v>
      </c>
      <c r="F430" t="s">
        <v>9</v>
      </c>
    </row>
    <row r="431" spans="1:6">
      <c r="A431" t="s">
        <v>6</v>
      </c>
      <c r="B431" t="s">
        <v>82</v>
      </c>
      <c r="C431" s="4">
        <v>45944</v>
      </c>
      <c r="D431">
        <v>8.3000000000000007</v>
      </c>
      <c r="E431" t="s">
        <v>8</v>
      </c>
      <c r="F431" t="s">
        <v>9</v>
      </c>
    </row>
    <row r="432" spans="1:6">
      <c r="A432" t="s">
        <v>26</v>
      </c>
      <c r="B432" t="s">
        <v>131</v>
      </c>
      <c r="C432" s="4">
        <v>46014</v>
      </c>
      <c r="D432">
        <v>46.2</v>
      </c>
      <c r="E432" t="s">
        <v>8</v>
      </c>
      <c r="F432" t="s">
        <v>12</v>
      </c>
    </row>
    <row r="433" spans="1:6">
      <c r="A433" t="s">
        <v>86</v>
      </c>
      <c r="B433" t="s">
        <v>7</v>
      </c>
      <c r="C433" s="4">
        <v>46056</v>
      </c>
      <c r="D433">
        <v>45.2</v>
      </c>
      <c r="E433" t="s">
        <v>19</v>
      </c>
      <c r="F433" t="s">
        <v>12</v>
      </c>
    </row>
    <row r="434" spans="1:6">
      <c r="A434" t="s">
        <v>156</v>
      </c>
      <c r="B434" t="s">
        <v>269</v>
      </c>
      <c r="C434" s="4">
        <v>45888</v>
      </c>
      <c r="D434">
        <v>45.7</v>
      </c>
      <c r="E434" t="s">
        <v>8</v>
      </c>
      <c r="F434" t="s">
        <v>12</v>
      </c>
    </row>
    <row r="435" spans="1:6">
      <c r="A435" t="s">
        <v>6</v>
      </c>
      <c r="B435" t="s">
        <v>188</v>
      </c>
      <c r="C435" s="4">
        <v>45937</v>
      </c>
      <c r="D435">
        <v>-0.2</v>
      </c>
      <c r="E435" t="s">
        <v>8</v>
      </c>
      <c r="F435" t="s">
        <v>12</v>
      </c>
    </row>
    <row r="436" spans="1:6">
      <c r="A436" t="s">
        <v>113</v>
      </c>
      <c r="B436" t="s">
        <v>193</v>
      </c>
      <c r="C436" s="4">
        <v>45965</v>
      </c>
      <c r="D436">
        <v>45.4</v>
      </c>
      <c r="E436" t="s">
        <v>30</v>
      </c>
      <c r="F436" t="s">
        <v>12</v>
      </c>
    </row>
    <row r="437" spans="1:6">
      <c r="A437" t="s">
        <v>113</v>
      </c>
      <c r="B437" t="s">
        <v>249</v>
      </c>
      <c r="C437" s="4">
        <v>46000</v>
      </c>
      <c r="D437">
        <v>29.5</v>
      </c>
      <c r="E437" t="s">
        <v>30</v>
      </c>
      <c r="F437" t="s">
        <v>9</v>
      </c>
    </row>
    <row r="438" spans="1:6">
      <c r="A438" t="s">
        <v>229</v>
      </c>
      <c r="B438" t="s">
        <v>273</v>
      </c>
      <c r="C438" s="4">
        <v>46000</v>
      </c>
      <c r="D438">
        <v>22.3</v>
      </c>
      <c r="E438" t="s">
        <v>8</v>
      </c>
      <c r="F438" t="s">
        <v>9</v>
      </c>
    </row>
    <row r="439" spans="1:6">
      <c r="A439" t="s">
        <v>158</v>
      </c>
      <c r="B439" t="s">
        <v>56</v>
      </c>
      <c r="C439" s="4">
        <v>46119</v>
      </c>
      <c r="D439">
        <v>44.7</v>
      </c>
      <c r="E439" t="s">
        <v>8</v>
      </c>
      <c r="F439" t="s">
        <v>12</v>
      </c>
    </row>
    <row r="440" spans="1:6">
      <c r="A440" t="s">
        <v>266</v>
      </c>
      <c r="B440" t="s">
        <v>188</v>
      </c>
      <c r="C440" s="4">
        <v>45867</v>
      </c>
      <c r="D440">
        <v>38.5</v>
      </c>
      <c r="E440" t="s">
        <v>30</v>
      </c>
      <c r="F440" t="s">
        <v>9</v>
      </c>
    </row>
    <row r="441" spans="1:6">
      <c r="A441" t="s">
        <v>236</v>
      </c>
      <c r="B441" t="s">
        <v>208</v>
      </c>
      <c r="C441" s="4">
        <v>45958</v>
      </c>
      <c r="D441">
        <v>7.7</v>
      </c>
      <c r="E441" t="s">
        <v>30</v>
      </c>
      <c r="F441" t="s">
        <v>9</v>
      </c>
    </row>
    <row r="442" spans="1:6">
      <c r="A442" t="s">
        <v>206</v>
      </c>
      <c r="B442" t="s">
        <v>170</v>
      </c>
      <c r="C442" s="4">
        <v>46007</v>
      </c>
      <c r="D442">
        <v>39</v>
      </c>
      <c r="E442" t="s">
        <v>30</v>
      </c>
      <c r="F442" t="s">
        <v>9</v>
      </c>
    </row>
    <row r="443" spans="1:6">
      <c r="A443" t="s">
        <v>254</v>
      </c>
      <c r="B443" t="s">
        <v>180</v>
      </c>
      <c r="C443" s="4">
        <v>46056</v>
      </c>
      <c r="D443">
        <v>23.4</v>
      </c>
      <c r="E443" t="s">
        <v>8</v>
      </c>
      <c r="F443" t="s">
        <v>9</v>
      </c>
    </row>
    <row r="444" spans="1:6">
      <c r="A444" t="s">
        <v>83</v>
      </c>
      <c r="B444" t="s">
        <v>61</v>
      </c>
      <c r="C444" s="4">
        <v>45895</v>
      </c>
      <c r="D444">
        <v>7.1</v>
      </c>
      <c r="E444" t="s">
        <v>8</v>
      </c>
      <c r="F444" t="s">
        <v>9</v>
      </c>
    </row>
    <row r="445" spans="1:6">
      <c r="A445" t="s">
        <v>274</v>
      </c>
      <c r="B445" t="s">
        <v>147</v>
      </c>
      <c r="C445" s="4">
        <v>45839</v>
      </c>
      <c r="D445">
        <v>7.8</v>
      </c>
      <c r="E445" t="s">
        <v>30</v>
      </c>
      <c r="F445" t="s">
        <v>9</v>
      </c>
    </row>
    <row r="446" spans="1:6">
      <c r="A446" t="s">
        <v>288</v>
      </c>
      <c r="B446" t="s">
        <v>16</v>
      </c>
      <c r="C446" s="4">
        <v>46133</v>
      </c>
      <c r="D446">
        <v>6.9</v>
      </c>
      <c r="E446" t="s">
        <v>8</v>
      </c>
      <c r="F446" t="s">
        <v>9</v>
      </c>
    </row>
    <row r="447" spans="1:6">
      <c r="A447" t="s">
        <v>293</v>
      </c>
      <c r="B447" t="s">
        <v>66</v>
      </c>
      <c r="C447" s="4">
        <v>45944</v>
      </c>
      <c r="D447">
        <v>0.4</v>
      </c>
      <c r="E447" t="s">
        <v>19</v>
      </c>
      <c r="F447" t="s">
        <v>9</v>
      </c>
    </row>
    <row r="448" spans="1:6">
      <c r="A448" t="s">
        <v>244</v>
      </c>
      <c r="B448" t="s">
        <v>59</v>
      </c>
      <c r="C448" s="4">
        <v>46091</v>
      </c>
      <c r="D448">
        <v>45.5</v>
      </c>
      <c r="E448" t="s">
        <v>8</v>
      </c>
      <c r="F448" t="s">
        <v>12</v>
      </c>
    </row>
    <row r="449" spans="1:6">
      <c r="A449" t="s">
        <v>77</v>
      </c>
      <c r="B449" t="s">
        <v>45</v>
      </c>
      <c r="C449" s="4">
        <v>45930</v>
      </c>
      <c r="D449">
        <v>6.9</v>
      </c>
      <c r="E449" t="s">
        <v>8</v>
      </c>
      <c r="F449" t="s">
        <v>9</v>
      </c>
    </row>
    <row r="450" spans="1:6">
      <c r="A450" t="s">
        <v>15</v>
      </c>
      <c r="B450" t="s">
        <v>80</v>
      </c>
      <c r="C450" s="4">
        <v>45874</v>
      </c>
      <c r="D450">
        <v>0.2</v>
      </c>
      <c r="E450" t="s">
        <v>30</v>
      </c>
      <c r="F450" t="s">
        <v>9</v>
      </c>
    </row>
    <row r="451" spans="1:6">
      <c r="A451" t="s">
        <v>263</v>
      </c>
      <c r="B451" t="s">
        <v>142</v>
      </c>
      <c r="C451" s="4">
        <v>46126</v>
      </c>
      <c r="D451">
        <v>30.7</v>
      </c>
      <c r="E451" t="s">
        <v>8</v>
      </c>
      <c r="F451" t="s">
        <v>9</v>
      </c>
    </row>
    <row r="452" spans="1:6">
      <c r="A452" t="s">
        <v>95</v>
      </c>
      <c r="B452" t="s">
        <v>232</v>
      </c>
      <c r="C452" s="4">
        <v>46091</v>
      </c>
      <c r="D452">
        <v>38.1</v>
      </c>
      <c r="E452" t="s">
        <v>8</v>
      </c>
      <c r="F452" t="s">
        <v>9</v>
      </c>
    </row>
    <row r="453" spans="1:6">
      <c r="A453" t="s">
        <v>292</v>
      </c>
      <c r="B453" t="s">
        <v>247</v>
      </c>
      <c r="C453" s="4">
        <v>45993</v>
      </c>
      <c r="D453">
        <v>15.9</v>
      </c>
      <c r="E453" t="s">
        <v>19</v>
      </c>
      <c r="F453" t="s">
        <v>9</v>
      </c>
    </row>
    <row r="454" spans="1:6">
      <c r="A454" t="s">
        <v>257</v>
      </c>
      <c r="B454" t="s">
        <v>66</v>
      </c>
      <c r="C454" s="4">
        <v>46147</v>
      </c>
      <c r="D454">
        <v>45.2</v>
      </c>
      <c r="E454" t="s">
        <v>8</v>
      </c>
      <c r="F454" t="s">
        <v>12</v>
      </c>
    </row>
    <row r="455" spans="1:6">
      <c r="A455" t="s">
        <v>136</v>
      </c>
      <c r="B455" t="s">
        <v>140</v>
      </c>
      <c r="C455" s="4">
        <v>46007</v>
      </c>
      <c r="D455">
        <v>22.4</v>
      </c>
      <c r="E455" t="s">
        <v>8</v>
      </c>
      <c r="F455" t="s">
        <v>9</v>
      </c>
    </row>
    <row r="456" spans="1:6">
      <c r="A456" t="s">
        <v>176</v>
      </c>
      <c r="B456" t="s">
        <v>185</v>
      </c>
      <c r="C456" s="4">
        <v>46098</v>
      </c>
      <c r="D456">
        <v>45.3</v>
      </c>
      <c r="E456" t="s">
        <v>8</v>
      </c>
      <c r="F456" t="s">
        <v>12</v>
      </c>
    </row>
    <row r="457" spans="1:6">
      <c r="A457" t="s">
        <v>75</v>
      </c>
      <c r="B457" t="s">
        <v>273</v>
      </c>
      <c r="C457" s="4">
        <v>45909</v>
      </c>
      <c r="D457">
        <v>7.8</v>
      </c>
      <c r="E457" t="s">
        <v>8</v>
      </c>
      <c r="F457" t="s">
        <v>9</v>
      </c>
    </row>
    <row r="458" spans="1:6">
      <c r="A458" t="s">
        <v>60</v>
      </c>
      <c r="B458" t="s">
        <v>40</v>
      </c>
      <c r="C458" s="4">
        <v>45993</v>
      </c>
      <c r="D458">
        <v>31</v>
      </c>
      <c r="E458" t="s">
        <v>8</v>
      </c>
      <c r="F458" t="s">
        <v>9</v>
      </c>
    </row>
    <row r="459" spans="1:6">
      <c r="A459" t="s">
        <v>107</v>
      </c>
      <c r="B459" t="s">
        <v>71</v>
      </c>
      <c r="C459" s="4">
        <v>46119</v>
      </c>
      <c r="D459">
        <v>31</v>
      </c>
      <c r="E459" t="s">
        <v>8</v>
      </c>
      <c r="F459" t="s">
        <v>9</v>
      </c>
    </row>
    <row r="460" spans="1:6">
      <c r="A460" t="s">
        <v>86</v>
      </c>
      <c r="B460" t="s">
        <v>294</v>
      </c>
      <c r="C460" s="4">
        <v>45860</v>
      </c>
      <c r="D460">
        <v>6.9</v>
      </c>
      <c r="E460" t="s">
        <v>19</v>
      </c>
      <c r="F460" t="s">
        <v>9</v>
      </c>
    </row>
    <row r="461" spans="1:6">
      <c r="A461" t="s">
        <v>270</v>
      </c>
      <c r="B461" t="s">
        <v>295</v>
      </c>
      <c r="C461" s="4">
        <v>46077</v>
      </c>
      <c r="D461">
        <v>46.1</v>
      </c>
      <c r="E461" t="s">
        <v>8</v>
      </c>
      <c r="F461" t="s">
        <v>12</v>
      </c>
    </row>
    <row r="462" spans="1:6">
      <c r="A462" t="s">
        <v>150</v>
      </c>
      <c r="B462" t="s">
        <v>66</v>
      </c>
      <c r="C462" s="4">
        <v>46035</v>
      </c>
      <c r="D462">
        <v>37.9</v>
      </c>
      <c r="E462" t="s">
        <v>8</v>
      </c>
      <c r="F462" t="s">
        <v>9</v>
      </c>
    </row>
    <row r="463" spans="1:6">
      <c r="A463" t="s">
        <v>220</v>
      </c>
      <c r="B463" t="s">
        <v>247</v>
      </c>
      <c r="C463" s="4">
        <v>45923</v>
      </c>
      <c r="D463">
        <v>31.2</v>
      </c>
      <c r="E463" t="s">
        <v>8</v>
      </c>
      <c r="F463" t="s">
        <v>9</v>
      </c>
    </row>
    <row r="464" spans="1:6">
      <c r="A464" t="s">
        <v>181</v>
      </c>
      <c r="B464" t="s">
        <v>262</v>
      </c>
      <c r="C464" s="4">
        <v>45986</v>
      </c>
      <c r="D464">
        <v>6.6</v>
      </c>
      <c r="E464" t="s">
        <v>8</v>
      </c>
      <c r="F464" t="s">
        <v>9</v>
      </c>
    </row>
    <row r="465" spans="1:6">
      <c r="A465" t="s">
        <v>216</v>
      </c>
      <c r="B465" t="s">
        <v>232</v>
      </c>
      <c r="C465" s="4">
        <v>45937</v>
      </c>
      <c r="D465">
        <v>29.8</v>
      </c>
      <c r="E465" t="s">
        <v>30</v>
      </c>
      <c r="F465" t="s">
        <v>9</v>
      </c>
    </row>
    <row r="466" spans="1:6">
      <c r="A466" t="s">
        <v>166</v>
      </c>
      <c r="B466" t="s">
        <v>131</v>
      </c>
      <c r="C466" s="4">
        <v>46091</v>
      </c>
      <c r="D466">
        <v>30.6</v>
      </c>
      <c r="E466" t="s">
        <v>19</v>
      </c>
      <c r="F466" t="s">
        <v>9</v>
      </c>
    </row>
    <row r="467" spans="1:6">
      <c r="A467" t="s">
        <v>280</v>
      </c>
      <c r="B467" t="s">
        <v>164</v>
      </c>
      <c r="C467" s="4">
        <v>46119</v>
      </c>
      <c r="D467">
        <v>38.299999999999997</v>
      </c>
      <c r="E467" t="s">
        <v>8</v>
      </c>
      <c r="F467" t="s">
        <v>9</v>
      </c>
    </row>
    <row r="468" spans="1:6">
      <c r="A468" t="s">
        <v>132</v>
      </c>
      <c r="B468" t="s">
        <v>67</v>
      </c>
      <c r="C468" s="4">
        <v>45937</v>
      </c>
      <c r="D468">
        <v>22.2</v>
      </c>
      <c r="E468" t="s">
        <v>30</v>
      </c>
      <c r="F468" t="s">
        <v>9</v>
      </c>
    </row>
    <row r="469" spans="1:6">
      <c r="A469" t="s">
        <v>104</v>
      </c>
      <c r="B469" t="s">
        <v>223</v>
      </c>
      <c r="C469" s="4">
        <v>45839</v>
      </c>
      <c r="D469">
        <v>14.9</v>
      </c>
      <c r="E469" t="s">
        <v>8</v>
      </c>
      <c r="F469" t="s">
        <v>9</v>
      </c>
    </row>
    <row r="470" spans="1:6">
      <c r="A470" t="s">
        <v>26</v>
      </c>
      <c r="B470" t="s">
        <v>285</v>
      </c>
      <c r="C470" s="4">
        <v>46042</v>
      </c>
      <c r="D470">
        <v>30.7</v>
      </c>
      <c r="E470" t="s">
        <v>8</v>
      </c>
      <c r="F470" t="s">
        <v>9</v>
      </c>
    </row>
    <row r="471" spans="1:6">
      <c r="A471" t="s">
        <v>259</v>
      </c>
      <c r="B471" t="s">
        <v>105</v>
      </c>
      <c r="C471" s="4">
        <v>45979</v>
      </c>
      <c r="D471">
        <v>37.6</v>
      </c>
      <c r="E471" t="s">
        <v>8</v>
      </c>
      <c r="F471" t="s">
        <v>9</v>
      </c>
    </row>
    <row r="472" spans="1:6">
      <c r="A472" t="s">
        <v>60</v>
      </c>
      <c r="B472" t="s">
        <v>138</v>
      </c>
      <c r="C472" s="4">
        <v>46091</v>
      </c>
      <c r="D472">
        <v>-0.3</v>
      </c>
      <c r="E472" t="s">
        <v>8</v>
      </c>
      <c r="F472" t="s">
        <v>12</v>
      </c>
    </row>
    <row r="473" spans="1:6">
      <c r="A473" t="s">
        <v>296</v>
      </c>
      <c r="B473" t="s">
        <v>281</v>
      </c>
      <c r="C473" s="4">
        <v>46133</v>
      </c>
      <c r="D473">
        <v>29.9</v>
      </c>
      <c r="E473" t="s">
        <v>19</v>
      </c>
      <c r="F473" t="s">
        <v>9</v>
      </c>
    </row>
    <row r="474" spans="1:6">
      <c r="A474" t="s">
        <v>86</v>
      </c>
      <c r="B474" t="s">
        <v>260</v>
      </c>
      <c r="C474" s="4">
        <v>45937</v>
      </c>
      <c r="D474">
        <v>23.2</v>
      </c>
      <c r="E474" t="s">
        <v>30</v>
      </c>
      <c r="F474" t="s">
        <v>9</v>
      </c>
    </row>
    <row r="475" spans="1:6">
      <c r="A475" t="s">
        <v>201</v>
      </c>
      <c r="B475" t="s">
        <v>245</v>
      </c>
      <c r="C475" s="4">
        <v>45888</v>
      </c>
      <c r="D475">
        <v>30.5</v>
      </c>
      <c r="E475" t="s">
        <v>30</v>
      </c>
      <c r="F475" t="s">
        <v>9</v>
      </c>
    </row>
    <row r="476" spans="1:6">
      <c r="A476" t="s">
        <v>231</v>
      </c>
      <c r="B476" t="s">
        <v>124</v>
      </c>
      <c r="C476" s="4">
        <v>46105</v>
      </c>
      <c r="D476">
        <v>15.9</v>
      </c>
      <c r="E476" t="s">
        <v>19</v>
      </c>
      <c r="F476" t="s">
        <v>12</v>
      </c>
    </row>
    <row r="477" spans="1:6">
      <c r="A477" t="s">
        <v>100</v>
      </c>
      <c r="B477" t="s">
        <v>103</v>
      </c>
      <c r="C477" s="4">
        <v>45965</v>
      </c>
      <c r="D477">
        <v>15.3</v>
      </c>
      <c r="E477" t="s">
        <v>8</v>
      </c>
      <c r="F477" t="s">
        <v>9</v>
      </c>
    </row>
    <row r="478" spans="1:6">
      <c r="A478" t="s">
        <v>47</v>
      </c>
      <c r="B478" t="s">
        <v>23</v>
      </c>
      <c r="C478" s="4">
        <v>45846</v>
      </c>
      <c r="D478">
        <v>38.5</v>
      </c>
      <c r="E478" t="s">
        <v>30</v>
      </c>
      <c r="F478" t="s">
        <v>9</v>
      </c>
    </row>
    <row r="479" spans="1:6">
      <c r="A479" t="s">
        <v>210</v>
      </c>
      <c r="B479" t="s">
        <v>162</v>
      </c>
      <c r="C479" s="4">
        <v>45909</v>
      </c>
      <c r="D479">
        <v>14.6</v>
      </c>
      <c r="E479" t="s">
        <v>30</v>
      </c>
      <c r="F479" t="s">
        <v>9</v>
      </c>
    </row>
    <row r="480" spans="1:6">
      <c r="A480" t="s">
        <v>279</v>
      </c>
      <c r="B480" t="s">
        <v>247</v>
      </c>
      <c r="C480" s="4">
        <v>45895</v>
      </c>
      <c r="D480">
        <v>38.4</v>
      </c>
      <c r="E480" t="s">
        <v>30</v>
      </c>
      <c r="F480" t="s">
        <v>9</v>
      </c>
    </row>
    <row r="481" spans="1:6">
      <c r="A481" t="s">
        <v>244</v>
      </c>
      <c r="B481" t="s">
        <v>66</v>
      </c>
      <c r="C481" s="4">
        <v>46133</v>
      </c>
      <c r="D481">
        <v>0.1</v>
      </c>
      <c r="E481" t="s">
        <v>30</v>
      </c>
      <c r="F481" t="s">
        <v>9</v>
      </c>
    </row>
    <row r="482" spans="1:6">
      <c r="A482" t="s">
        <v>64</v>
      </c>
      <c r="B482" t="s">
        <v>163</v>
      </c>
      <c r="C482" s="4">
        <v>45958</v>
      </c>
      <c r="D482">
        <v>7.1</v>
      </c>
      <c r="E482" t="s">
        <v>8</v>
      </c>
      <c r="F482" t="s">
        <v>9</v>
      </c>
    </row>
    <row r="483" spans="1:6">
      <c r="A483" t="s">
        <v>48</v>
      </c>
      <c r="B483" t="s">
        <v>155</v>
      </c>
      <c r="C483" s="4">
        <v>46091</v>
      </c>
      <c r="D483">
        <v>29.7</v>
      </c>
      <c r="E483" t="s">
        <v>30</v>
      </c>
      <c r="F483" t="s">
        <v>9</v>
      </c>
    </row>
    <row r="484" spans="1:6">
      <c r="A484" t="s">
        <v>22</v>
      </c>
      <c r="B484" t="s">
        <v>82</v>
      </c>
      <c r="C484" s="4">
        <v>46049</v>
      </c>
      <c r="D484">
        <v>-0.9</v>
      </c>
      <c r="E484" t="s">
        <v>8</v>
      </c>
      <c r="F484" t="s">
        <v>12</v>
      </c>
    </row>
    <row r="485" spans="1:6">
      <c r="A485" t="s">
        <v>241</v>
      </c>
      <c r="B485" t="s">
        <v>253</v>
      </c>
      <c r="C485" s="4">
        <v>45923</v>
      </c>
      <c r="D485">
        <v>23.1</v>
      </c>
      <c r="E485" t="s">
        <v>30</v>
      </c>
      <c r="F485" t="s">
        <v>9</v>
      </c>
    </row>
    <row r="486" spans="1:6">
      <c r="A486" t="s">
        <v>201</v>
      </c>
      <c r="B486" t="s">
        <v>217</v>
      </c>
      <c r="C486" s="4">
        <v>46049</v>
      </c>
      <c r="D486">
        <v>0.2</v>
      </c>
      <c r="E486" t="s">
        <v>19</v>
      </c>
      <c r="F486" t="s">
        <v>12</v>
      </c>
    </row>
    <row r="487" spans="1:6">
      <c r="A487" t="s">
        <v>39</v>
      </c>
      <c r="B487" t="s">
        <v>97</v>
      </c>
      <c r="C487" s="4">
        <v>45853</v>
      </c>
      <c r="D487">
        <v>22.4</v>
      </c>
      <c r="E487" t="s">
        <v>8</v>
      </c>
      <c r="F487" t="s">
        <v>9</v>
      </c>
    </row>
    <row r="488" spans="1:6">
      <c r="A488" t="s">
        <v>205</v>
      </c>
      <c r="B488" t="s">
        <v>67</v>
      </c>
      <c r="C488" s="4">
        <v>45867</v>
      </c>
      <c r="D488">
        <v>15.6</v>
      </c>
      <c r="E488" t="s">
        <v>8</v>
      </c>
      <c r="F488" t="s">
        <v>9</v>
      </c>
    </row>
    <row r="489" spans="1:6">
      <c r="A489" t="s">
        <v>48</v>
      </c>
      <c r="B489" t="s">
        <v>73</v>
      </c>
      <c r="C489" s="4">
        <v>45846</v>
      </c>
      <c r="D489">
        <v>16</v>
      </c>
      <c r="E489" t="s">
        <v>19</v>
      </c>
      <c r="F489" t="s">
        <v>12</v>
      </c>
    </row>
    <row r="490" spans="1:6">
      <c r="A490" t="s">
        <v>174</v>
      </c>
      <c r="B490" t="s">
        <v>192</v>
      </c>
      <c r="C490" s="4">
        <v>46042</v>
      </c>
      <c r="D490">
        <v>23.5</v>
      </c>
      <c r="E490" t="s">
        <v>19</v>
      </c>
      <c r="F490" t="s">
        <v>9</v>
      </c>
    </row>
    <row r="491" spans="1:6">
      <c r="A491" t="s">
        <v>256</v>
      </c>
      <c r="B491" t="s">
        <v>21</v>
      </c>
      <c r="C491" s="4">
        <v>45923</v>
      </c>
      <c r="D491">
        <v>23</v>
      </c>
      <c r="E491" t="s">
        <v>30</v>
      </c>
      <c r="F491" t="s">
        <v>9</v>
      </c>
    </row>
    <row r="492" spans="1:6">
      <c r="A492" t="s">
        <v>35</v>
      </c>
      <c r="B492" t="s">
        <v>7</v>
      </c>
      <c r="C492" s="4">
        <v>46084</v>
      </c>
      <c r="D492">
        <v>31.3</v>
      </c>
      <c r="E492" t="s">
        <v>8</v>
      </c>
      <c r="F492" t="s">
        <v>9</v>
      </c>
    </row>
    <row r="493" spans="1:6">
      <c r="A493" t="s">
        <v>270</v>
      </c>
      <c r="B493" t="s">
        <v>245</v>
      </c>
      <c r="C493" s="4">
        <v>45930</v>
      </c>
      <c r="D493">
        <v>7.1</v>
      </c>
      <c r="E493" t="s">
        <v>8</v>
      </c>
      <c r="F493" t="s">
        <v>9</v>
      </c>
    </row>
    <row r="494" spans="1:6">
      <c r="A494" t="s">
        <v>139</v>
      </c>
      <c r="B494" t="s">
        <v>202</v>
      </c>
      <c r="C494" s="4">
        <v>45951</v>
      </c>
      <c r="D494">
        <v>45.3</v>
      </c>
      <c r="E494" t="s">
        <v>8</v>
      </c>
      <c r="F494" t="s">
        <v>12</v>
      </c>
    </row>
    <row r="495" spans="1:6">
      <c r="A495" t="s">
        <v>297</v>
      </c>
      <c r="B495" t="s">
        <v>188</v>
      </c>
      <c r="C495" s="4">
        <v>45937</v>
      </c>
      <c r="D495">
        <v>38.1</v>
      </c>
      <c r="E495" t="s">
        <v>8</v>
      </c>
      <c r="F495" t="s">
        <v>9</v>
      </c>
    </row>
    <row r="496" spans="1:6">
      <c r="A496" t="s">
        <v>149</v>
      </c>
      <c r="B496" t="s">
        <v>144</v>
      </c>
      <c r="C496" s="4">
        <v>45916</v>
      </c>
      <c r="D496">
        <v>15.9</v>
      </c>
      <c r="E496" t="s">
        <v>8</v>
      </c>
      <c r="F496" t="s">
        <v>9</v>
      </c>
    </row>
    <row r="497" spans="1:6">
      <c r="A497" t="s">
        <v>282</v>
      </c>
      <c r="B497" t="s">
        <v>228</v>
      </c>
      <c r="C497" s="4">
        <v>45895</v>
      </c>
      <c r="D497">
        <v>8.3000000000000007</v>
      </c>
      <c r="E497" t="s">
        <v>8</v>
      </c>
      <c r="F497" t="s">
        <v>9</v>
      </c>
    </row>
    <row r="498" spans="1:6">
      <c r="A498" t="s">
        <v>239</v>
      </c>
      <c r="B498" t="s">
        <v>144</v>
      </c>
      <c r="C498" s="4">
        <v>45916</v>
      </c>
      <c r="D498">
        <v>22.6</v>
      </c>
      <c r="E498" t="s">
        <v>30</v>
      </c>
      <c r="F498" t="s">
        <v>9</v>
      </c>
    </row>
    <row r="499" spans="1:6">
      <c r="A499" t="s">
        <v>148</v>
      </c>
      <c r="B499" t="s">
        <v>196</v>
      </c>
      <c r="C499" s="4">
        <v>45937</v>
      </c>
      <c r="D499">
        <v>45.5</v>
      </c>
      <c r="E499" t="s">
        <v>30</v>
      </c>
      <c r="F499" t="s">
        <v>12</v>
      </c>
    </row>
    <row r="500" spans="1:6">
      <c r="A500" t="s">
        <v>175</v>
      </c>
      <c r="B500" t="s">
        <v>228</v>
      </c>
      <c r="C500" s="4">
        <v>46147</v>
      </c>
      <c r="D500">
        <v>46.2</v>
      </c>
      <c r="E500" t="s">
        <v>8</v>
      </c>
      <c r="F500" t="s">
        <v>12</v>
      </c>
    </row>
    <row r="501" spans="1:6">
      <c r="A501" t="s">
        <v>181</v>
      </c>
      <c r="B501" t="s">
        <v>190</v>
      </c>
      <c r="C501" s="4">
        <v>45846</v>
      </c>
      <c r="D501">
        <v>7.7</v>
      </c>
      <c r="E501" t="s">
        <v>19</v>
      </c>
      <c r="F501" t="s">
        <v>9</v>
      </c>
    </row>
    <row r="502" spans="1:6">
      <c r="A502" t="s">
        <v>111</v>
      </c>
      <c r="B502" t="s">
        <v>101</v>
      </c>
      <c r="C502" s="4">
        <v>46154</v>
      </c>
      <c r="D502">
        <v>15.3</v>
      </c>
      <c r="E502" t="s">
        <v>8</v>
      </c>
      <c r="F502" t="s">
        <v>9</v>
      </c>
    </row>
    <row r="503" spans="1:6">
      <c r="A503" t="s">
        <v>251</v>
      </c>
      <c r="B503" t="s">
        <v>197</v>
      </c>
      <c r="C503" s="4">
        <v>45902</v>
      </c>
      <c r="D503">
        <v>0.3</v>
      </c>
      <c r="E503" t="s">
        <v>30</v>
      </c>
      <c r="F503" t="s">
        <v>9</v>
      </c>
    </row>
    <row r="504" spans="1:6">
      <c r="A504" t="s">
        <v>126</v>
      </c>
      <c r="B504" t="s">
        <v>142</v>
      </c>
      <c r="C504" s="4">
        <v>45965</v>
      </c>
      <c r="D504">
        <v>7.5</v>
      </c>
      <c r="E504" t="s">
        <v>8</v>
      </c>
      <c r="F504" t="s">
        <v>9</v>
      </c>
    </row>
    <row r="505" spans="1:6">
      <c r="A505" t="s">
        <v>178</v>
      </c>
      <c r="B505" t="s">
        <v>196</v>
      </c>
      <c r="C505" s="4">
        <v>45930</v>
      </c>
      <c r="D505">
        <v>-0.4</v>
      </c>
      <c r="E505" t="s">
        <v>8</v>
      </c>
      <c r="F505" t="s">
        <v>12</v>
      </c>
    </row>
    <row r="506" spans="1:6">
      <c r="A506" t="s">
        <v>134</v>
      </c>
      <c r="B506" t="s">
        <v>120</v>
      </c>
      <c r="C506" s="4">
        <v>46000</v>
      </c>
      <c r="D506">
        <v>6.9</v>
      </c>
      <c r="E506" t="s">
        <v>30</v>
      </c>
      <c r="F506" t="s">
        <v>9</v>
      </c>
    </row>
    <row r="507" spans="1:6">
      <c r="A507" t="s">
        <v>263</v>
      </c>
      <c r="B507" t="s">
        <v>106</v>
      </c>
      <c r="C507" s="4">
        <v>46028</v>
      </c>
      <c r="D507">
        <v>30.1</v>
      </c>
      <c r="E507" t="s">
        <v>8</v>
      </c>
      <c r="F507" t="s">
        <v>9</v>
      </c>
    </row>
    <row r="508" spans="1:6">
      <c r="A508" t="s">
        <v>160</v>
      </c>
      <c r="B508" t="s">
        <v>298</v>
      </c>
      <c r="C508" s="4">
        <v>45909</v>
      </c>
      <c r="D508">
        <v>14.6</v>
      </c>
      <c r="E508" t="s">
        <v>8</v>
      </c>
      <c r="F508" t="s">
        <v>9</v>
      </c>
    </row>
    <row r="509" spans="1:6">
      <c r="A509" t="s">
        <v>243</v>
      </c>
      <c r="B509" t="s">
        <v>89</v>
      </c>
      <c r="C509" s="4">
        <v>45937</v>
      </c>
      <c r="D509">
        <v>6.9</v>
      </c>
      <c r="E509" t="s">
        <v>8</v>
      </c>
      <c r="F509" t="s">
        <v>9</v>
      </c>
    </row>
    <row r="510" spans="1:6">
      <c r="A510" t="s">
        <v>165</v>
      </c>
      <c r="B510" t="s">
        <v>66</v>
      </c>
      <c r="C510" s="4">
        <v>45881</v>
      </c>
      <c r="D510">
        <v>14.6</v>
      </c>
      <c r="E510" t="s">
        <v>8</v>
      </c>
      <c r="F510" t="s">
        <v>9</v>
      </c>
    </row>
    <row r="511" spans="1:6">
      <c r="A511" t="s">
        <v>272</v>
      </c>
      <c r="B511" t="s">
        <v>235</v>
      </c>
      <c r="C511" s="4">
        <v>45923</v>
      </c>
      <c r="D511">
        <v>22.6</v>
      </c>
      <c r="E511" t="s">
        <v>8</v>
      </c>
      <c r="F511" t="s">
        <v>9</v>
      </c>
    </row>
    <row r="512" spans="1:6">
      <c r="A512" t="s">
        <v>64</v>
      </c>
      <c r="B512" t="s">
        <v>121</v>
      </c>
      <c r="C512" s="4">
        <v>46133</v>
      </c>
      <c r="D512">
        <v>31</v>
      </c>
      <c r="E512" t="s">
        <v>8</v>
      </c>
      <c r="F512" t="s">
        <v>9</v>
      </c>
    </row>
    <row r="513" spans="1:6">
      <c r="A513" t="s">
        <v>268</v>
      </c>
      <c r="B513" t="s">
        <v>142</v>
      </c>
      <c r="C513" s="4">
        <v>46028</v>
      </c>
      <c r="D513">
        <v>15.8</v>
      </c>
      <c r="E513" t="s">
        <v>30</v>
      </c>
      <c r="F513" t="s">
        <v>9</v>
      </c>
    </row>
    <row r="514" spans="1:6">
      <c r="A514" t="s">
        <v>240</v>
      </c>
      <c r="B514" t="s">
        <v>124</v>
      </c>
      <c r="C514" s="4">
        <v>45979</v>
      </c>
      <c r="D514">
        <v>16</v>
      </c>
      <c r="E514" t="s">
        <v>8</v>
      </c>
      <c r="F514" t="s">
        <v>9</v>
      </c>
    </row>
    <row r="515" spans="1:6">
      <c r="A515" t="s">
        <v>299</v>
      </c>
      <c r="B515" t="s">
        <v>34</v>
      </c>
      <c r="C515" s="4">
        <v>46000</v>
      </c>
      <c r="D515">
        <v>14.3</v>
      </c>
      <c r="E515" t="s">
        <v>19</v>
      </c>
      <c r="F515" t="s">
        <v>12</v>
      </c>
    </row>
    <row r="516" spans="1:6">
      <c r="A516" t="s">
        <v>276</v>
      </c>
      <c r="B516" t="s">
        <v>228</v>
      </c>
      <c r="C516" s="4">
        <v>46098</v>
      </c>
      <c r="D516">
        <v>38.5</v>
      </c>
      <c r="E516" t="s">
        <v>30</v>
      </c>
      <c r="F516" t="s">
        <v>9</v>
      </c>
    </row>
    <row r="517" spans="1:6">
      <c r="A517" t="s">
        <v>20</v>
      </c>
      <c r="B517" t="s">
        <v>123</v>
      </c>
      <c r="C517" s="4">
        <v>45846</v>
      </c>
      <c r="D517">
        <v>14.7</v>
      </c>
      <c r="E517" t="s">
        <v>19</v>
      </c>
      <c r="F517" t="s">
        <v>9</v>
      </c>
    </row>
    <row r="518" spans="1:6">
      <c r="A518" t="s">
        <v>239</v>
      </c>
      <c r="B518" t="s">
        <v>53</v>
      </c>
      <c r="C518" s="4">
        <v>46077</v>
      </c>
      <c r="D518">
        <v>22.7</v>
      </c>
      <c r="E518" t="s">
        <v>19</v>
      </c>
      <c r="F518" t="s">
        <v>9</v>
      </c>
    </row>
    <row r="519" spans="1:6">
      <c r="A519" t="s">
        <v>15</v>
      </c>
      <c r="B519" t="s">
        <v>283</v>
      </c>
      <c r="C519" s="4">
        <v>46042</v>
      </c>
      <c r="D519">
        <v>44.9</v>
      </c>
      <c r="E519" t="s">
        <v>8</v>
      </c>
      <c r="F519" t="s">
        <v>12</v>
      </c>
    </row>
    <row r="520" spans="1:6">
      <c r="A520" t="s">
        <v>261</v>
      </c>
      <c r="B520" t="s">
        <v>144</v>
      </c>
      <c r="C520" s="4">
        <v>45860</v>
      </c>
      <c r="D520">
        <v>21.9</v>
      </c>
      <c r="E520" t="s">
        <v>30</v>
      </c>
      <c r="F520" t="s">
        <v>9</v>
      </c>
    </row>
    <row r="521" spans="1:6">
      <c r="A521" t="s">
        <v>50</v>
      </c>
      <c r="B521" t="s">
        <v>215</v>
      </c>
      <c r="C521" s="4">
        <v>45951</v>
      </c>
      <c r="D521">
        <v>46.4</v>
      </c>
      <c r="E521" t="s">
        <v>8</v>
      </c>
      <c r="F521" t="s">
        <v>12</v>
      </c>
    </row>
    <row r="522" spans="1:6">
      <c r="A522" t="s">
        <v>300</v>
      </c>
      <c r="B522" t="s">
        <v>190</v>
      </c>
      <c r="C522" s="4">
        <v>46049</v>
      </c>
      <c r="D522">
        <v>45.9</v>
      </c>
      <c r="E522" t="s">
        <v>8</v>
      </c>
      <c r="F522" t="s">
        <v>12</v>
      </c>
    </row>
    <row r="523" spans="1:6">
      <c r="A523" t="s">
        <v>267</v>
      </c>
      <c r="B523" t="s">
        <v>281</v>
      </c>
      <c r="C523" s="4">
        <v>45881</v>
      </c>
      <c r="D523">
        <v>38.6</v>
      </c>
      <c r="E523" t="s">
        <v>30</v>
      </c>
      <c r="F523" t="s">
        <v>9</v>
      </c>
    </row>
    <row r="524" spans="1:6">
      <c r="A524" t="s">
        <v>187</v>
      </c>
      <c r="B524" t="s">
        <v>129</v>
      </c>
      <c r="C524" s="4">
        <v>45951</v>
      </c>
      <c r="D524">
        <v>7.4</v>
      </c>
      <c r="E524" t="s">
        <v>30</v>
      </c>
      <c r="F524" t="s">
        <v>9</v>
      </c>
    </row>
    <row r="525" spans="1:6">
      <c r="A525" t="s">
        <v>176</v>
      </c>
      <c r="B525" t="s">
        <v>59</v>
      </c>
      <c r="C525" s="4">
        <v>46035</v>
      </c>
      <c r="D525">
        <v>15.8</v>
      </c>
      <c r="E525" t="s">
        <v>8</v>
      </c>
      <c r="F525" t="s">
        <v>9</v>
      </c>
    </row>
    <row r="526" spans="1:6">
      <c r="A526" t="s">
        <v>125</v>
      </c>
      <c r="B526" t="s">
        <v>217</v>
      </c>
      <c r="C526" s="4">
        <v>46063</v>
      </c>
      <c r="D526">
        <v>0.9</v>
      </c>
      <c r="E526" t="s">
        <v>8</v>
      </c>
      <c r="F526" t="s">
        <v>9</v>
      </c>
    </row>
    <row r="527" spans="1:6">
      <c r="A527" t="s">
        <v>98</v>
      </c>
      <c r="B527" t="s">
        <v>108</v>
      </c>
      <c r="C527" s="4">
        <v>45853</v>
      </c>
      <c r="D527">
        <v>0.9</v>
      </c>
      <c r="E527" t="s">
        <v>30</v>
      </c>
      <c r="F527" t="s">
        <v>9</v>
      </c>
    </row>
    <row r="528" spans="1:6">
      <c r="A528" t="s">
        <v>148</v>
      </c>
      <c r="B528" t="s">
        <v>159</v>
      </c>
      <c r="C528" s="4">
        <v>46014</v>
      </c>
      <c r="D528">
        <v>0.1</v>
      </c>
      <c r="E528" t="s">
        <v>30</v>
      </c>
      <c r="F528" t="s">
        <v>9</v>
      </c>
    </row>
    <row r="529" spans="1:6">
      <c r="A529" t="s">
        <v>206</v>
      </c>
      <c r="B529" t="s">
        <v>170</v>
      </c>
      <c r="C529" s="4">
        <v>45902</v>
      </c>
      <c r="D529">
        <v>15.2</v>
      </c>
      <c r="E529" t="s">
        <v>30</v>
      </c>
      <c r="F529" t="s">
        <v>9</v>
      </c>
    </row>
    <row r="530" spans="1:6">
      <c r="A530" t="s">
        <v>150</v>
      </c>
      <c r="B530" t="s">
        <v>66</v>
      </c>
      <c r="C530" s="4">
        <v>45867</v>
      </c>
      <c r="D530">
        <v>-0.6</v>
      </c>
      <c r="E530" t="s">
        <v>8</v>
      </c>
      <c r="F530" t="s">
        <v>12</v>
      </c>
    </row>
    <row r="531" spans="1:6">
      <c r="A531" t="s">
        <v>26</v>
      </c>
      <c r="B531" t="s">
        <v>197</v>
      </c>
      <c r="C531" s="4">
        <v>45888</v>
      </c>
      <c r="D531">
        <v>37.9</v>
      </c>
      <c r="E531" t="s">
        <v>8</v>
      </c>
      <c r="F531" t="s">
        <v>9</v>
      </c>
    </row>
    <row r="532" spans="1:6">
      <c r="A532" t="s">
        <v>271</v>
      </c>
      <c r="B532" t="s">
        <v>232</v>
      </c>
      <c r="C532" s="4">
        <v>45993</v>
      </c>
      <c r="D532">
        <v>45.7</v>
      </c>
      <c r="E532" t="s">
        <v>30</v>
      </c>
      <c r="F532" t="s">
        <v>12</v>
      </c>
    </row>
    <row r="533" spans="1:6">
      <c r="A533" t="s">
        <v>251</v>
      </c>
      <c r="B533" t="s">
        <v>197</v>
      </c>
      <c r="C533" s="4">
        <v>46133</v>
      </c>
      <c r="D533">
        <v>7.5</v>
      </c>
      <c r="E533" t="s">
        <v>8</v>
      </c>
      <c r="F533" t="s">
        <v>9</v>
      </c>
    </row>
    <row r="534" spans="1:6">
      <c r="A534" t="s">
        <v>265</v>
      </c>
      <c r="B534" t="s">
        <v>144</v>
      </c>
      <c r="C534" s="4">
        <v>46147</v>
      </c>
      <c r="D534">
        <v>8.1999999999999993</v>
      </c>
      <c r="E534" t="s">
        <v>19</v>
      </c>
      <c r="F534" t="s">
        <v>9</v>
      </c>
    </row>
    <row r="535" spans="1:6">
      <c r="A535" t="s">
        <v>195</v>
      </c>
      <c r="B535" t="s">
        <v>99</v>
      </c>
      <c r="C535" s="4">
        <v>46098</v>
      </c>
      <c r="D535">
        <v>38.200000000000003</v>
      </c>
      <c r="E535" t="s">
        <v>30</v>
      </c>
      <c r="F535" t="s">
        <v>9</v>
      </c>
    </row>
    <row r="536" spans="1:6">
      <c r="A536" t="s">
        <v>152</v>
      </c>
      <c r="B536" t="s">
        <v>108</v>
      </c>
      <c r="C536" s="4">
        <v>45979</v>
      </c>
      <c r="D536">
        <v>46.4</v>
      </c>
      <c r="E536" t="s">
        <v>30</v>
      </c>
      <c r="F536" t="s">
        <v>12</v>
      </c>
    </row>
    <row r="537" spans="1:6">
      <c r="A537" t="s">
        <v>31</v>
      </c>
      <c r="B537" t="s">
        <v>99</v>
      </c>
      <c r="C537" s="4">
        <v>45916</v>
      </c>
      <c r="D537">
        <v>14.5</v>
      </c>
      <c r="E537" t="s">
        <v>8</v>
      </c>
      <c r="F537" t="s">
        <v>9</v>
      </c>
    </row>
    <row r="538" spans="1:6">
      <c r="A538" t="s">
        <v>167</v>
      </c>
      <c r="B538" t="s">
        <v>260</v>
      </c>
      <c r="C538" s="4">
        <v>45951</v>
      </c>
      <c r="D538">
        <v>14.6</v>
      </c>
      <c r="E538" t="s">
        <v>8</v>
      </c>
      <c r="F538" t="s">
        <v>9</v>
      </c>
    </row>
    <row r="539" spans="1:6">
      <c r="A539" t="s">
        <v>154</v>
      </c>
      <c r="B539" t="s">
        <v>116</v>
      </c>
      <c r="C539" s="4">
        <v>46000</v>
      </c>
      <c r="D539">
        <v>-0.4</v>
      </c>
      <c r="E539" t="s">
        <v>8</v>
      </c>
      <c r="F539" t="s">
        <v>12</v>
      </c>
    </row>
    <row r="540" spans="1:6">
      <c r="A540" t="s">
        <v>132</v>
      </c>
      <c r="B540" t="s">
        <v>63</v>
      </c>
      <c r="C540" s="4">
        <v>46007</v>
      </c>
      <c r="D540">
        <v>45.2</v>
      </c>
      <c r="E540" t="s">
        <v>30</v>
      </c>
      <c r="F540" t="s">
        <v>12</v>
      </c>
    </row>
    <row r="541" spans="1:6">
      <c r="A541" t="s">
        <v>41</v>
      </c>
      <c r="B541" t="s">
        <v>164</v>
      </c>
      <c r="C541" s="4">
        <v>46126</v>
      </c>
      <c r="D541">
        <v>31.1</v>
      </c>
      <c r="E541" t="s">
        <v>8</v>
      </c>
      <c r="F541" t="s">
        <v>9</v>
      </c>
    </row>
    <row r="542" spans="1:6">
      <c r="A542" t="s">
        <v>296</v>
      </c>
      <c r="B542" t="s">
        <v>228</v>
      </c>
      <c r="C542" s="4">
        <v>45839</v>
      </c>
      <c r="D542">
        <v>45.7</v>
      </c>
      <c r="E542" t="s">
        <v>8</v>
      </c>
      <c r="F542" t="s">
        <v>12</v>
      </c>
    </row>
    <row r="543" spans="1:6">
      <c r="A543" t="s">
        <v>86</v>
      </c>
      <c r="B543" t="s">
        <v>144</v>
      </c>
      <c r="C543" s="4">
        <v>45972</v>
      </c>
      <c r="D543">
        <v>31.2</v>
      </c>
      <c r="E543" t="s">
        <v>30</v>
      </c>
      <c r="F543" t="s">
        <v>9</v>
      </c>
    </row>
    <row r="544" spans="1:6">
      <c r="A544" t="s">
        <v>266</v>
      </c>
      <c r="B544" t="s">
        <v>25</v>
      </c>
      <c r="C544" s="4">
        <v>46070</v>
      </c>
      <c r="D544">
        <v>30.4</v>
      </c>
      <c r="E544" t="s">
        <v>30</v>
      </c>
      <c r="F544" t="s">
        <v>9</v>
      </c>
    </row>
    <row r="545" spans="1:6">
      <c r="A545" t="s">
        <v>258</v>
      </c>
      <c r="B545" t="s">
        <v>97</v>
      </c>
      <c r="C545" s="4">
        <v>45958</v>
      </c>
      <c r="D545">
        <v>29.4</v>
      </c>
      <c r="E545" t="s">
        <v>8</v>
      </c>
      <c r="F545" t="s">
        <v>9</v>
      </c>
    </row>
    <row r="546" spans="1:6">
      <c r="A546" t="s">
        <v>143</v>
      </c>
      <c r="B546" t="s">
        <v>245</v>
      </c>
      <c r="C546" s="4">
        <v>46140</v>
      </c>
      <c r="D546">
        <v>30.9</v>
      </c>
      <c r="E546" t="s">
        <v>30</v>
      </c>
      <c r="F546" t="s">
        <v>9</v>
      </c>
    </row>
    <row r="547" spans="1:6">
      <c r="A547" t="s">
        <v>169</v>
      </c>
      <c r="B547" t="s">
        <v>245</v>
      </c>
      <c r="C547" s="4">
        <v>45979</v>
      </c>
      <c r="D547">
        <v>15.8</v>
      </c>
      <c r="E547" t="s">
        <v>8</v>
      </c>
      <c r="F547" t="s">
        <v>9</v>
      </c>
    </row>
    <row r="548" spans="1:6">
      <c r="A548" t="s">
        <v>24</v>
      </c>
      <c r="B548" t="s">
        <v>89</v>
      </c>
      <c r="C548" s="4">
        <v>46147</v>
      </c>
      <c r="D548">
        <v>15</v>
      </c>
      <c r="E548" t="s">
        <v>30</v>
      </c>
      <c r="F548" t="s">
        <v>9</v>
      </c>
    </row>
    <row r="549" spans="1:6">
      <c r="A549" t="s">
        <v>250</v>
      </c>
      <c r="B549" t="s">
        <v>285</v>
      </c>
      <c r="C549" s="4">
        <v>46105</v>
      </c>
      <c r="D549">
        <v>45.2</v>
      </c>
      <c r="E549" t="s">
        <v>8</v>
      </c>
      <c r="F549" t="s">
        <v>12</v>
      </c>
    </row>
    <row r="550" spans="1:6">
      <c r="A550" t="s">
        <v>161</v>
      </c>
      <c r="B550" t="s">
        <v>103</v>
      </c>
      <c r="C550" s="4">
        <v>46056</v>
      </c>
      <c r="D550">
        <v>30</v>
      </c>
      <c r="E550" t="s">
        <v>8</v>
      </c>
      <c r="F550" t="s">
        <v>9</v>
      </c>
    </row>
    <row r="551" spans="1:6">
      <c r="A551" t="s">
        <v>139</v>
      </c>
      <c r="B551" t="s">
        <v>71</v>
      </c>
      <c r="C551" s="4">
        <v>45902</v>
      </c>
      <c r="D551">
        <v>7.4</v>
      </c>
      <c r="E551" t="s">
        <v>19</v>
      </c>
      <c r="F551" t="s">
        <v>9</v>
      </c>
    </row>
    <row r="552" spans="1:6">
      <c r="A552" t="s">
        <v>83</v>
      </c>
      <c r="B552" t="s">
        <v>74</v>
      </c>
      <c r="C552" s="4">
        <v>46105</v>
      </c>
      <c r="D552">
        <v>14.3</v>
      </c>
      <c r="E552" t="s">
        <v>8</v>
      </c>
      <c r="F552" t="s">
        <v>9</v>
      </c>
    </row>
    <row r="553" spans="1:6">
      <c r="A553" t="s">
        <v>261</v>
      </c>
      <c r="B553" t="s">
        <v>18</v>
      </c>
      <c r="C553" s="4">
        <v>46098</v>
      </c>
      <c r="D553">
        <v>22</v>
      </c>
      <c r="E553" t="s">
        <v>8</v>
      </c>
      <c r="F553" t="s">
        <v>9</v>
      </c>
    </row>
    <row r="554" spans="1:6">
      <c r="A554" t="s">
        <v>58</v>
      </c>
      <c r="B554" t="s">
        <v>301</v>
      </c>
      <c r="C554" s="4">
        <v>45853</v>
      </c>
      <c r="D554">
        <v>15.4</v>
      </c>
      <c r="E554" t="s">
        <v>8</v>
      </c>
      <c r="F554" t="s">
        <v>9</v>
      </c>
    </row>
    <row r="555" spans="1:6">
      <c r="A555" t="s">
        <v>149</v>
      </c>
      <c r="B555" t="s">
        <v>232</v>
      </c>
      <c r="C555" s="4">
        <v>46098</v>
      </c>
      <c r="D555">
        <v>29.9</v>
      </c>
      <c r="E555" t="s">
        <v>8</v>
      </c>
      <c r="F555" t="s">
        <v>9</v>
      </c>
    </row>
    <row r="556" spans="1:6">
      <c r="A556" t="s">
        <v>302</v>
      </c>
      <c r="B556" t="s">
        <v>170</v>
      </c>
      <c r="C556" s="4">
        <v>45902</v>
      </c>
      <c r="D556">
        <v>45.4</v>
      </c>
      <c r="E556" t="s">
        <v>30</v>
      </c>
      <c r="F556" t="s">
        <v>12</v>
      </c>
    </row>
    <row r="557" spans="1:6">
      <c r="A557" t="s">
        <v>137</v>
      </c>
      <c r="B557" t="s">
        <v>147</v>
      </c>
      <c r="C557" s="4">
        <v>45916</v>
      </c>
      <c r="D557">
        <v>7.5</v>
      </c>
      <c r="E557" t="s">
        <v>8</v>
      </c>
      <c r="F557" t="s">
        <v>9</v>
      </c>
    </row>
    <row r="558" spans="1:6">
      <c r="A558" t="s">
        <v>263</v>
      </c>
      <c r="B558" t="s">
        <v>23</v>
      </c>
      <c r="C558" s="4">
        <v>46112</v>
      </c>
      <c r="D558">
        <v>37.1</v>
      </c>
      <c r="E558" t="s">
        <v>30</v>
      </c>
      <c r="F558" t="s">
        <v>9</v>
      </c>
    </row>
    <row r="559" spans="1:6">
      <c r="A559" t="s">
        <v>178</v>
      </c>
      <c r="B559" t="s">
        <v>118</v>
      </c>
      <c r="C559" s="4">
        <v>45923</v>
      </c>
      <c r="D559">
        <v>15.6</v>
      </c>
      <c r="E559" t="s">
        <v>8</v>
      </c>
      <c r="F559" t="s">
        <v>9</v>
      </c>
    </row>
    <row r="560" spans="1:6">
      <c r="A560" t="s">
        <v>242</v>
      </c>
      <c r="B560" t="s">
        <v>96</v>
      </c>
      <c r="C560" s="4">
        <v>45853</v>
      </c>
      <c r="D560">
        <v>7.1</v>
      </c>
      <c r="E560" t="s">
        <v>8</v>
      </c>
      <c r="F560" t="s">
        <v>9</v>
      </c>
    </row>
    <row r="561" spans="1:6">
      <c r="A561" t="s">
        <v>46</v>
      </c>
      <c r="B561" t="s">
        <v>101</v>
      </c>
      <c r="C561" s="4">
        <v>45909</v>
      </c>
      <c r="D561">
        <v>8.1999999999999993</v>
      </c>
      <c r="E561" t="s">
        <v>8</v>
      </c>
      <c r="F561" t="s">
        <v>9</v>
      </c>
    </row>
    <row r="562" spans="1:6">
      <c r="A562" t="s">
        <v>303</v>
      </c>
      <c r="B562" t="s">
        <v>118</v>
      </c>
      <c r="C562" s="4">
        <v>45916</v>
      </c>
      <c r="D562">
        <v>-0.8</v>
      </c>
      <c r="E562" t="s">
        <v>30</v>
      </c>
      <c r="F562" t="s">
        <v>12</v>
      </c>
    </row>
    <row r="563" spans="1:6">
      <c r="A563" t="s">
        <v>109</v>
      </c>
      <c r="B563" t="s">
        <v>249</v>
      </c>
      <c r="C563" s="4">
        <v>45888</v>
      </c>
      <c r="D563">
        <v>45.3</v>
      </c>
      <c r="E563" t="s">
        <v>8</v>
      </c>
      <c r="F563" t="s">
        <v>12</v>
      </c>
    </row>
    <row r="564" spans="1:6">
      <c r="A564" t="s">
        <v>64</v>
      </c>
      <c r="B564" t="s">
        <v>76</v>
      </c>
      <c r="C564" s="4">
        <v>46021</v>
      </c>
      <c r="D564">
        <v>38</v>
      </c>
      <c r="E564" t="s">
        <v>8</v>
      </c>
      <c r="F564" t="s">
        <v>9</v>
      </c>
    </row>
    <row r="565" spans="1:6">
      <c r="A565" t="s">
        <v>178</v>
      </c>
      <c r="B565" t="s">
        <v>99</v>
      </c>
      <c r="C565" s="4">
        <v>46098</v>
      </c>
      <c r="D565">
        <v>7.7</v>
      </c>
      <c r="E565" t="s">
        <v>8</v>
      </c>
      <c r="F565" t="s">
        <v>9</v>
      </c>
    </row>
    <row r="566" spans="1:6">
      <c r="A566" t="s">
        <v>153</v>
      </c>
      <c r="B566" t="s">
        <v>43</v>
      </c>
      <c r="C566" s="4">
        <v>46007</v>
      </c>
      <c r="D566">
        <v>23.8</v>
      </c>
      <c r="E566" t="s">
        <v>30</v>
      </c>
      <c r="F566" t="s">
        <v>9</v>
      </c>
    </row>
    <row r="567" spans="1:6">
      <c r="A567" t="s">
        <v>210</v>
      </c>
      <c r="B567" t="s">
        <v>7</v>
      </c>
      <c r="C567" s="4">
        <v>45853</v>
      </c>
      <c r="D567">
        <v>-0.2</v>
      </c>
      <c r="E567" t="s">
        <v>30</v>
      </c>
      <c r="F567" t="s">
        <v>12</v>
      </c>
    </row>
    <row r="568" spans="1:6">
      <c r="A568" t="s">
        <v>181</v>
      </c>
      <c r="B568" t="s">
        <v>215</v>
      </c>
      <c r="C568" s="4">
        <v>46056</v>
      </c>
      <c r="D568">
        <v>30.7</v>
      </c>
      <c r="E568" t="s">
        <v>8</v>
      </c>
      <c r="F568" t="s">
        <v>9</v>
      </c>
    </row>
    <row r="569" spans="1:6">
      <c r="A569" t="s">
        <v>243</v>
      </c>
      <c r="B569" t="s">
        <v>248</v>
      </c>
      <c r="C569" s="4">
        <v>45979</v>
      </c>
      <c r="D569">
        <v>0.5</v>
      </c>
      <c r="E569" t="s">
        <v>8</v>
      </c>
      <c r="F569" t="s">
        <v>9</v>
      </c>
    </row>
    <row r="570" spans="1:6">
      <c r="A570" t="s">
        <v>174</v>
      </c>
      <c r="B570" t="s">
        <v>225</v>
      </c>
      <c r="C570" s="4">
        <v>46014</v>
      </c>
      <c r="D570">
        <v>45.2</v>
      </c>
      <c r="E570" t="s">
        <v>30</v>
      </c>
      <c r="F570" t="s">
        <v>12</v>
      </c>
    </row>
    <row r="571" spans="1:6">
      <c r="A571" t="s">
        <v>134</v>
      </c>
      <c r="B571" t="s">
        <v>286</v>
      </c>
      <c r="C571" s="4">
        <v>45895</v>
      </c>
      <c r="D571">
        <v>14.8</v>
      </c>
      <c r="E571" t="s">
        <v>8</v>
      </c>
      <c r="F571" t="s">
        <v>9</v>
      </c>
    </row>
    <row r="572" spans="1:6">
      <c r="A572" t="s">
        <v>41</v>
      </c>
      <c r="B572" t="s">
        <v>74</v>
      </c>
      <c r="C572" s="4">
        <v>46154</v>
      </c>
      <c r="D572">
        <v>31</v>
      </c>
      <c r="E572" t="s">
        <v>8</v>
      </c>
      <c r="F572" t="s">
        <v>9</v>
      </c>
    </row>
    <row r="573" spans="1:6">
      <c r="A573" t="s">
        <v>167</v>
      </c>
      <c r="B573" t="s">
        <v>133</v>
      </c>
      <c r="C573" s="4">
        <v>45846</v>
      </c>
      <c r="D573">
        <v>23.2</v>
      </c>
      <c r="E573" t="s">
        <v>8</v>
      </c>
      <c r="F573" t="s">
        <v>9</v>
      </c>
    </row>
    <row r="574" spans="1:6">
      <c r="A574" t="s">
        <v>251</v>
      </c>
      <c r="B574" t="s">
        <v>245</v>
      </c>
      <c r="C574" s="4">
        <v>45951</v>
      </c>
      <c r="D574">
        <v>37.4</v>
      </c>
      <c r="E574" t="s">
        <v>19</v>
      </c>
      <c r="F574" t="s">
        <v>12</v>
      </c>
    </row>
    <row r="575" spans="1:6">
      <c r="A575" t="s">
        <v>271</v>
      </c>
      <c r="B575" t="s">
        <v>193</v>
      </c>
      <c r="C575" s="4">
        <v>46091</v>
      </c>
      <c r="D575">
        <v>0.7</v>
      </c>
      <c r="E575" t="s">
        <v>19</v>
      </c>
      <c r="F575" t="s">
        <v>12</v>
      </c>
    </row>
    <row r="576" spans="1:6">
      <c r="A576" t="s">
        <v>174</v>
      </c>
      <c r="B576" t="s">
        <v>103</v>
      </c>
      <c r="C576" s="4">
        <v>45902</v>
      </c>
      <c r="D576">
        <v>0.5</v>
      </c>
      <c r="E576" t="s">
        <v>30</v>
      </c>
      <c r="F576" t="s">
        <v>9</v>
      </c>
    </row>
    <row r="577" spans="1:6">
      <c r="A577" t="s">
        <v>167</v>
      </c>
      <c r="B577" t="s">
        <v>245</v>
      </c>
      <c r="C577" s="4">
        <v>45958</v>
      </c>
      <c r="D577">
        <v>38.4</v>
      </c>
      <c r="E577" t="s">
        <v>8</v>
      </c>
      <c r="F577" t="s">
        <v>9</v>
      </c>
    </row>
    <row r="578" spans="1:6">
      <c r="A578" t="s">
        <v>6</v>
      </c>
      <c r="B578" t="s">
        <v>193</v>
      </c>
      <c r="C578" s="4">
        <v>46147</v>
      </c>
      <c r="D578">
        <v>14.4</v>
      </c>
      <c r="E578" t="s">
        <v>8</v>
      </c>
      <c r="F578" t="s">
        <v>9</v>
      </c>
    </row>
    <row r="579" spans="1:6">
      <c r="A579" t="s">
        <v>276</v>
      </c>
      <c r="B579" t="s">
        <v>235</v>
      </c>
      <c r="C579" s="4">
        <v>46028</v>
      </c>
      <c r="D579">
        <v>30.2</v>
      </c>
      <c r="E579" t="s">
        <v>30</v>
      </c>
      <c r="F579" t="s">
        <v>9</v>
      </c>
    </row>
    <row r="580" spans="1:6">
      <c r="A580" t="s">
        <v>175</v>
      </c>
      <c r="B580" t="s">
        <v>101</v>
      </c>
      <c r="C580" s="4">
        <v>45839</v>
      </c>
      <c r="D580">
        <v>6.6</v>
      </c>
      <c r="E580" t="s">
        <v>19</v>
      </c>
      <c r="F580" t="s">
        <v>9</v>
      </c>
    </row>
    <row r="581" spans="1:6">
      <c r="A581" t="s">
        <v>255</v>
      </c>
      <c r="B581" t="s">
        <v>217</v>
      </c>
      <c r="C581" s="4">
        <v>45923</v>
      </c>
      <c r="D581">
        <v>37.799999999999997</v>
      </c>
      <c r="E581" t="s">
        <v>19</v>
      </c>
      <c r="F581" t="s">
        <v>12</v>
      </c>
    </row>
    <row r="582" spans="1:6">
      <c r="A582" t="s">
        <v>104</v>
      </c>
      <c r="B582" t="s">
        <v>273</v>
      </c>
      <c r="C582" s="4">
        <v>45979</v>
      </c>
      <c r="D582">
        <v>-0.6</v>
      </c>
      <c r="E582" t="s">
        <v>8</v>
      </c>
      <c r="F582" t="s">
        <v>12</v>
      </c>
    </row>
    <row r="583" spans="1:6">
      <c r="A583" t="s">
        <v>167</v>
      </c>
      <c r="B583" t="s">
        <v>38</v>
      </c>
      <c r="C583" s="4">
        <v>45944</v>
      </c>
      <c r="D583">
        <v>38.4</v>
      </c>
      <c r="E583" t="s">
        <v>19</v>
      </c>
      <c r="F583" t="s">
        <v>9</v>
      </c>
    </row>
    <row r="584" spans="1:6">
      <c r="A584" t="s">
        <v>122</v>
      </c>
      <c r="B584" t="s">
        <v>129</v>
      </c>
      <c r="C584" s="4">
        <v>46021</v>
      </c>
      <c r="D584">
        <v>0.6</v>
      </c>
      <c r="E584" t="s">
        <v>8</v>
      </c>
      <c r="F584" t="s">
        <v>9</v>
      </c>
    </row>
    <row r="585" spans="1:6">
      <c r="A585" t="s">
        <v>280</v>
      </c>
      <c r="B585" t="s">
        <v>269</v>
      </c>
      <c r="C585" s="4">
        <v>46112</v>
      </c>
      <c r="D585">
        <v>6.7</v>
      </c>
      <c r="E585" t="s">
        <v>8</v>
      </c>
      <c r="F585" t="s">
        <v>9</v>
      </c>
    </row>
    <row r="586" spans="1:6">
      <c r="A586" t="s">
        <v>201</v>
      </c>
      <c r="B586" t="s">
        <v>286</v>
      </c>
      <c r="C586" s="4">
        <v>45909</v>
      </c>
      <c r="D586">
        <v>-0.1</v>
      </c>
      <c r="E586" t="s">
        <v>8</v>
      </c>
      <c r="F586" t="s">
        <v>12</v>
      </c>
    </row>
    <row r="587" spans="1:6">
      <c r="A587" t="s">
        <v>210</v>
      </c>
      <c r="B587" t="s">
        <v>204</v>
      </c>
      <c r="C587" s="4">
        <v>45937</v>
      </c>
      <c r="D587">
        <v>15.9</v>
      </c>
      <c r="E587" t="s">
        <v>19</v>
      </c>
      <c r="F587" t="s">
        <v>12</v>
      </c>
    </row>
    <row r="588" spans="1:6">
      <c r="A588" t="s">
        <v>55</v>
      </c>
      <c r="B588" t="s">
        <v>245</v>
      </c>
      <c r="C588" s="4">
        <v>46007</v>
      </c>
      <c r="D588">
        <v>46.2</v>
      </c>
      <c r="E588" t="s">
        <v>19</v>
      </c>
      <c r="F588" t="s">
        <v>12</v>
      </c>
    </row>
    <row r="589" spans="1:6">
      <c r="A589" t="s">
        <v>263</v>
      </c>
      <c r="B589" t="s">
        <v>211</v>
      </c>
      <c r="C589" s="4">
        <v>46049</v>
      </c>
      <c r="D589">
        <v>31.2</v>
      </c>
      <c r="E589" t="s">
        <v>8</v>
      </c>
      <c r="F589" t="s">
        <v>9</v>
      </c>
    </row>
    <row r="590" spans="1:6">
      <c r="A590" t="s">
        <v>85</v>
      </c>
      <c r="B590" t="s">
        <v>29</v>
      </c>
      <c r="C590" s="4">
        <v>45888</v>
      </c>
      <c r="D590">
        <v>46.5</v>
      </c>
      <c r="E590" t="s">
        <v>19</v>
      </c>
      <c r="F590" t="s">
        <v>12</v>
      </c>
    </row>
    <row r="591" spans="1:6">
      <c r="A591" t="s">
        <v>86</v>
      </c>
      <c r="B591" t="s">
        <v>63</v>
      </c>
      <c r="C591" s="4">
        <v>46014</v>
      </c>
      <c r="D591">
        <v>29.6</v>
      </c>
      <c r="E591" t="s">
        <v>8</v>
      </c>
      <c r="F591" t="s">
        <v>9</v>
      </c>
    </row>
    <row r="592" spans="1:6">
      <c r="A592" t="s">
        <v>137</v>
      </c>
      <c r="B592" t="s">
        <v>40</v>
      </c>
      <c r="C592" s="4">
        <v>45881</v>
      </c>
      <c r="D592">
        <v>8.5</v>
      </c>
      <c r="E592" t="s">
        <v>8</v>
      </c>
      <c r="F592" t="s">
        <v>9</v>
      </c>
    </row>
    <row r="593" spans="1:6">
      <c r="A593" t="s">
        <v>160</v>
      </c>
      <c r="B593" t="s">
        <v>25</v>
      </c>
      <c r="C593" s="4">
        <v>45909</v>
      </c>
      <c r="D593">
        <v>16</v>
      </c>
      <c r="E593" t="s">
        <v>30</v>
      </c>
      <c r="F593" t="s">
        <v>9</v>
      </c>
    </row>
    <row r="594" spans="1:6">
      <c r="A594" t="s">
        <v>242</v>
      </c>
      <c r="B594" t="s">
        <v>118</v>
      </c>
      <c r="C594" s="4">
        <v>46140</v>
      </c>
      <c r="D594">
        <v>38.700000000000003</v>
      </c>
      <c r="E594" t="s">
        <v>30</v>
      </c>
      <c r="F594" t="s">
        <v>9</v>
      </c>
    </row>
    <row r="595" spans="1:6">
      <c r="A595" t="s">
        <v>68</v>
      </c>
      <c r="B595" t="s">
        <v>253</v>
      </c>
      <c r="C595" s="4">
        <v>45916</v>
      </c>
      <c r="D595">
        <v>30.9</v>
      </c>
      <c r="E595" t="s">
        <v>30</v>
      </c>
      <c r="F595" t="s">
        <v>9</v>
      </c>
    </row>
    <row r="596" spans="1:6">
      <c r="A596" t="s">
        <v>47</v>
      </c>
      <c r="B596" t="s">
        <v>84</v>
      </c>
      <c r="C596" s="4">
        <v>46049</v>
      </c>
      <c r="D596">
        <v>23.2</v>
      </c>
      <c r="E596" t="s">
        <v>30</v>
      </c>
      <c r="F596" t="s">
        <v>9</v>
      </c>
    </row>
    <row r="597" spans="1:6">
      <c r="A597" t="s">
        <v>20</v>
      </c>
      <c r="B597" t="s">
        <v>116</v>
      </c>
      <c r="C597" s="4">
        <v>46014</v>
      </c>
      <c r="D597">
        <v>30.4</v>
      </c>
      <c r="E597" t="s">
        <v>8</v>
      </c>
      <c r="F597" t="s">
        <v>9</v>
      </c>
    </row>
    <row r="598" spans="1:6">
      <c r="A598" t="s">
        <v>107</v>
      </c>
      <c r="B598" t="s">
        <v>208</v>
      </c>
      <c r="C598" s="4">
        <v>46119</v>
      </c>
      <c r="D598">
        <v>45.3</v>
      </c>
      <c r="E598" t="s">
        <v>30</v>
      </c>
      <c r="F598" t="s">
        <v>12</v>
      </c>
    </row>
    <row r="599" spans="1:6">
      <c r="A599" t="s">
        <v>158</v>
      </c>
      <c r="B599" t="s">
        <v>29</v>
      </c>
      <c r="C599" s="4">
        <v>46077</v>
      </c>
      <c r="D599">
        <v>37.200000000000003</v>
      </c>
      <c r="E599" t="s">
        <v>30</v>
      </c>
      <c r="F599" t="s">
        <v>9</v>
      </c>
    </row>
    <row r="600" spans="1:6">
      <c r="A600" t="s">
        <v>100</v>
      </c>
      <c r="B600" t="s">
        <v>186</v>
      </c>
      <c r="C600" s="4">
        <v>45867</v>
      </c>
      <c r="D600">
        <v>37.299999999999997</v>
      </c>
      <c r="E600" t="s">
        <v>30</v>
      </c>
      <c r="F600" t="s">
        <v>9</v>
      </c>
    </row>
    <row r="601" spans="1:6">
      <c r="A601" t="s">
        <v>132</v>
      </c>
      <c r="B601" t="s">
        <v>36</v>
      </c>
      <c r="C601" s="4">
        <v>46042</v>
      </c>
      <c r="D601">
        <v>38.4</v>
      </c>
      <c r="E601" t="s">
        <v>8</v>
      </c>
      <c r="F601" t="s">
        <v>9</v>
      </c>
    </row>
    <row r="602" spans="1:6">
      <c r="A602" t="s">
        <v>272</v>
      </c>
      <c r="B602" t="s">
        <v>247</v>
      </c>
      <c r="C602" s="4">
        <v>46098</v>
      </c>
      <c r="D602">
        <v>0.1</v>
      </c>
      <c r="E602" t="s">
        <v>8</v>
      </c>
      <c r="F602" t="s">
        <v>9</v>
      </c>
    </row>
    <row r="603" spans="1:6">
      <c r="A603" t="s">
        <v>239</v>
      </c>
      <c r="B603" t="s">
        <v>196</v>
      </c>
      <c r="C603" s="4">
        <v>45993</v>
      </c>
      <c r="D603">
        <v>45.6</v>
      </c>
      <c r="E603" t="s">
        <v>30</v>
      </c>
      <c r="F603" t="s">
        <v>12</v>
      </c>
    </row>
    <row r="604" spans="1:6">
      <c r="A604" t="s">
        <v>243</v>
      </c>
      <c r="B604" t="s">
        <v>294</v>
      </c>
      <c r="C604" s="4">
        <v>45902</v>
      </c>
      <c r="D604">
        <v>45.4</v>
      </c>
      <c r="E604" t="s">
        <v>8</v>
      </c>
      <c r="F604" t="s">
        <v>12</v>
      </c>
    </row>
    <row r="605" spans="1:6">
      <c r="A605" t="s">
        <v>236</v>
      </c>
      <c r="B605" t="s">
        <v>59</v>
      </c>
      <c r="C605" s="4">
        <v>46007</v>
      </c>
      <c r="D605">
        <v>-0.7</v>
      </c>
      <c r="E605" t="s">
        <v>19</v>
      </c>
      <c r="F605" t="s">
        <v>12</v>
      </c>
    </row>
    <row r="606" spans="1:6">
      <c r="A606" t="s">
        <v>271</v>
      </c>
      <c r="B606" t="s">
        <v>190</v>
      </c>
      <c r="C606" s="4">
        <v>45881</v>
      </c>
      <c r="D606">
        <v>14.8</v>
      </c>
      <c r="E606" t="s">
        <v>8</v>
      </c>
      <c r="F606" t="s">
        <v>9</v>
      </c>
    </row>
    <row r="607" spans="1:6">
      <c r="A607" t="s">
        <v>13</v>
      </c>
      <c r="B607" t="s">
        <v>25</v>
      </c>
      <c r="C607" s="4">
        <v>46098</v>
      </c>
      <c r="D607">
        <v>38.799999999999997</v>
      </c>
      <c r="E607" t="s">
        <v>8</v>
      </c>
      <c r="F607" t="s">
        <v>9</v>
      </c>
    </row>
    <row r="608" spans="1:6">
      <c r="A608" t="s">
        <v>64</v>
      </c>
      <c r="B608" t="s">
        <v>235</v>
      </c>
      <c r="C608" s="4">
        <v>46105</v>
      </c>
      <c r="D608">
        <v>23.1</v>
      </c>
      <c r="E608" t="s">
        <v>30</v>
      </c>
      <c r="F608" t="s">
        <v>9</v>
      </c>
    </row>
    <row r="609" spans="1:6">
      <c r="A609" t="s">
        <v>44</v>
      </c>
      <c r="B609" t="s">
        <v>96</v>
      </c>
      <c r="C609" s="4">
        <v>46035</v>
      </c>
      <c r="D609">
        <v>45.2</v>
      </c>
      <c r="E609" t="s">
        <v>8</v>
      </c>
      <c r="F609" t="s">
        <v>12</v>
      </c>
    </row>
    <row r="610" spans="1:6">
      <c r="A610" t="s">
        <v>79</v>
      </c>
      <c r="B610" t="s">
        <v>116</v>
      </c>
      <c r="C610" s="4">
        <v>46035</v>
      </c>
      <c r="D610">
        <v>23.1</v>
      </c>
      <c r="E610" t="s">
        <v>8</v>
      </c>
      <c r="F610" t="s">
        <v>9</v>
      </c>
    </row>
    <row r="611" spans="1:6">
      <c r="A611" t="s">
        <v>54</v>
      </c>
      <c r="B611" t="s">
        <v>281</v>
      </c>
      <c r="C611" s="4">
        <v>46028</v>
      </c>
      <c r="D611">
        <v>39</v>
      </c>
      <c r="E611" t="s">
        <v>8</v>
      </c>
      <c r="F611" t="s">
        <v>9</v>
      </c>
    </row>
    <row r="612" spans="1:6">
      <c r="A612" t="s">
        <v>252</v>
      </c>
      <c r="B612" t="s">
        <v>66</v>
      </c>
      <c r="C612" s="4">
        <v>46112</v>
      </c>
      <c r="D612">
        <v>30.4</v>
      </c>
      <c r="E612" t="s">
        <v>30</v>
      </c>
      <c r="F612" t="s">
        <v>9</v>
      </c>
    </row>
    <row r="613" spans="1:6">
      <c r="A613" t="s">
        <v>169</v>
      </c>
      <c r="B613" t="s">
        <v>127</v>
      </c>
      <c r="C613" s="4">
        <v>46105</v>
      </c>
      <c r="D613">
        <v>30</v>
      </c>
      <c r="E613" t="s">
        <v>30</v>
      </c>
      <c r="F613" t="s">
        <v>9</v>
      </c>
    </row>
    <row r="614" spans="1:6">
      <c r="A614" t="s">
        <v>85</v>
      </c>
      <c r="B614" t="s">
        <v>162</v>
      </c>
      <c r="C614" s="4">
        <v>45993</v>
      </c>
      <c r="D614">
        <v>45.8</v>
      </c>
      <c r="E614" t="s">
        <v>30</v>
      </c>
      <c r="F614" t="s">
        <v>12</v>
      </c>
    </row>
    <row r="615" spans="1:6">
      <c r="A615" t="s">
        <v>148</v>
      </c>
      <c r="B615" t="s">
        <v>106</v>
      </c>
      <c r="C615" s="4">
        <v>45867</v>
      </c>
      <c r="D615">
        <v>37.4</v>
      </c>
      <c r="E615" t="s">
        <v>30</v>
      </c>
      <c r="F615" t="s">
        <v>9</v>
      </c>
    </row>
    <row r="616" spans="1:6">
      <c r="A616" t="s">
        <v>282</v>
      </c>
      <c r="B616" t="s">
        <v>69</v>
      </c>
      <c r="C616" s="4">
        <v>45972</v>
      </c>
      <c r="D616">
        <v>7.4</v>
      </c>
      <c r="E616" t="s">
        <v>8</v>
      </c>
      <c r="F616" t="s">
        <v>9</v>
      </c>
    </row>
    <row r="617" spans="1:6">
      <c r="A617" t="s">
        <v>178</v>
      </c>
      <c r="B617" t="s">
        <v>248</v>
      </c>
      <c r="C617" s="4">
        <v>46119</v>
      </c>
      <c r="D617">
        <v>22.2</v>
      </c>
      <c r="E617" t="s">
        <v>30</v>
      </c>
      <c r="F617" t="s">
        <v>9</v>
      </c>
    </row>
    <row r="618" spans="1:6">
      <c r="A618" t="s">
        <v>111</v>
      </c>
      <c r="B618" t="s">
        <v>61</v>
      </c>
      <c r="C618" s="4">
        <v>46077</v>
      </c>
      <c r="D618">
        <v>8.6</v>
      </c>
      <c r="E618" t="s">
        <v>8</v>
      </c>
      <c r="F618" t="s">
        <v>9</v>
      </c>
    </row>
    <row r="619" spans="1:6">
      <c r="A619" t="s">
        <v>157</v>
      </c>
      <c r="B619" t="s">
        <v>59</v>
      </c>
      <c r="C619" s="4">
        <v>45846</v>
      </c>
      <c r="D619">
        <v>22.4</v>
      </c>
      <c r="E619" t="s">
        <v>8</v>
      </c>
      <c r="F619" t="s">
        <v>9</v>
      </c>
    </row>
    <row r="620" spans="1:6">
      <c r="A620" t="s">
        <v>64</v>
      </c>
      <c r="B620" t="s">
        <v>219</v>
      </c>
      <c r="C620" s="4">
        <v>46133</v>
      </c>
      <c r="D620">
        <v>45.6</v>
      </c>
      <c r="E620" t="s">
        <v>8</v>
      </c>
      <c r="F620" t="s">
        <v>12</v>
      </c>
    </row>
    <row r="621" spans="1:6">
      <c r="A621" t="s">
        <v>304</v>
      </c>
      <c r="B621" t="s">
        <v>171</v>
      </c>
      <c r="C621" s="4">
        <v>45909</v>
      </c>
      <c r="D621">
        <v>8.3000000000000007</v>
      </c>
      <c r="E621" t="s">
        <v>19</v>
      </c>
      <c r="F621" t="s">
        <v>12</v>
      </c>
    </row>
    <row r="622" spans="1:6">
      <c r="A622" t="s">
        <v>145</v>
      </c>
      <c r="B622" t="s">
        <v>49</v>
      </c>
      <c r="C622" s="4">
        <v>45853</v>
      </c>
      <c r="D622">
        <v>30.2</v>
      </c>
      <c r="E622" t="s">
        <v>30</v>
      </c>
      <c r="F622" t="s">
        <v>9</v>
      </c>
    </row>
    <row r="623" spans="1:6">
      <c r="A623" t="s">
        <v>161</v>
      </c>
      <c r="B623" t="s">
        <v>116</v>
      </c>
      <c r="C623" s="4">
        <v>46077</v>
      </c>
      <c r="D623">
        <v>14.7</v>
      </c>
      <c r="E623" t="s">
        <v>30</v>
      </c>
      <c r="F623" t="s">
        <v>9</v>
      </c>
    </row>
    <row r="624" spans="1:6">
      <c r="A624" t="s">
        <v>175</v>
      </c>
      <c r="B624" t="s">
        <v>248</v>
      </c>
      <c r="C624" s="4">
        <v>45881</v>
      </c>
      <c r="D624">
        <v>-0.6</v>
      </c>
      <c r="E624" t="s">
        <v>30</v>
      </c>
      <c r="F624" t="s">
        <v>12</v>
      </c>
    </row>
    <row r="625" spans="1:6">
      <c r="A625" t="s">
        <v>266</v>
      </c>
      <c r="B625" t="s">
        <v>66</v>
      </c>
      <c r="C625" s="4">
        <v>46084</v>
      </c>
      <c r="D625">
        <v>15.9</v>
      </c>
      <c r="E625" t="s">
        <v>30</v>
      </c>
      <c r="F625" t="s">
        <v>9</v>
      </c>
    </row>
    <row r="626" spans="1:6">
      <c r="A626" t="s">
        <v>79</v>
      </c>
      <c r="B626" t="s">
        <v>212</v>
      </c>
      <c r="C626" s="4">
        <v>45972</v>
      </c>
      <c r="D626">
        <v>46.2</v>
      </c>
      <c r="E626" t="s">
        <v>30</v>
      </c>
      <c r="F626" t="s">
        <v>12</v>
      </c>
    </row>
    <row r="627" spans="1:6">
      <c r="A627" t="s">
        <v>90</v>
      </c>
      <c r="B627" t="s">
        <v>108</v>
      </c>
      <c r="C627" s="4">
        <v>46049</v>
      </c>
      <c r="D627">
        <v>23.5</v>
      </c>
      <c r="E627" t="s">
        <v>30</v>
      </c>
      <c r="F627" t="s">
        <v>9</v>
      </c>
    </row>
    <row r="628" spans="1:6">
      <c r="A628" t="s">
        <v>46</v>
      </c>
      <c r="B628" t="s">
        <v>180</v>
      </c>
      <c r="C628" s="4">
        <v>45993</v>
      </c>
      <c r="D628">
        <v>31.4</v>
      </c>
      <c r="E628" t="s">
        <v>8</v>
      </c>
      <c r="F628" t="s">
        <v>9</v>
      </c>
    </row>
    <row r="629" spans="1:6">
      <c r="A629" t="s">
        <v>254</v>
      </c>
      <c r="B629" t="s">
        <v>129</v>
      </c>
      <c r="C629" s="4">
        <v>46035</v>
      </c>
      <c r="D629">
        <v>-0.3</v>
      </c>
      <c r="E629" t="s">
        <v>8</v>
      </c>
      <c r="F629" t="s">
        <v>12</v>
      </c>
    </row>
    <row r="630" spans="1:6">
      <c r="A630" t="s">
        <v>238</v>
      </c>
      <c r="B630" t="s">
        <v>301</v>
      </c>
      <c r="C630" s="4">
        <v>45853</v>
      </c>
      <c r="D630">
        <v>45.3</v>
      </c>
      <c r="E630" t="s">
        <v>8</v>
      </c>
      <c r="F630" t="s">
        <v>12</v>
      </c>
    </row>
    <row r="631" spans="1:6">
      <c r="A631" t="s">
        <v>161</v>
      </c>
      <c r="B631" t="s">
        <v>110</v>
      </c>
      <c r="C631" s="4">
        <v>45881</v>
      </c>
      <c r="D631">
        <v>38.799999999999997</v>
      </c>
      <c r="E631" t="s">
        <v>30</v>
      </c>
      <c r="F631" t="s">
        <v>9</v>
      </c>
    </row>
    <row r="632" spans="1:6">
      <c r="A632" t="s">
        <v>274</v>
      </c>
      <c r="B632" t="s">
        <v>34</v>
      </c>
      <c r="C632" s="4">
        <v>45930</v>
      </c>
      <c r="D632">
        <v>8.4</v>
      </c>
      <c r="E632" t="s">
        <v>19</v>
      </c>
      <c r="F632" t="s">
        <v>9</v>
      </c>
    </row>
    <row r="633" spans="1:6">
      <c r="A633" t="s">
        <v>175</v>
      </c>
      <c r="B633" t="s">
        <v>162</v>
      </c>
      <c r="C633" s="4">
        <v>45951</v>
      </c>
      <c r="D633">
        <v>0.1</v>
      </c>
      <c r="E633" t="s">
        <v>30</v>
      </c>
      <c r="F633" t="s">
        <v>9</v>
      </c>
    </row>
    <row r="634" spans="1:6">
      <c r="A634" t="s">
        <v>78</v>
      </c>
      <c r="B634" t="s">
        <v>147</v>
      </c>
      <c r="C634" s="4">
        <v>45965</v>
      </c>
      <c r="D634">
        <v>30.3</v>
      </c>
      <c r="E634" t="s">
        <v>8</v>
      </c>
      <c r="F634" t="s">
        <v>9</v>
      </c>
    </row>
    <row r="635" spans="1:6">
      <c r="A635" t="s">
        <v>42</v>
      </c>
      <c r="B635" t="s">
        <v>14</v>
      </c>
      <c r="C635" s="4">
        <v>45846</v>
      </c>
      <c r="D635">
        <v>44.8</v>
      </c>
      <c r="E635" t="s">
        <v>8</v>
      </c>
      <c r="F635" t="s">
        <v>12</v>
      </c>
    </row>
    <row r="636" spans="1:6">
      <c r="A636" t="s">
        <v>297</v>
      </c>
      <c r="B636" t="s">
        <v>164</v>
      </c>
      <c r="C636" s="4">
        <v>46126</v>
      </c>
      <c r="D636">
        <v>-0.9</v>
      </c>
      <c r="E636" t="s">
        <v>8</v>
      </c>
      <c r="F636" t="s">
        <v>12</v>
      </c>
    </row>
    <row r="637" spans="1:6">
      <c r="A637" t="s">
        <v>302</v>
      </c>
      <c r="B637" t="s">
        <v>208</v>
      </c>
      <c r="C637" s="4">
        <v>46000</v>
      </c>
      <c r="D637">
        <v>44.8</v>
      </c>
      <c r="E637" t="s">
        <v>8</v>
      </c>
      <c r="F637" t="s">
        <v>12</v>
      </c>
    </row>
    <row r="638" spans="1:6">
      <c r="A638" t="s">
        <v>93</v>
      </c>
      <c r="B638" t="s">
        <v>196</v>
      </c>
      <c r="C638" s="4">
        <v>45951</v>
      </c>
      <c r="D638">
        <v>15.4</v>
      </c>
      <c r="E638" t="s">
        <v>19</v>
      </c>
      <c r="F638" t="s">
        <v>9</v>
      </c>
    </row>
    <row r="639" spans="1:6">
      <c r="A639" t="s">
        <v>258</v>
      </c>
      <c r="B639" t="s">
        <v>147</v>
      </c>
      <c r="C639" s="4">
        <v>45986</v>
      </c>
      <c r="D639">
        <v>30.5</v>
      </c>
      <c r="E639" t="s">
        <v>19</v>
      </c>
      <c r="F639" t="s">
        <v>9</v>
      </c>
    </row>
    <row r="640" spans="1:6">
      <c r="A640" t="s">
        <v>218</v>
      </c>
      <c r="B640" t="s">
        <v>219</v>
      </c>
      <c r="C640" s="4">
        <v>45972</v>
      </c>
      <c r="D640">
        <v>7.4</v>
      </c>
      <c r="E640" t="s">
        <v>30</v>
      </c>
      <c r="F640" t="s">
        <v>9</v>
      </c>
    </row>
    <row r="641" spans="1:6">
      <c r="A641" t="s">
        <v>78</v>
      </c>
      <c r="B641" t="s">
        <v>36</v>
      </c>
      <c r="C641" s="4">
        <v>45979</v>
      </c>
      <c r="D641">
        <v>23</v>
      </c>
      <c r="E641" t="s">
        <v>8</v>
      </c>
      <c r="F641" t="s">
        <v>9</v>
      </c>
    </row>
    <row r="642" spans="1:6">
      <c r="A642" t="s">
        <v>267</v>
      </c>
      <c r="B642" t="s">
        <v>16</v>
      </c>
      <c r="C642" s="4">
        <v>45979</v>
      </c>
      <c r="D642">
        <v>30.9</v>
      </c>
      <c r="E642" t="s">
        <v>8</v>
      </c>
      <c r="F642" t="s">
        <v>9</v>
      </c>
    </row>
    <row r="643" spans="1:6">
      <c r="A643" t="s">
        <v>203</v>
      </c>
      <c r="B643" t="s">
        <v>121</v>
      </c>
      <c r="C643" s="4">
        <v>46105</v>
      </c>
      <c r="D643">
        <v>7.3</v>
      </c>
      <c r="E643" t="s">
        <v>8</v>
      </c>
      <c r="F643" t="s">
        <v>9</v>
      </c>
    </row>
    <row r="644" spans="1:6">
      <c r="A644" t="s">
        <v>70</v>
      </c>
      <c r="B644" t="s">
        <v>34</v>
      </c>
      <c r="C644" s="4">
        <v>46133</v>
      </c>
      <c r="D644">
        <v>22.7</v>
      </c>
      <c r="E644" t="s">
        <v>8</v>
      </c>
      <c r="F644" t="s">
        <v>9</v>
      </c>
    </row>
    <row r="645" spans="1:6">
      <c r="A645" t="s">
        <v>13</v>
      </c>
      <c r="B645" t="s">
        <v>295</v>
      </c>
      <c r="C645" s="4">
        <v>46049</v>
      </c>
      <c r="D645">
        <v>30</v>
      </c>
      <c r="E645" t="s">
        <v>8</v>
      </c>
      <c r="F645" t="s">
        <v>9</v>
      </c>
    </row>
    <row r="646" spans="1:6">
      <c r="A646" t="s">
        <v>274</v>
      </c>
      <c r="B646" t="s">
        <v>91</v>
      </c>
      <c r="C646" s="4">
        <v>46105</v>
      </c>
      <c r="D646">
        <v>15.4</v>
      </c>
      <c r="E646" t="s">
        <v>8</v>
      </c>
      <c r="F646" t="s">
        <v>9</v>
      </c>
    </row>
    <row r="647" spans="1:6">
      <c r="A647" t="s">
        <v>209</v>
      </c>
      <c r="B647" t="s">
        <v>69</v>
      </c>
      <c r="C647" s="4">
        <v>45937</v>
      </c>
      <c r="D647">
        <v>37.5</v>
      </c>
      <c r="E647" t="s">
        <v>8</v>
      </c>
      <c r="F647" t="s">
        <v>9</v>
      </c>
    </row>
    <row r="648" spans="1:6">
      <c r="A648" t="s">
        <v>37</v>
      </c>
      <c r="B648" t="s">
        <v>16</v>
      </c>
      <c r="C648" s="4">
        <v>45965</v>
      </c>
      <c r="D648">
        <v>23.3</v>
      </c>
      <c r="E648" t="s">
        <v>8</v>
      </c>
      <c r="F648" t="s">
        <v>9</v>
      </c>
    </row>
    <row r="649" spans="1:6">
      <c r="A649" t="s">
        <v>218</v>
      </c>
      <c r="B649" t="s">
        <v>232</v>
      </c>
      <c r="C649" s="4">
        <v>46105</v>
      </c>
      <c r="D649">
        <v>6.6</v>
      </c>
      <c r="E649" t="s">
        <v>8</v>
      </c>
      <c r="F649" t="s">
        <v>9</v>
      </c>
    </row>
    <row r="650" spans="1:6">
      <c r="A650" t="s">
        <v>256</v>
      </c>
      <c r="B650" t="s">
        <v>249</v>
      </c>
      <c r="C650" s="4">
        <v>45916</v>
      </c>
      <c r="D650">
        <v>8.5</v>
      </c>
      <c r="E650" t="s">
        <v>8</v>
      </c>
      <c r="F650" t="s">
        <v>9</v>
      </c>
    </row>
    <row r="651" spans="1:6">
      <c r="A651" t="s">
        <v>83</v>
      </c>
      <c r="B651" t="s">
        <v>123</v>
      </c>
      <c r="C651" s="4">
        <v>46119</v>
      </c>
      <c r="D651">
        <v>15.5</v>
      </c>
      <c r="E651" t="s">
        <v>8</v>
      </c>
      <c r="F651" t="s">
        <v>9</v>
      </c>
    </row>
    <row r="652" spans="1:6">
      <c r="A652" t="s">
        <v>79</v>
      </c>
      <c r="B652" t="s">
        <v>208</v>
      </c>
      <c r="C652" s="4">
        <v>45958</v>
      </c>
      <c r="D652">
        <v>38.299999999999997</v>
      </c>
      <c r="E652" t="s">
        <v>30</v>
      </c>
      <c r="F652" t="s">
        <v>9</v>
      </c>
    </row>
    <row r="653" spans="1:6">
      <c r="A653" t="s">
        <v>13</v>
      </c>
      <c r="B653" t="s">
        <v>253</v>
      </c>
      <c r="C653" s="4">
        <v>46084</v>
      </c>
      <c r="D653">
        <v>23.2</v>
      </c>
      <c r="E653" t="s">
        <v>8</v>
      </c>
      <c r="F653" t="s">
        <v>9</v>
      </c>
    </row>
    <row r="654" spans="1:6">
      <c r="A654" t="s">
        <v>268</v>
      </c>
      <c r="B654" t="s">
        <v>219</v>
      </c>
      <c r="C654" s="4">
        <v>45916</v>
      </c>
      <c r="D654">
        <v>38.299999999999997</v>
      </c>
      <c r="E654" t="s">
        <v>8</v>
      </c>
      <c r="F654" t="s">
        <v>9</v>
      </c>
    </row>
    <row r="655" spans="1:6">
      <c r="A655" t="s">
        <v>210</v>
      </c>
      <c r="B655" t="s">
        <v>16</v>
      </c>
      <c r="C655" s="4">
        <v>46154</v>
      </c>
      <c r="D655">
        <v>-0.4</v>
      </c>
      <c r="E655" t="s">
        <v>8</v>
      </c>
      <c r="F655" t="s">
        <v>12</v>
      </c>
    </row>
    <row r="656" spans="1:6">
      <c r="A656" t="s">
        <v>6</v>
      </c>
      <c r="B656" t="s">
        <v>171</v>
      </c>
      <c r="C656" s="4">
        <v>46056</v>
      </c>
      <c r="D656">
        <v>23</v>
      </c>
      <c r="E656" t="s">
        <v>8</v>
      </c>
      <c r="F656" t="s">
        <v>9</v>
      </c>
    </row>
    <row r="657" spans="1:6">
      <c r="A657" t="s">
        <v>86</v>
      </c>
      <c r="B657" t="s">
        <v>217</v>
      </c>
      <c r="C657" s="4">
        <v>45860</v>
      </c>
      <c r="D657">
        <v>38.700000000000003</v>
      </c>
      <c r="E657" t="s">
        <v>8</v>
      </c>
      <c r="F657" t="s">
        <v>9</v>
      </c>
    </row>
    <row r="658" spans="1:6">
      <c r="A658" t="s">
        <v>256</v>
      </c>
      <c r="B658" t="s">
        <v>108</v>
      </c>
      <c r="C658" s="4">
        <v>45874</v>
      </c>
      <c r="D658">
        <v>22.7</v>
      </c>
      <c r="E658" t="s">
        <v>8</v>
      </c>
      <c r="F658" t="s">
        <v>9</v>
      </c>
    </row>
    <row r="659" spans="1:6">
      <c r="A659" t="s">
        <v>270</v>
      </c>
      <c r="B659" t="s">
        <v>80</v>
      </c>
      <c r="C659" s="4">
        <v>46000</v>
      </c>
      <c r="D659">
        <v>45</v>
      </c>
      <c r="E659" t="s">
        <v>30</v>
      </c>
      <c r="F659" t="s">
        <v>12</v>
      </c>
    </row>
    <row r="660" spans="1:6">
      <c r="A660" t="s">
        <v>166</v>
      </c>
      <c r="B660" t="s">
        <v>142</v>
      </c>
      <c r="C660" s="4">
        <v>46070</v>
      </c>
      <c r="D660">
        <v>46.1</v>
      </c>
      <c r="E660" t="s">
        <v>30</v>
      </c>
      <c r="F660" t="s">
        <v>12</v>
      </c>
    </row>
    <row r="661" spans="1:6">
      <c r="A661" t="s">
        <v>35</v>
      </c>
      <c r="B661" t="s">
        <v>190</v>
      </c>
      <c r="C661" s="4">
        <v>46042</v>
      </c>
      <c r="D661">
        <v>7.3</v>
      </c>
      <c r="E661" t="s">
        <v>8</v>
      </c>
      <c r="F661" t="s">
        <v>9</v>
      </c>
    </row>
    <row r="662" spans="1:6">
      <c r="A662" t="s">
        <v>102</v>
      </c>
      <c r="B662" t="s">
        <v>49</v>
      </c>
      <c r="C662" s="4">
        <v>45923</v>
      </c>
      <c r="D662">
        <v>22.4</v>
      </c>
      <c r="E662" t="s">
        <v>19</v>
      </c>
      <c r="F662" t="s">
        <v>12</v>
      </c>
    </row>
    <row r="663" spans="1:6">
      <c r="A663" t="s">
        <v>278</v>
      </c>
      <c r="B663" t="s">
        <v>80</v>
      </c>
      <c r="C663" s="4">
        <v>46056</v>
      </c>
      <c r="D663">
        <v>38.1</v>
      </c>
      <c r="E663" t="s">
        <v>8</v>
      </c>
      <c r="F663" t="s">
        <v>9</v>
      </c>
    </row>
    <row r="664" spans="1:6">
      <c r="A664" t="s">
        <v>289</v>
      </c>
      <c r="B664" t="s">
        <v>84</v>
      </c>
      <c r="C664" s="4">
        <v>45930</v>
      </c>
      <c r="D664">
        <v>29.6</v>
      </c>
      <c r="E664" t="s">
        <v>30</v>
      </c>
      <c r="F664" t="s">
        <v>9</v>
      </c>
    </row>
    <row r="665" spans="1:6">
      <c r="A665" t="s">
        <v>81</v>
      </c>
      <c r="B665" t="s">
        <v>32</v>
      </c>
      <c r="C665" s="4">
        <v>45944</v>
      </c>
      <c r="D665">
        <v>0.3</v>
      </c>
      <c r="E665" t="s">
        <v>19</v>
      </c>
      <c r="F665" t="s">
        <v>9</v>
      </c>
    </row>
    <row r="666" spans="1:6">
      <c r="A666" t="s">
        <v>229</v>
      </c>
      <c r="B666" t="s">
        <v>56</v>
      </c>
      <c r="C666" s="4">
        <v>45853</v>
      </c>
      <c r="D666">
        <v>37.9</v>
      </c>
      <c r="E666" t="s">
        <v>8</v>
      </c>
      <c r="F666" t="s">
        <v>9</v>
      </c>
    </row>
    <row r="667" spans="1:6">
      <c r="A667" t="s">
        <v>95</v>
      </c>
      <c r="B667" t="s">
        <v>61</v>
      </c>
      <c r="C667" s="4">
        <v>46084</v>
      </c>
      <c r="D667">
        <v>7.3</v>
      </c>
      <c r="E667" t="s">
        <v>8</v>
      </c>
      <c r="F667" t="s">
        <v>9</v>
      </c>
    </row>
    <row r="668" spans="1:6">
      <c r="A668" t="s">
        <v>250</v>
      </c>
      <c r="B668" t="s">
        <v>45</v>
      </c>
      <c r="C668" s="4">
        <v>45923</v>
      </c>
      <c r="D668">
        <v>7.2</v>
      </c>
      <c r="E668" t="s">
        <v>30</v>
      </c>
      <c r="F668" t="s">
        <v>9</v>
      </c>
    </row>
    <row r="669" spans="1:6">
      <c r="A669" t="s">
        <v>272</v>
      </c>
      <c r="B669" t="s">
        <v>199</v>
      </c>
      <c r="C669" s="4">
        <v>46140</v>
      </c>
      <c r="D669">
        <v>7.2</v>
      </c>
      <c r="E669" t="s">
        <v>8</v>
      </c>
      <c r="F669" t="s">
        <v>9</v>
      </c>
    </row>
    <row r="670" spans="1:6">
      <c r="A670" t="s">
        <v>13</v>
      </c>
      <c r="B670" t="s">
        <v>295</v>
      </c>
      <c r="C670" s="4">
        <v>46021</v>
      </c>
      <c r="D670">
        <v>23.5</v>
      </c>
      <c r="E670" t="s">
        <v>8</v>
      </c>
      <c r="F670" t="s">
        <v>9</v>
      </c>
    </row>
    <row r="671" spans="1:6">
      <c r="A671" t="s">
        <v>198</v>
      </c>
      <c r="B671" t="s">
        <v>298</v>
      </c>
      <c r="C671" s="4">
        <v>45937</v>
      </c>
      <c r="D671">
        <v>31</v>
      </c>
      <c r="E671" t="s">
        <v>30</v>
      </c>
      <c r="F671" t="s">
        <v>9</v>
      </c>
    </row>
    <row r="672" spans="1:6">
      <c r="A672" t="s">
        <v>292</v>
      </c>
      <c r="B672" t="s">
        <v>118</v>
      </c>
      <c r="C672" s="4">
        <v>46063</v>
      </c>
      <c r="D672">
        <v>38.700000000000003</v>
      </c>
      <c r="E672" t="s">
        <v>8</v>
      </c>
      <c r="F672" t="s">
        <v>9</v>
      </c>
    </row>
    <row r="673" spans="1:6">
      <c r="A673" t="s">
        <v>150</v>
      </c>
      <c r="B673" t="s">
        <v>212</v>
      </c>
      <c r="C673" s="4">
        <v>45923</v>
      </c>
      <c r="D673">
        <v>22.4</v>
      </c>
      <c r="E673" t="s">
        <v>8</v>
      </c>
      <c r="F673" t="s">
        <v>9</v>
      </c>
    </row>
    <row r="674" spans="1:6">
      <c r="A674" t="s">
        <v>189</v>
      </c>
      <c r="B674" t="s">
        <v>228</v>
      </c>
      <c r="C674" s="4">
        <v>46049</v>
      </c>
      <c r="D674">
        <v>30.9</v>
      </c>
      <c r="E674" t="s">
        <v>19</v>
      </c>
      <c r="F674" t="s">
        <v>9</v>
      </c>
    </row>
    <row r="675" spans="1:6">
      <c r="A675" t="s">
        <v>207</v>
      </c>
      <c r="B675" t="s">
        <v>168</v>
      </c>
      <c r="C675" s="4">
        <v>45867</v>
      </c>
      <c r="D675">
        <v>22.2</v>
      </c>
      <c r="E675" t="s">
        <v>30</v>
      </c>
      <c r="F675" t="s">
        <v>9</v>
      </c>
    </row>
    <row r="676" spans="1:6">
      <c r="A676" t="s">
        <v>135</v>
      </c>
      <c r="B676" t="s">
        <v>168</v>
      </c>
      <c r="C676" s="4">
        <v>46105</v>
      </c>
      <c r="D676">
        <v>37.5</v>
      </c>
      <c r="E676" t="s">
        <v>8</v>
      </c>
      <c r="F676" t="s">
        <v>9</v>
      </c>
    </row>
    <row r="677" spans="1:6">
      <c r="A677" t="s">
        <v>172</v>
      </c>
      <c r="B677" t="s">
        <v>23</v>
      </c>
      <c r="C677" s="4">
        <v>45986</v>
      </c>
      <c r="D677">
        <v>7.8</v>
      </c>
      <c r="E677" t="s">
        <v>30</v>
      </c>
      <c r="F677" t="s">
        <v>9</v>
      </c>
    </row>
    <row r="678" spans="1:6">
      <c r="A678" t="s">
        <v>98</v>
      </c>
      <c r="B678" t="s">
        <v>27</v>
      </c>
      <c r="C678" s="4">
        <v>45853</v>
      </c>
      <c r="D678">
        <v>6.7</v>
      </c>
      <c r="E678" t="s">
        <v>30</v>
      </c>
      <c r="F678" t="s">
        <v>9</v>
      </c>
    </row>
    <row r="679" spans="1:6">
      <c r="A679" t="s">
        <v>292</v>
      </c>
      <c r="B679" t="s">
        <v>212</v>
      </c>
      <c r="C679" s="4">
        <v>45937</v>
      </c>
      <c r="D679">
        <v>37</v>
      </c>
      <c r="E679" t="s">
        <v>19</v>
      </c>
      <c r="F679" t="s">
        <v>9</v>
      </c>
    </row>
    <row r="680" spans="1:6">
      <c r="A680" t="s">
        <v>174</v>
      </c>
      <c r="B680" t="s">
        <v>101</v>
      </c>
      <c r="C680" s="4">
        <v>45986</v>
      </c>
      <c r="D680">
        <v>14.4</v>
      </c>
      <c r="E680" t="s">
        <v>8</v>
      </c>
      <c r="F680" t="s">
        <v>9</v>
      </c>
    </row>
    <row r="681" spans="1:6">
      <c r="A681" t="s">
        <v>221</v>
      </c>
      <c r="B681" t="s">
        <v>281</v>
      </c>
      <c r="C681" s="4">
        <v>46133</v>
      </c>
      <c r="D681">
        <v>37.6</v>
      </c>
      <c r="E681" t="s">
        <v>8</v>
      </c>
      <c r="F681" t="s">
        <v>9</v>
      </c>
    </row>
    <row r="682" spans="1:6">
      <c r="A682" t="s">
        <v>22</v>
      </c>
      <c r="B682" t="s">
        <v>144</v>
      </c>
      <c r="C682" s="4">
        <v>46007</v>
      </c>
      <c r="D682">
        <v>23.3</v>
      </c>
      <c r="E682" t="s">
        <v>8</v>
      </c>
      <c r="F682" t="s">
        <v>9</v>
      </c>
    </row>
    <row r="683" spans="1:6">
      <c r="A683" t="s">
        <v>271</v>
      </c>
      <c r="B683" t="s">
        <v>196</v>
      </c>
      <c r="C683" s="4">
        <v>46112</v>
      </c>
      <c r="D683">
        <v>0.9</v>
      </c>
      <c r="E683" t="s">
        <v>30</v>
      </c>
      <c r="F683" t="s">
        <v>9</v>
      </c>
    </row>
    <row r="684" spans="1:6">
      <c r="A684" t="s">
        <v>241</v>
      </c>
      <c r="B684" t="s">
        <v>170</v>
      </c>
      <c r="C684" s="4">
        <v>46042</v>
      </c>
      <c r="D684">
        <v>37.700000000000003</v>
      </c>
      <c r="E684" t="s">
        <v>8</v>
      </c>
      <c r="F684" t="s">
        <v>9</v>
      </c>
    </row>
    <row r="685" spans="1:6">
      <c r="A685" t="s">
        <v>244</v>
      </c>
      <c r="B685" t="s">
        <v>73</v>
      </c>
      <c r="C685" s="4">
        <v>46056</v>
      </c>
      <c r="D685">
        <v>23.1</v>
      </c>
      <c r="E685" t="s">
        <v>30</v>
      </c>
      <c r="F685" t="s">
        <v>9</v>
      </c>
    </row>
    <row r="686" spans="1:6">
      <c r="A686" t="s">
        <v>195</v>
      </c>
      <c r="B686" t="s">
        <v>53</v>
      </c>
      <c r="C686" s="4">
        <v>46070</v>
      </c>
      <c r="D686">
        <v>44.8</v>
      </c>
      <c r="E686" t="s">
        <v>30</v>
      </c>
      <c r="F686" t="s">
        <v>12</v>
      </c>
    </row>
    <row r="687" spans="1:6">
      <c r="A687" t="s">
        <v>178</v>
      </c>
      <c r="B687" t="s">
        <v>74</v>
      </c>
      <c r="C687" s="4">
        <v>45867</v>
      </c>
      <c r="D687">
        <v>30.9</v>
      </c>
      <c r="E687" t="s">
        <v>8</v>
      </c>
      <c r="F687" t="s">
        <v>9</v>
      </c>
    </row>
    <row r="688" spans="1:6">
      <c r="A688" t="s">
        <v>304</v>
      </c>
      <c r="B688" t="s">
        <v>51</v>
      </c>
      <c r="C688" s="4">
        <v>46133</v>
      </c>
      <c r="D688">
        <v>46.3</v>
      </c>
      <c r="E688" t="s">
        <v>30</v>
      </c>
      <c r="F688" t="s">
        <v>12</v>
      </c>
    </row>
    <row r="689" spans="1:6">
      <c r="A689" t="s">
        <v>206</v>
      </c>
      <c r="B689" t="s">
        <v>196</v>
      </c>
      <c r="C689" s="4">
        <v>46070</v>
      </c>
      <c r="D689">
        <v>37.4</v>
      </c>
      <c r="E689" t="s">
        <v>30</v>
      </c>
      <c r="F689" t="s">
        <v>9</v>
      </c>
    </row>
    <row r="690" spans="1:6">
      <c r="A690" t="s">
        <v>231</v>
      </c>
      <c r="B690" t="s">
        <v>38</v>
      </c>
      <c r="C690" s="4">
        <v>45874</v>
      </c>
      <c r="D690">
        <v>29.4</v>
      </c>
      <c r="E690" t="s">
        <v>8</v>
      </c>
      <c r="F690" t="s">
        <v>9</v>
      </c>
    </row>
    <row r="691" spans="1:6">
      <c r="A691" t="s">
        <v>158</v>
      </c>
      <c r="B691" t="s">
        <v>84</v>
      </c>
      <c r="C691" s="4">
        <v>45972</v>
      </c>
      <c r="D691">
        <v>23.7</v>
      </c>
      <c r="E691" t="s">
        <v>30</v>
      </c>
      <c r="F691" t="s">
        <v>9</v>
      </c>
    </row>
    <row r="692" spans="1:6">
      <c r="A692" t="s">
        <v>177</v>
      </c>
      <c r="B692" t="s">
        <v>120</v>
      </c>
      <c r="C692" s="4">
        <v>45930</v>
      </c>
      <c r="D692">
        <v>30.4</v>
      </c>
      <c r="E692" t="s">
        <v>19</v>
      </c>
      <c r="F692" t="s">
        <v>9</v>
      </c>
    </row>
    <row r="693" spans="1:6">
      <c r="A693" t="s">
        <v>172</v>
      </c>
      <c r="B693" t="s">
        <v>248</v>
      </c>
      <c r="C693" s="4">
        <v>45881</v>
      </c>
      <c r="D693">
        <v>7</v>
      </c>
      <c r="E693" t="s">
        <v>8</v>
      </c>
      <c r="F693" t="s">
        <v>9</v>
      </c>
    </row>
    <row r="694" spans="1:6">
      <c r="A694" t="s">
        <v>178</v>
      </c>
      <c r="B694" t="s">
        <v>192</v>
      </c>
      <c r="C694" s="4">
        <v>46070</v>
      </c>
      <c r="D694">
        <v>37.700000000000003</v>
      </c>
      <c r="E694" t="s">
        <v>8</v>
      </c>
      <c r="F694" t="s">
        <v>9</v>
      </c>
    </row>
    <row r="695" spans="1:6">
      <c r="A695" t="s">
        <v>178</v>
      </c>
      <c r="B695" t="s">
        <v>36</v>
      </c>
      <c r="C695" s="4">
        <v>45874</v>
      </c>
      <c r="D695">
        <v>37.5</v>
      </c>
      <c r="E695" t="s">
        <v>19</v>
      </c>
      <c r="F695" t="s">
        <v>9</v>
      </c>
    </row>
    <row r="696" spans="1:6">
      <c r="A696" t="s">
        <v>79</v>
      </c>
      <c r="B696" t="s">
        <v>105</v>
      </c>
      <c r="C696" s="4">
        <v>45958</v>
      </c>
      <c r="D696">
        <v>23</v>
      </c>
      <c r="E696" t="s">
        <v>19</v>
      </c>
      <c r="F696" t="s">
        <v>12</v>
      </c>
    </row>
    <row r="697" spans="1:6">
      <c r="A697" t="s">
        <v>277</v>
      </c>
      <c r="B697" t="s">
        <v>249</v>
      </c>
      <c r="C697" s="4">
        <v>46091</v>
      </c>
      <c r="D697">
        <v>46.3</v>
      </c>
      <c r="E697" t="s">
        <v>30</v>
      </c>
      <c r="F697" t="s">
        <v>12</v>
      </c>
    </row>
    <row r="698" spans="1:6">
      <c r="A698" t="s">
        <v>115</v>
      </c>
      <c r="B698" t="s">
        <v>223</v>
      </c>
      <c r="C698" s="4">
        <v>46091</v>
      </c>
      <c r="D698">
        <v>7.3</v>
      </c>
      <c r="E698" t="s">
        <v>8</v>
      </c>
      <c r="F698" t="s">
        <v>9</v>
      </c>
    </row>
    <row r="699" spans="1:6">
      <c r="A699" t="s">
        <v>258</v>
      </c>
      <c r="B699" t="s">
        <v>129</v>
      </c>
      <c r="C699" s="4">
        <v>46028</v>
      </c>
      <c r="D699">
        <v>37.4</v>
      </c>
      <c r="E699" t="s">
        <v>30</v>
      </c>
      <c r="F699" t="s">
        <v>9</v>
      </c>
    </row>
    <row r="700" spans="1:6">
      <c r="A700" t="s">
        <v>178</v>
      </c>
      <c r="B700" t="s">
        <v>283</v>
      </c>
      <c r="C700" s="4">
        <v>46119</v>
      </c>
      <c r="D700">
        <v>0.3</v>
      </c>
      <c r="E700" t="s">
        <v>30</v>
      </c>
      <c r="F700" t="s">
        <v>9</v>
      </c>
    </row>
    <row r="701" spans="1:6">
      <c r="A701" t="s">
        <v>149</v>
      </c>
      <c r="B701" t="s">
        <v>124</v>
      </c>
      <c r="C701" s="4">
        <v>45846</v>
      </c>
      <c r="D701">
        <v>0.4</v>
      </c>
      <c r="E701" t="s">
        <v>19</v>
      </c>
      <c r="F701" t="s">
        <v>12</v>
      </c>
    </row>
    <row r="702" spans="1:6">
      <c r="A702" t="s">
        <v>278</v>
      </c>
      <c r="B702" t="s">
        <v>199</v>
      </c>
      <c r="C702" s="4">
        <v>45923</v>
      </c>
      <c r="D702">
        <v>15.5</v>
      </c>
      <c r="E702" t="s">
        <v>8</v>
      </c>
      <c r="F702" t="s">
        <v>9</v>
      </c>
    </row>
    <row r="703" spans="1:6">
      <c r="A703" t="s">
        <v>291</v>
      </c>
      <c r="B703" t="s">
        <v>121</v>
      </c>
      <c r="C703" s="4">
        <v>46091</v>
      </c>
      <c r="D703">
        <v>15.8</v>
      </c>
      <c r="E703" t="s">
        <v>8</v>
      </c>
      <c r="F703" t="s">
        <v>9</v>
      </c>
    </row>
    <row r="704" spans="1:6">
      <c r="A704" t="s">
        <v>128</v>
      </c>
      <c r="B704" t="s">
        <v>204</v>
      </c>
      <c r="C704" s="4">
        <v>46077</v>
      </c>
      <c r="D704">
        <v>15.9</v>
      </c>
      <c r="E704" t="s">
        <v>19</v>
      </c>
      <c r="F704" t="s">
        <v>9</v>
      </c>
    </row>
    <row r="705" spans="1:6">
      <c r="A705" t="s">
        <v>28</v>
      </c>
      <c r="B705" t="s">
        <v>82</v>
      </c>
      <c r="C705" s="4">
        <v>45979</v>
      </c>
      <c r="D705">
        <v>22</v>
      </c>
      <c r="E705" t="s">
        <v>30</v>
      </c>
      <c r="F705" t="s">
        <v>9</v>
      </c>
    </row>
    <row r="706" spans="1:6">
      <c r="A706" t="s">
        <v>191</v>
      </c>
      <c r="B706" t="s">
        <v>66</v>
      </c>
      <c r="C706" s="4">
        <v>45860</v>
      </c>
      <c r="D706">
        <v>45.7</v>
      </c>
      <c r="E706" t="s">
        <v>30</v>
      </c>
      <c r="F706" t="s">
        <v>12</v>
      </c>
    </row>
    <row r="707" spans="1:6">
      <c r="A707" t="s">
        <v>145</v>
      </c>
      <c r="B707" t="s">
        <v>204</v>
      </c>
      <c r="C707" s="4">
        <v>46063</v>
      </c>
      <c r="D707">
        <v>44.8</v>
      </c>
      <c r="E707" t="s">
        <v>8</v>
      </c>
      <c r="F707" t="s">
        <v>12</v>
      </c>
    </row>
    <row r="708" spans="1:6">
      <c r="A708" t="s">
        <v>243</v>
      </c>
      <c r="B708" t="s">
        <v>164</v>
      </c>
      <c r="C708" s="4">
        <v>45895</v>
      </c>
      <c r="D708">
        <v>22.2</v>
      </c>
      <c r="E708" t="s">
        <v>8</v>
      </c>
      <c r="F708" t="s">
        <v>9</v>
      </c>
    </row>
    <row r="709" spans="1:6">
      <c r="A709" t="s">
        <v>297</v>
      </c>
      <c r="B709" t="s">
        <v>114</v>
      </c>
      <c r="C709" s="4">
        <v>45986</v>
      </c>
      <c r="D709">
        <v>46.2</v>
      </c>
      <c r="E709" t="s">
        <v>8</v>
      </c>
      <c r="F709" t="s">
        <v>12</v>
      </c>
    </row>
    <row r="710" spans="1:6">
      <c r="A710" t="s">
        <v>289</v>
      </c>
      <c r="B710" t="s">
        <v>67</v>
      </c>
      <c r="C710" s="4">
        <v>46014</v>
      </c>
      <c r="D710">
        <v>16</v>
      </c>
      <c r="E710" t="s">
        <v>8</v>
      </c>
      <c r="F710" t="s">
        <v>9</v>
      </c>
    </row>
    <row r="711" spans="1:6">
      <c r="A711" t="s">
        <v>24</v>
      </c>
      <c r="B711" t="s">
        <v>253</v>
      </c>
      <c r="C711" s="4">
        <v>46063</v>
      </c>
      <c r="D711">
        <v>45.8</v>
      </c>
      <c r="E711" t="s">
        <v>30</v>
      </c>
      <c r="F711" t="s">
        <v>12</v>
      </c>
    </row>
    <row r="712" spans="1:6">
      <c r="A712" t="s">
        <v>305</v>
      </c>
      <c r="B712" t="s">
        <v>151</v>
      </c>
      <c r="C712" s="4">
        <v>45944</v>
      </c>
      <c r="D712">
        <v>0.2</v>
      </c>
      <c r="E712" t="s">
        <v>30</v>
      </c>
      <c r="F712" t="s">
        <v>9</v>
      </c>
    </row>
    <row r="713" spans="1:6">
      <c r="A713" t="s">
        <v>135</v>
      </c>
      <c r="B713" t="s">
        <v>11</v>
      </c>
      <c r="C713" s="4">
        <v>46077</v>
      </c>
      <c r="D713">
        <v>23.8</v>
      </c>
      <c r="E713" t="s">
        <v>19</v>
      </c>
      <c r="F713" t="s">
        <v>9</v>
      </c>
    </row>
    <row r="714" spans="1:6">
      <c r="A714" t="s">
        <v>291</v>
      </c>
      <c r="B714" t="s">
        <v>283</v>
      </c>
      <c r="C714" s="4">
        <v>46000</v>
      </c>
      <c r="D714">
        <v>46.5</v>
      </c>
      <c r="E714" t="s">
        <v>8</v>
      </c>
      <c r="F714" t="s">
        <v>12</v>
      </c>
    </row>
    <row r="715" spans="1:6">
      <c r="A715" t="s">
        <v>290</v>
      </c>
      <c r="B715" t="s">
        <v>283</v>
      </c>
      <c r="C715" s="4">
        <v>46126</v>
      </c>
      <c r="D715">
        <v>23.5</v>
      </c>
      <c r="E715" t="s">
        <v>30</v>
      </c>
      <c r="F715" t="s">
        <v>9</v>
      </c>
    </row>
    <row r="716" spans="1:6">
      <c r="A716" t="s">
        <v>48</v>
      </c>
      <c r="B716" t="s">
        <v>163</v>
      </c>
      <c r="C716" s="4">
        <v>46056</v>
      </c>
      <c r="D716">
        <v>37.4</v>
      </c>
      <c r="E716" t="s">
        <v>8</v>
      </c>
      <c r="F716" t="s">
        <v>9</v>
      </c>
    </row>
    <row r="717" spans="1:6">
      <c r="A717" t="s">
        <v>156</v>
      </c>
      <c r="B717" t="s">
        <v>118</v>
      </c>
      <c r="C717" s="4">
        <v>46007</v>
      </c>
      <c r="D717">
        <v>22.3</v>
      </c>
      <c r="E717" t="s">
        <v>19</v>
      </c>
      <c r="F717" t="s">
        <v>9</v>
      </c>
    </row>
    <row r="718" spans="1:6">
      <c r="A718" t="s">
        <v>172</v>
      </c>
      <c r="B718" t="s">
        <v>16</v>
      </c>
      <c r="C718" s="4">
        <v>46063</v>
      </c>
      <c r="D718">
        <v>15.1</v>
      </c>
      <c r="E718" t="s">
        <v>8</v>
      </c>
      <c r="F718" t="s">
        <v>9</v>
      </c>
    </row>
    <row r="719" spans="1:6">
      <c r="A719" t="s">
        <v>100</v>
      </c>
      <c r="B719" t="s">
        <v>204</v>
      </c>
      <c r="C719" s="4">
        <v>45909</v>
      </c>
      <c r="D719">
        <v>38.200000000000003</v>
      </c>
      <c r="E719" t="s">
        <v>19</v>
      </c>
      <c r="F719" t="s">
        <v>9</v>
      </c>
    </row>
    <row r="720" spans="1:6">
      <c r="A720" t="s">
        <v>154</v>
      </c>
      <c r="B720" t="s">
        <v>7</v>
      </c>
      <c r="C720" s="4">
        <v>45986</v>
      </c>
      <c r="D720">
        <v>14.8</v>
      </c>
      <c r="E720" t="s">
        <v>8</v>
      </c>
      <c r="F720" t="s">
        <v>9</v>
      </c>
    </row>
    <row r="721" spans="1:6">
      <c r="A721" t="s">
        <v>261</v>
      </c>
      <c r="B721" t="s">
        <v>61</v>
      </c>
      <c r="C721" s="4">
        <v>45951</v>
      </c>
      <c r="D721">
        <v>21.9</v>
      </c>
      <c r="E721" t="s">
        <v>30</v>
      </c>
      <c r="F721" t="s">
        <v>9</v>
      </c>
    </row>
    <row r="722" spans="1:6">
      <c r="A722" t="s">
        <v>33</v>
      </c>
      <c r="B722" t="s">
        <v>188</v>
      </c>
      <c r="C722" s="4">
        <v>45853</v>
      </c>
      <c r="D722">
        <v>7.8</v>
      </c>
      <c r="E722" t="s">
        <v>30</v>
      </c>
      <c r="F722" t="s">
        <v>9</v>
      </c>
    </row>
    <row r="723" spans="1:6">
      <c r="A723" t="s">
        <v>270</v>
      </c>
      <c r="B723" t="s">
        <v>29</v>
      </c>
      <c r="C723" s="4">
        <v>45930</v>
      </c>
      <c r="D723">
        <v>22.9</v>
      </c>
      <c r="E723" t="s">
        <v>30</v>
      </c>
      <c r="F723" t="s">
        <v>9</v>
      </c>
    </row>
    <row r="724" spans="1:6">
      <c r="A724" t="s">
        <v>149</v>
      </c>
      <c r="B724" t="s">
        <v>281</v>
      </c>
      <c r="C724" s="4">
        <v>45951</v>
      </c>
      <c r="D724">
        <v>8.6</v>
      </c>
      <c r="E724" t="s">
        <v>19</v>
      </c>
      <c r="F724" t="s">
        <v>12</v>
      </c>
    </row>
    <row r="725" spans="1:6">
      <c r="A725" t="s">
        <v>306</v>
      </c>
      <c r="B725" t="s">
        <v>162</v>
      </c>
      <c r="C725" s="4">
        <v>46077</v>
      </c>
      <c r="D725">
        <v>6.9</v>
      </c>
      <c r="E725" t="s">
        <v>19</v>
      </c>
      <c r="F725" t="s">
        <v>12</v>
      </c>
    </row>
    <row r="726" spans="1:6">
      <c r="A726" t="s">
        <v>50</v>
      </c>
      <c r="B726" t="s">
        <v>194</v>
      </c>
      <c r="C726" s="4">
        <v>46021</v>
      </c>
      <c r="D726">
        <v>15</v>
      </c>
      <c r="E726" t="s">
        <v>19</v>
      </c>
      <c r="F726" t="s">
        <v>9</v>
      </c>
    </row>
    <row r="727" spans="1:6">
      <c r="A727" t="s">
        <v>104</v>
      </c>
      <c r="B727" t="s">
        <v>23</v>
      </c>
      <c r="C727" s="4">
        <v>46119</v>
      </c>
      <c r="D727">
        <v>23.2</v>
      </c>
      <c r="E727" t="s">
        <v>8</v>
      </c>
      <c r="F727" t="s">
        <v>9</v>
      </c>
    </row>
    <row r="728" spans="1:6">
      <c r="A728" t="s">
        <v>165</v>
      </c>
      <c r="B728" t="s">
        <v>124</v>
      </c>
      <c r="C728" s="4">
        <v>46098</v>
      </c>
      <c r="D728">
        <v>15.4</v>
      </c>
      <c r="E728" t="s">
        <v>30</v>
      </c>
      <c r="F728" t="s">
        <v>9</v>
      </c>
    </row>
    <row r="729" spans="1:6">
      <c r="A729" t="s">
        <v>243</v>
      </c>
      <c r="B729" t="s">
        <v>66</v>
      </c>
      <c r="C729" s="4">
        <v>46021</v>
      </c>
      <c r="D729">
        <v>38.6</v>
      </c>
      <c r="E729" t="s">
        <v>8</v>
      </c>
      <c r="F729" t="s">
        <v>9</v>
      </c>
    </row>
    <row r="730" spans="1:6">
      <c r="A730" t="s">
        <v>44</v>
      </c>
      <c r="B730" t="s">
        <v>23</v>
      </c>
      <c r="C730" s="4">
        <v>46147</v>
      </c>
      <c r="D730">
        <v>0.7</v>
      </c>
      <c r="E730" t="s">
        <v>30</v>
      </c>
      <c r="F730" t="s">
        <v>9</v>
      </c>
    </row>
    <row r="731" spans="1:6">
      <c r="A731" t="s">
        <v>178</v>
      </c>
      <c r="B731" t="s">
        <v>140</v>
      </c>
      <c r="C731" s="4">
        <v>46147</v>
      </c>
      <c r="D731">
        <v>7.7</v>
      </c>
      <c r="E731" t="s">
        <v>8</v>
      </c>
      <c r="F731" t="s">
        <v>9</v>
      </c>
    </row>
    <row r="732" spans="1:6">
      <c r="A732" t="s">
        <v>125</v>
      </c>
      <c r="B732" t="s">
        <v>96</v>
      </c>
      <c r="C732" s="4">
        <v>45958</v>
      </c>
      <c r="D732">
        <v>38</v>
      </c>
      <c r="E732" t="s">
        <v>30</v>
      </c>
      <c r="F732" t="s">
        <v>9</v>
      </c>
    </row>
    <row r="733" spans="1:6">
      <c r="A733" t="s">
        <v>266</v>
      </c>
      <c r="B733" t="s">
        <v>124</v>
      </c>
      <c r="C733" s="4">
        <v>45993</v>
      </c>
      <c r="D733">
        <v>8.3000000000000007</v>
      </c>
      <c r="E733" t="s">
        <v>8</v>
      </c>
      <c r="F733" t="s">
        <v>9</v>
      </c>
    </row>
    <row r="734" spans="1:6">
      <c r="A734" t="s">
        <v>158</v>
      </c>
      <c r="B734" t="s">
        <v>59</v>
      </c>
      <c r="C734" s="4">
        <v>46042</v>
      </c>
      <c r="D734">
        <v>15.9</v>
      </c>
      <c r="E734" t="s">
        <v>8</v>
      </c>
      <c r="F734" t="s">
        <v>9</v>
      </c>
    </row>
    <row r="735" spans="1:6">
      <c r="A735" t="s">
        <v>252</v>
      </c>
      <c r="B735" t="s">
        <v>112</v>
      </c>
      <c r="C735" s="4">
        <v>45923</v>
      </c>
      <c r="D735">
        <v>7.9</v>
      </c>
      <c r="E735" t="s">
        <v>8</v>
      </c>
      <c r="F735" t="s">
        <v>9</v>
      </c>
    </row>
    <row r="736" spans="1:6">
      <c r="A736" t="s">
        <v>264</v>
      </c>
      <c r="B736" t="s">
        <v>162</v>
      </c>
      <c r="C736" s="4">
        <v>45888</v>
      </c>
      <c r="D736">
        <v>-0.8</v>
      </c>
      <c r="E736" t="s">
        <v>8</v>
      </c>
      <c r="F736" t="s">
        <v>12</v>
      </c>
    </row>
    <row r="737" spans="1:6">
      <c r="A737" t="s">
        <v>210</v>
      </c>
      <c r="B737" t="s">
        <v>40</v>
      </c>
      <c r="C737" s="4">
        <v>45853</v>
      </c>
      <c r="D737">
        <v>14.8</v>
      </c>
      <c r="E737" t="s">
        <v>8</v>
      </c>
      <c r="F737" t="s">
        <v>9</v>
      </c>
    </row>
    <row r="738" spans="1:6">
      <c r="A738" t="s">
        <v>256</v>
      </c>
      <c r="B738" t="s">
        <v>96</v>
      </c>
      <c r="C738" s="4">
        <v>46070</v>
      </c>
      <c r="D738">
        <v>7.6</v>
      </c>
      <c r="E738" t="s">
        <v>8</v>
      </c>
      <c r="F738" t="s">
        <v>9</v>
      </c>
    </row>
    <row r="739" spans="1:6">
      <c r="A739" t="s">
        <v>299</v>
      </c>
      <c r="B739" t="s">
        <v>142</v>
      </c>
      <c r="C739" s="4">
        <v>46126</v>
      </c>
      <c r="D739">
        <v>45.3</v>
      </c>
      <c r="E739" t="s">
        <v>8</v>
      </c>
      <c r="F739" t="s">
        <v>12</v>
      </c>
    </row>
    <row r="740" spans="1:6">
      <c r="A740" t="s">
        <v>233</v>
      </c>
      <c r="B740" t="s">
        <v>301</v>
      </c>
      <c r="C740" s="4">
        <v>46014</v>
      </c>
      <c r="D740">
        <v>23.3</v>
      </c>
      <c r="E740" t="s">
        <v>8</v>
      </c>
      <c r="F740" t="s">
        <v>9</v>
      </c>
    </row>
    <row r="741" spans="1:6">
      <c r="A741" t="s">
        <v>166</v>
      </c>
      <c r="B741" t="s">
        <v>118</v>
      </c>
      <c r="C741" s="4">
        <v>45937</v>
      </c>
      <c r="D741">
        <v>44.6</v>
      </c>
      <c r="E741" t="s">
        <v>8</v>
      </c>
      <c r="F741" t="s">
        <v>12</v>
      </c>
    </row>
    <row r="742" spans="1:6">
      <c r="A742" t="s">
        <v>250</v>
      </c>
      <c r="B742" t="s">
        <v>253</v>
      </c>
      <c r="C742" s="4">
        <v>45923</v>
      </c>
      <c r="D742">
        <v>38.700000000000003</v>
      </c>
      <c r="E742" t="s">
        <v>19</v>
      </c>
      <c r="F742" t="s">
        <v>9</v>
      </c>
    </row>
    <row r="743" spans="1:6">
      <c r="A743" t="s">
        <v>37</v>
      </c>
      <c r="B743" t="s">
        <v>76</v>
      </c>
      <c r="C743" s="4">
        <v>45895</v>
      </c>
      <c r="D743">
        <v>29.7</v>
      </c>
      <c r="E743" t="s">
        <v>8</v>
      </c>
      <c r="F743" t="s">
        <v>9</v>
      </c>
    </row>
    <row r="744" spans="1:6">
      <c r="A744" t="s">
        <v>299</v>
      </c>
      <c r="B744" t="s">
        <v>273</v>
      </c>
      <c r="C744" s="4">
        <v>45951</v>
      </c>
      <c r="D744">
        <v>7.9</v>
      </c>
      <c r="E744" t="s">
        <v>8</v>
      </c>
      <c r="F744" t="s">
        <v>9</v>
      </c>
    </row>
    <row r="745" spans="1:6">
      <c r="A745" t="s">
        <v>206</v>
      </c>
      <c r="B745" t="s">
        <v>155</v>
      </c>
      <c r="C745" s="4">
        <v>45874</v>
      </c>
      <c r="D745">
        <v>37.1</v>
      </c>
      <c r="E745" t="s">
        <v>30</v>
      </c>
      <c r="F745" t="s">
        <v>9</v>
      </c>
    </row>
    <row r="746" spans="1:6">
      <c r="A746" t="s">
        <v>165</v>
      </c>
      <c r="B746" t="s">
        <v>223</v>
      </c>
      <c r="C746" s="4">
        <v>45895</v>
      </c>
      <c r="D746">
        <v>7.1</v>
      </c>
      <c r="E746" t="s">
        <v>8</v>
      </c>
      <c r="F746" t="s">
        <v>9</v>
      </c>
    </row>
    <row r="747" spans="1:6">
      <c r="A747" t="s">
        <v>264</v>
      </c>
      <c r="B747" t="s">
        <v>43</v>
      </c>
      <c r="C747" s="4">
        <v>46154</v>
      </c>
      <c r="D747">
        <v>45.6</v>
      </c>
      <c r="E747" t="s">
        <v>30</v>
      </c>
      <c r="F747" t="s">
        <v>12</v>
      </c>
    </row>
    <row r="748" spans="1:6">
      <c r="A748" t="s">
        <v>290</v>
      </c>
      <c r="B748" t="s">
        <v>118</v>
      </c>
      <c r="C748" s="4">
        <v>46091</v>
      </c>
      <c r="D748">
        <v>14.5</v>
      </c>
      <c r="E748" t="s">
        <v>8</v>
      </c>
      <c r="F748" t="s">
        <v>9</v>
      </c>
    </row>
    <row r="749" spans="1:6">
      <c r="A749" t="s">
        <v>271</v>
      </c>
      <c r="B749" t="s">
        <v>138</v>
      </c>
      <c r="C749" s="4">
        <v>46084</v>
      </c>
      <c r="D749">
        <v>44.8</v>
      </c>
      <c r="E749" t="s">
        <v>30</v>
      </c>
      <c r="F749" t="s">
        <v>12</v>
      </c>
    </row>
    <row r="750" spans="1:6">
      <c r="A750" t="s">
        <v>93</v>
      </c>
      <c r="B750" t="s">
        <v>295</v>
      </c>
      <c r="C750" s="4">
        <v>45881</v>
      </c>
      <c r="D750">
        <v>46.4</v>
      </c>
      <c r="E750" t="s">
        <v>8</v>
      </c>
      <c r="F750" t="s">
        <v>12</v>
      </c>
    </row>
    <row r="751" spans="1:6">
      <c r="A751" t="s">
        <v>113</v>
      </c>
      <c r="B751" t="s">
        <v>76</v>
      </c>
      <c r="C751" s="4">
        <v>46042</v>
      </c>
      <c r="D751">
        <v>7.8</v>
      </c>
      <c r="E751" t="s">
        <v>30</v>
      </c>
      <c r="F751" t="s">
        <v>9</v>
      </c>
    </row>
    <row r="752" spans="1:6">
      <c r="A752" t="s">
        <v>297</v>
      </c>
      <c r="B752" t="s">
        <v>18</v>
      </c>
      <c r="C752" s="4">
        <v>46007</v>
      </c>
      <c r="D752">
        <v>23.5</v>
      </c>
      <c r="E752" t="s">
        <v>30</v>
      </c>
      <c r="F752" t="s">
        <v>9</v>
      </c>
    </row>
    <row r="753" spans="1:6">
      <c r="A753" t="s">
        <v>270</v>
      </c>
      <c r="B753" t="s">
        <v>133</v>
      </c>
      <c r="C753" s="4">
        <v>45916</v>
      </c>
      <c r="D753">
        <v>22</v>
      </c>
      <c r="E753" t="s">
        <v>8</v>
      </c>
      <c r="F753" t="s">
        <v>9</v>
      </c>
    </row>
    <row r="754" spans="1:6">
      <c r="A754" t="s">
        <v>272</v>
      </c>
      <c r="B754" t="s">
        <v>120</v>
      </c>
      <c r="C754" s="4">
        <v>45902</v>
      </c>
      <c r="D754">
        <v>14.8</v>
      </c>
      <c r="E754" t="s">
        <v>8</v>
      </c>
      <c r="F754" t="s">
        <v>9</v>
      </c>
    </row>
    <row r="755" spans="1:6">
      <c r="A755" t="s">
        <v>246</v>
      </c>
      <c r="B755" t="s">
        <v>34</v>
      </c>
      <c r="C755" s="4">
        <v>46140</v>
      </c>
      <c r="D755">
        <v>14.5</v>
      </c>
      <c r="E755" t="s">
        <v>8</v>
      </c>
      <c r="F755" t="s">
        <v>9</v>
      </c>
    </row>
    <row r="756" spans="1:6">
      <c r="A756" t="s">
        <v>10</v>
      </c>
      <c r="B756" t="s">
        <v>190</v>
      </c>
      <c r="C756" s="4">
        <v>46112</v>
      </c>
      <c r="D756">
        <v>6.7</v>
      </c>
      <c r="E756" t="s">
        <v>8</v>
      </c>
      <c r="F756" t="s">
        <v>9</v>
      </c>
    </row>
    <row r="757" spans="1:6">
      <c r="A757" t="s">
        <v>213</v>
      </c>
      <c r="B757" t="s">
        <v>286</v>
      </c>
      <c r="C757" s="4">
        <v>45881</v>
      </c>
      <c r="D757">
        <v>45.4</v>
      </c>
      <c r="E757" t="s">
        <v>8</v>
      </c>
      <c r="F757" t="s">
        <v>12</v>
      </c>
    </row>
    <row r="758" spans="1:6">
      <c r="A758" t="s">
        <v>6</v>
      </c>
      <c r="B758" t="s">
        <v>18</v>
      </c>
      <c r="C758" s="4">
        <v>46077</v>
      </c>
      <c r="D758">
        <v>30.3</v>
      </c>
      <c r="E758" t="s">
        <v>30</v>
      </c>
      <c r="F758" t="s">
        <v>9</v>
      </c>
    </row>
    <row r="759" spans="1:6">
      <c r="A759" t="s">
        <v>26</v>
      </c>
      <c r="B759" t="s">
        <v>56</v>
      </c>
      <c r="C759" s="4">
        <v>45902</v>
      </c>
      <c r="D759">
        <v>-0.9</v>
      </c>
      <c r="E759" t="s">
        <v>30</v>
      </c>
      <c r="F759" t="s">
        <v>12</v>
      </c>
    </row>
    <row r="760" spans="1:6">
      <c r="A760" t="s">
        <v>307</v>
      </c>
      <c r="B760" t="s">
        <v>21</v>
      </c>
      <c r="C760" s="4">
        <v>46021</v>
      </c>
      <c r="D760">
        <v>44.9</v>
      </c>
      <c r="E760" t="s">
        <v>30</v>
      </c>
      <c r="F760" t="s">
        <v>12</v>
      </c>
    </row>
    <row r="761" spans="1:6">
      <c r="A761" t="s">
        <v>113</v>
      </c>
      <c r="B761" t="s">
        <v>281</v>
      </c>
      <c r="C761" s="4">
        <v>46077</v>
      </c>
      <c r="D761">
        <v>37.1</v>
      </c>
      <c r="E761" t="s">
        <v>8</v>
      </c>
      <c r="F761" t="s">
        <v>9</v>
      </c>
    </row>
    <row r="762" spans="1:6">
      <c r="A762" t="s">
        <v>207</v>
      </c>
      <c r="B762" t="s">
        <v>51</v>
      </c>
      <c r="C762" s="4">
        <v>45979</v>
      </c>
      <c r="D762">
        <v>6.7</v>
      </c>
      <c r="E762" t="s">
        <v>8</v>
      </c>
      <c r="F762" t="s">
        <v>9</v>
      </c>
    </row>
    <row r="763" spans="1:6">
      <c r="A763" t="s">
        <v>271</v>
      </c>
      <c r="B763" t="s">
        <v>11</v>
      </c>
      <c r="C763" s="4">
        <v>46091</v>
      </c>
      <c r="D763">
        <v>6.7</v>
      </c>
      <c r="E763" t="s">
        <v>8</v>
      </c>
      <c r="F763" t="s">
        <v>9</v>
      </c>
    </row>
    <row r="764" spans="1:6">
      <c r="A764" t="s">
        <v>206</v>
      </c>
      <c r="B764" t="s">
        <v>223</v>
      </c>
      <c r="C764" s="4">
        <v>45874</v>
      </c>
      <c r="D764">
        <v>15.7</v>
      </c>
      <c r="E764" t="s">
        <v>8</v>
      </c>
      <c r="F764" t="s">
        <v>9</v>
      </c>
    </row>
    <row r="765" spans="1:6">
      <c r="A765" t="s">
        <v>130</v>
      </c>
      <c r="B765" t="s">
        <v>219</v>
      </c>
      <c r="C765" s="4">
        <v>45909</v>
      </c>
      <c r="D765">
        <v>6.8</v>
      </c>
      <c r="E765" t="s">
        <v>8</v>
      </c>
      <c r="F765" t="s">
        <v>9</v>
      </c>
    </row>
    <row r="766" spans="1:6">
      <c r="A766" t="s">
        <v>308</v>
      </c>
      <c r="B766" t="s">
        <v>71</v>
      </c>
      <c r="C766" s="4">
        <v>45853</v>
      </c>
      <c r="D766">
        <v>45.6</v>
      </c>
      <c r="E766" t="s">
        <v>19</v>
      </c>
      <c r="F766" t="s">
        <v>12</v>
      </c>
    </row>
    <row r="767" spans="1:6">
      <c r="A767" t="s">
        <v>233</v>
      </c>
      <c r="B767" t="s">
        <v>159</v>
      </c>
      <c r="C767" s="4">
        <v>46056</v>
      </c>
      <c r="D767">
        <v>14.6</v>
      </c>
      <c r="E767" t="s">
        <v>8</v>
      </c>
      <c r="F767" t="s">
        <v>9</v>
      </c>
    </row>
    <row r="768" spans="1:6">
      <c r="A768" t="s">
        <v>166</v>
      </c>
      <c r="B768" t="s">
        <v>199</v>
      </c>
      <c r="C768" s="4">
        <v>46154</v>
      </c>
      <c r="D768">
        <v>-0.4</v>
      </c>
      <c r="E768" t="s">
        <v>8</v>
      </c>
      <c r="F768" t="s">
        <v>12</v>
      </c>
    </row>
    <row r="769" spans="1:6">
      <c r="A769" t="s">
        <v>117</v>
      </c>
      <c r="B769" t="s">
        <v>87</v>
      </c>
      <c r="C769" s="4">
        <v>45888</v>
      </c>
      <c r="D769">
        <v>37.299999999999997</v>
      </c>
      <c r="E769" t="s">
        <v>30</v>
      </c>
      <c r="F769" t="s">
        <v>9</v>
      </c>
    </row>
    <row r="770" spans="1:6">
      <c r="A770" t="s">
        <v>205</v>
      </c>
      <c r="B770" t="s">
        <v>45</v>
      </c>
      <c r="C770" s="4">
        <v>45839</v>
      </c>
      <c r="D770">
        <v>29.9</v>
      </c>
      <c r="E770" t="s">
        <v>8</v>
      </c>
      <c r="F770" t="s">
        <v>9</v>
      </c>
    </row>
    <row r="771" spans="1:6">
      <c r="A771" t="s">
        <v>15</v>
      </c>
      <c r="B771" t="s">
        <v>74</v>
      </c>
      <c r="C771" s="4">
        <v>45937</v>
      </c>
      <c r="D771">
        <v>-0.4</v>
      </c>
      <c r="E771" t="s">
        <v>19</v>
      </c>
      <c r="F771" t="s">
        <v>12</v>
      </c>
    </row>
    <row r="772" spans="1:6">
      <c r="A772" t="s">
        <v>306</v>
      </c>
      <c r="B772" t="s">
        <v>133</v>
      </c>
      <c r="C772" s="4">
        <v>46000</v>
      </c>
      <c r="D772">
        <v>14.4</v>
      </c>
      <c r="E772" t="s">
        <v>8</v>
      </c>
      <c r="F772" t="s">
        <v>9</v>
      </c>
    </row>
    <row r="773" spans="1:6">
      <c r="A773" t="s">
        <v>139</v>
      </c>
      <c r="B773" t="s">
        <v>217</v>
      </c>
      <c r="C773" s="4">
        <v>45916</v>
      </c>
      <c r="D773">
        <v>16</v>
      </c>
      <c r="E773" t="s">
        <v>8</v>
      </c>
      <c r="F773" t="s">
        <v>9</v>
      </c>
    </row>
    <row r="774" spans="1:6">
      <c r="A774" t="s">
        <v>52</v>
      </c>
      <c r="B774" t="s">
        <v>74</v>
      </c>
      <c r="C774" s="4">
        <v>46133</v>
      </c>
      <c r="D774">
        <v>44.6</v>
      </c>
      <c r="E774" t="s">
        <v>8</v>
      </c>
      <c r="F774" t="s">
        <v>12</v>
      </c>
    </row>
    <row r="775" spans="1:6">
      <c r="A775" t="s">
        <v>153</v>
      </c>
      <c r="B775" t="s">
        <v>183</v>
      </c>
      <c r="C775" s="4">
        <v>46049</v>
      </c>
      <c r="D775">
        <v>15</v>
      </c>
      <c r="E775" t="s">
        <v>8</v>
      </c>
      <c r="F775" t="s">
        <v>9</v>
      </c>
    </row>
    <row r="776" spans="1:6">
      <c r="A776" t="s">
        <v>242</v>
      </c>
      <c r="B776" t="s">
        <v>133</v>
      </c>
      <c r="C776" s="4">
        <v>46021</v>
      </c>
      <c r="D776">
        <v>45.9</v>
      </c>
      <c r="E776" t="s">
        <v>8</v>
      </c>
      <c r="F776" t="s">
        <v>12</v>
      </c>
    </row>
    <row r="777" spans="1:6">
      <c r="A777" t="s">
        <v>157</v>
      </c>
      <c r="B777" t="s">
        <v>129</v>
      </c>
      <c r="C777" s="4">
        <v>45895</v>
      </c>
      <c r="D777">
        <v>30.2</v>
      </c>
      <c r="E777" t="s">
        <v>30</v>
      </c>
      <c r="F777" t="s">
        <v>9</v>
      </c>
    </row>
    <row r="778" spans="1:6">
      <c r="A778" t="s">
        <v>238</v>
      </c>
      <c r="B778" t="s">
        <v>211</v>
      </c>
      <c r="C778" s="4">
        <v>45972</v>
      </c>
      <c r="D778">
        <v>45.7</v>
      </c>
      <c r="E778" t="s">
        <v>19</v>
      </c>
      <c r="F778" t="s">
        <v>12</v>
      </c>
    </row>
    <row r="779" spans="1:6">
      <c r="A779" t="s">
        <v>175</v>
      </c>
      <c r="B779" t="s">
        <v>16</v>
      </c>
      <c r="C779" s="4">
        <v>45958</v>
      </c>
      <c r="D779">
        <v>23.5</v>
      </c>
      <c r="E779" t="s">
        <v>8</v>
      </c>
      <c r="F779" t="s">
        <v>9</v>
      </c>
    </row>
    <row r="780" spans="1:6">
      <c r="A780" t="s">
        <v>236</v>
      </c>
      <c r="B780" t="s">
        <v>253</v>
      </c>
      <c r="C780" s="4">
        <v>45888</v>
      </c>
      <c r="D780">
        <v>29.5</v>
      </c>
      <c r="E780" t="s">
        <v>8</v>
      </c>
      <c r="F780" t="s">
        <v>9</v>
      </c>
    </row>
    <row r="781" spans="1:6">
      <c r="A781" t="s">
        <v>257</v>
      </c>
      <c r="B781" t="s">
        <v>147</v>
      </c>
      <c r="C781" s="4">
        <v>45888</v>
      </c>
      <c r="D781">
        <v>23.7</v>
      </c>
      <c r="E781" t="s">
        <v>8</v>
      </c>
      <c r="F781" t="s">
        <v>9</v>
      </c>
    </row>
    <row r="782" spans="1:6">
      <c r="A782" t="s">
        <v>44</v>
      </c>
      <c r="B782" t="s">
        <v>219</v>
      </c>
      <c r="C782" s="4">
        <v>46028</v>
      </c>
      <c r="D782">
        <v>38.799999999999997</v>
      </c>
      <c r="E782" t="s">
        <v>19</v>
      </c>
      <c r="F782" t="s">
        <v>9</v>
      </c>
    </row>
    <row r="783" spans="1:6">
      <c r="A783" t="s">
        <v>136</v>
      </c>
      <c r="B783" t="s">
        <v>183</v>
      </c>
      <c r="C783" s="4">
        <v>46077</v>
      </c>
      <c r="D783">
        <v>29.9</v>
      </c>
      <c r="E783" t="s">
        <v>30</v>
      </c>
      <c r="F783" t="s">
        <v>9</v>
      </c>
    </row>
    <row r="784" spans="1:6">
      <c r="A784" t="s">
        <v>145</v>
      </c>
      <c r="B784" t="s">
        <v>185</v>
      </c>
      <c r="C784" s="4">
        <v>46021</v>
      </c>
      <c r="D784">
        <v>14.6</v>
      </c>
      <c r="E784" t="s">
        <v>8</v>
      </c>
      <c r="F784" t="s">
        <v>9</v>
      </c>
    </row>
    <row r="785" spans="1:6">
      <c r="A785" t="s">
        <v>300</v>
      </c>
      <c r="B785" t="s">
        <v>14</v>
      </c>
      <c r="C785" s="4">
        <v>45839</v>
      </c>
      <c r="D785">
        <v>38.1</v>
      </c>
      <c r="E785" t="s">
        <v>8</v>
      </c>
      <c r="F785" t="s">
        <v>9</v>
      </c>
    </row>
    <row r="786" spans="1:6">
      <c r="A786" t="s">
        <v>92</v>
      </c>
      <c r="B786" t="s">
        <v>94</v>
      </c>
      <c r="C786" s="4">
        <v>46063</v>
      </c>
      <c r="D786">
        <v>45.1</v>
      </c>
      <c r="E786" t="s">
        <v>30</v>
      </c>
      <c r="F786" t="s">
        <v>12</v>
      </c>
    </row>
    <row r="787" spans="1:6">
      <c r="A787" t="s">
        <v>79</v>
      </c>
      <c r="B787" t="s">
        <v>283</v>
      </c>
      <c r="C787" s="4">
        <v>46091</v>
      </c>
      <c r="D787">
        <v>7.7</v>
      </c>
      <c r="E787" t="s">
        <v>8</v>
      </c>
      <c r="F787" t="s">
        <v>9</v>
      </c>
    </row>
    <row r="788" spans="1:6">
      <c r="A788" t="s">
        <v>198</v>
      </c>
      <c r="B788" t="s">
        <v>69</v>
      </c>
      <c r="C788" s="4">
        <v>46091</v>
      </c>
      <c r="D788">
        <v>14.4</v>
      </c>
      <c r="E788" t="s">
        <v>8</v>
      </c>
      <c r="F788" t="s">
        <v>9</v>
      </c>
    </row>
    <row r="789" spans="1:6">
      <c r="A789" t="s">
        <v>288</v>
      </c>
      <c r="B789" t="s">
        <v>110</v>
      </c>
      <c r="C789" s="4">
        <v>46091</v>
      </c>
      <c r="D789">
        <v>46.1</v>
      </c>
      <c r="E789" t="s">
        <v>8</v>
      </c>
      <c r="F789" t="s">
        <v>12</v>
      </c>
    </row>
    <row r="790" spans="1:6">
      <c r="A790" t="s">
        <v>13</v>
      </c>
      <c r="B790" t="s">
        <v>21</v>
      </c>
      <c r="C790" s="4">
        <v>46105</v>
      </c>
      <c r="D790">
        <v>45.9</v>
      </c>
      <c r="E790" t="s">
        <v>30</v>
      </c>
      <c r="F790" t="s">
        <v>12</v>
      </c>
    </row>
    <row r="791" spans="1:6">
      <c r="A791" t="s">
        <v>52</v>
      </c>
      <c r="B791" t="s">
        <v>80</v>
      </c>
      <c r="C791" s="4">
        <v>45958</v>
      </c>
      <c r="D791">
        <v>37.5</v>
      </c>
      <c r="E791" t="s">
        <v>8</v>
      </c>
      <c r="F791" t="s">
        <v>9</v>
      </c>
    </row>
    <row r="792" spans="1:6">
      <c r="A792" t="s">
        <v>104</v>
      </c>
      <c r="B792" t="s">
        <v>273</v>
      </c>
      <c r="C792" s="4">
        <v>46063</v>
      </c>
      <c r="D792">
        <v>14.4</v>
      </c>
      <c r="E792" t="s">
        <v>30</v>
      </c>
      <c r="F792" t="s">
        <v>9</v>
      </c>
    </row>
    <row r="793" spans="1:6">
      <c r="A793" t="s">
        <v>64</v>
      </c>
      <c r="B793" t="s">
        <v>281</v>
      </c>
      <c r="C793" s="4">
        <v>45979</v>
      </c>
      <c r="D793">
        <v>22.7</v>
      </c>
      <c r="E793" t="s">
        <v>8</v>
      </c>
      <c r="F793" t="s">
        <v>9</v>
      </c>
    </row>
    <row r="794" spans="1:6">
      <c r="A794" t="s">
        <v>292</v>
      </c>
      <c r="B794" t="s">
        <v>219</v>
      </c>
      <c r="C794" s="4">
        <v>45867</v>
      </c>
      <c r="D794">
        <v>14.6</v>
      </c>
      <c r="E794" t="s">
        <v>30</v>
      </c>
      <c r="F794" t="s">
        <v>9</v>
      </c>
    </row>
    <row r="795" spans="1:6">
      <c r="A795" t="s">
        <v>254</v>
      </c>
      <c r="B795" t="s">
        <v>260</v>
      </c>
      <c r="C795" s="4">
        <v>45902</v>
      </c>
      <c r="D795">
        <v>-1</v>
      </c>
      <c r="E795" t="s">
        <v>19</v>
      </c>
      <c r="F795" t="s">
        <v>12</v>
      </c>
    </row>
    <row r="796" spans="1:6">
      <c r="A796" t="s">
        <v>239</v>
      </c>
      <c r="B796" t="s">
        <v>164</v>
      </c>
      <c r="C796" s="4">
        <v>45930</v>
      </c>
      <c r="D796">
        <v>-0.6</v>
      </c>
      <c r="E796" t="s">
        <v>8</v>
      </c>
      <c r="F796" t="s">
        <v>12</v>
      </c>
    </row>
    <row r="797" spans="1:6">
      <c r="A797" t="s">
        <v>85</v>
      </c>
      <c r="B797" t="s">
        <v>180</v>
      </c>
      <c r="C797" s="4">
        <v>46070</v>
      </c>
      <c r="D797">
        <v>29.9</v>
      </c>
      <c r="E797" t="s">
        <v>8</v>
      </c>
      <c r="F797" t="s">
        <v>9</v>
      </c>
    </row>
    <row r="798" spans="1:6">
      <c r="A798" t="s">
        <v>22</v>
      </c>
      <c r="B798" t="s">
        <v>49</v>
      </c>
      <c r="C798" s="4">
        <v>45944</v>
      </c>
      <c r="D798">
        <v>37.200000000000003</v>
      </c>
      <c r="E798" t="s">
        <v>8</v>
      </c>
      <c r="F798" t="s">
        <v>9</v>
      </c>
    </row>
    <row r="799" spans="1:6">
      <c r="A799" t="s">
        <v>72</v>
      </c>
      <c r="B799" t="s">
        <v>248</v>
      </c>
      <c r="C799" s="4">
        <v>46091</v>
      </c>
      <c r="D799">
        <v>0.6</v>
      </c>
      <c r="E799" t="s">
        <v>19</v>
      </c>
      <c r="F799" t="s">
        <v>12</v>
      </c>
    </row>
    <row r="800" spans="1:6">
      <c r="A800" t="s">
        <v>234</v>
      </c>
      <c r="B800" t="s">
        <v>110</v>
      </c>
      <c r="C800" s="4">
        <v>45839</v>
      </c>
      <c r="D800">
        <v>7.8</v>
      </c>
      <c r="E800" t="s">
        <v>19</v>
      </c>
      <c r="F800" t="s">
        <v>12</v>
      </c>
    </row>
    <row r="801" spans="1:6">
      <c r="A801" t="s">
        <v>152</v>
      </c>
      <c r="B801" t="s">
        <v>124</v>
      </c>
      <c r="C801" s="4">
        <v>46119</v>
      </c>
      <c r="D801">
        <v>15.8</v>
      </c>
      <c r="E801" t="s">
        <v>8</v>
      </c>
      <c r="F801" t="s">
        <v>9</v>
      </c>
    </row>
    <row r="802" spans="1:6">
      <c r="A802" t="s">
        <v>236</v>
      </c>
      <c r="B802" t="s">
        <v>32</v>
      </c>
      <c r="C802" s="4">
        <v>46042</v>
      </c>
      <c r="D802">
        <v>46.3</v>
      </c>
      <c r="E802" t="s">
        <v>30</v>
      </c>
      <c r="F802" t="s">
        <v>12</v>
      </c>
    </row>
    <row r="803" spans="1:6">
      <c r="A803" t="s">
        <v>64</v>
      </c>
      <c r="B803" t="s">
        <v>298</v>
      </c>
      <c r="C803" s="4">
        <v>46042</v>
      </c>
      <c r="D803">
        <v>46</v>
      </c>
      <c r="E803" t="s">
        <v>8</v>
      </c>
      <c r="F803" t="s">
        <v>12</v>
      </c>
    </row>
    <row r="804" spans="1:6">
      <c r="A804" t="s">
        <v>139</v>
      </c>
      <c r="B804" t="s">
        <v>76</v>
      </c>
      <c r="C804" s="4">
        <v>45986</v>
      </c>
      <c r="D804">
        <v>22.9</v>
      </c>
      <c r="E804" t="s">
        <v>30</v>
      </c>
      <c r="F804" t="s">
        <v>9</v>
      </c>
    </row>
    <row r="805" spans="1:6">
      <c r="A805" t="s">
        <v>201</v>
      </c>
      <c r="B805" t="s">
        <v>204</v>
      </c>
      <c r="C805" s="4">
        <v>46084</v>
      </c>
      <c r="D805">
        <v>30.4</v>
      </c>
      <c r="E805" t="s">
        <v>8</v>
      </c>
      <c r="F805" t="s">
        <v>9</v>
      </c>
    </row>
    <row r="806" spans="1:6">
      <c r="A806" t="s">
        <v>141</v>
      </c>
      <c r="B806" t="s">
        <v>273</v>
      </c>
      <c r="C806" s="4">
        <v>45860</v>
      </c>
      <c r="D806">
        <v>8.4</v>
      </c>
      <c r="E806" t="s">
        <v>30</v>
      </c>
      <c r="F806" t="s">
        <v>9</v>
      </c>
    </row>
    <row r="807" spans="1:6">
      <c r="A807" t="s">
        <v>274</v>
      </c>
      <c r="B807" t="s">
        <v>193</v>
      </c>
      <c r="C807" s="4">
        <v>45958</v>
      </c>
      <c r="D807">
        <v>45</v>
      </c>
      <c r="E807" t="s">
        <v>8</v>
      </c>
      <c r="F807" t="s">
        <v>12</v>
      </c>
    </row>
    <row r="808" spans="1:6">
      <c r="A808" t="s">
        <v>139</v>
      </c>
      <c r="B808" t="s">
        <v>170</v>
      </c>
      <c r="C808" s="4">
        <v>45944</v>
      </c>
      <c r="D808">
        <v>29.6</v>
      </c>
      <c r="E808" t="s">
        <v>8</v>
      </c>
      <c r="F808" t="s">
        <v>9</v>
      </c>
    </row>
    <row r="809" spans="1:6">
      <c r="A809" t="s">
        <v>272</v>
      </c>
      <c r="B809" t="s">
        <v>199</v>
      </c>
      <c r="C809" s="4">
        <v>45874</v>
      </c>
      <c r="D809">
        <v>45.8</v>
      </c>
      <c r="E809" t="s">
        <v>30</v>
      </c>
      <c r="F809" t="s">
        <v>12</v>
      </c>
    </row>
    <row r="810" spans="1:6">
      <c r="A810" t="s">
        <v>179</v>
      </c>
      <c r="B810" t="s">
        <v>23</v>
      </c>
      <c r="C810" s="4">
        <v>45986</v>
      </c>
      <c r="D810">
        <v>37.299999999999997</v>
      </c>
      <c r="E810" t="s">
        <v>30</v>
      </c>
      <c r="F810" t="s">
        <v>9</v>
      </c>
    </row>
    <row r="811" spans="1:6">
      <c r="A811" t="s">
        <v>58</v>
      </c>
      <c r="B811" t="s">
        <v>18</v>
      </c>
      <c r="C811" s="4">
        <v>45846</v>
      </c>
      <c r="D811">
        <v>15.5</v>
      </c>
      <c r="E811" t="s">
        <v>30</v>
      </c>
      <c r="F811" t="s">
        <v>9</v>
      </c>
    </row>
    <row r="812" spans="1:6">
      <c r="A812" t="s">
        <v>240</v>
      </c>
      <c r="B812" t="s">
        <v>97</v>
      </c>
      <c r="C812" s="4">
        <v>45867</v>
      </c>
      <c r="D812">
        <v>22.2</v>
      </c>
      <c r="E812" t="s">
        <v>30</v>
      </c>
      <c r="F812" t="s">
        <v>9</v>
      </c>
    </row>
    <row r="813" spans="1:6">
      <c r="A813" t="s">
        <v>236</v>
      </c>
      <c r="B813" t="s">
        <v>281</v>
      </c>
      <c r="C813" s="4">
        <v>46021</v>
      </c>
      <c r="D813">
        <v>7.5</v>
      </c>
      <c r="E813" t="s">
        <v>8</v>
      </c>
      <c r="F813" t="s">
        <v>9</v>
      </c>
    </row>
    <row r="814" spans="1:6">
      <c r="A814" t="s">
        <v>85</v>
      </c>
      <c r="B814" t="s">
        <v>51</v>
      </c>
      <c r="C814" s="4">
        <v>46105</v>
      </c>
      <c r="D814">
        <v>22.4</v>
      </c>
      <c r="E814" t="s">
        <v>19</v>
      </c>
      <c r="F814" t="s">
        <v>12</v>
      </c>
    </row>
    <row r="815" spans="1:6">
      <c r="A815" t="s">
        <v>237</v>
      </c>
      <c r="B815" t="s">
        <v>286</v>
      </c>
      <c r="C815" s="4">
        <v>46035</v>
      </c>
      <c r="D815">
        <v>15.6</v>
      </c>
      <c r="E815" t="s">
        <v>8</v>
      </c>
      <c r="F815" t="s">
        <v>9</v>
      </c>
    </row>
    <row r="816" spans="1:6">
      <c r="A816" t="s">
        <v>175</v>
      </c>
      <c r="B816" t="s">
        <v>16</v>
      </c>
      <c r="C816" s="4">
        <v>45958</v>
      </c>
      <c r="D816">
        <v>46</v>
      </c>
      <c r="E816" t="s">
        <v>30</v>
      </c>
      <c r="F816" t="s">
        <v>12</v>
      </c>
    </row>
    <row r="817" spans="1:6">
      <c r="A817" t="s">
        <v>308</v>
      </c>
      <c r="B817" t="s">
        <v>14</v>
      </c>
      <c r="C817" s="4">
        <v>45874</v>
      </c>
      <c r="D817">
        <v>45.6</v>
      </c>
      <c r="E817" t="s">
        <v>19</v>
      </c>
      <c r="F817" t="s">
        <v>12</v>
      </c>
    </row>
    <row r="818" spans="1:6">
      <c r="A818" t="s">
        <v>254</v>
      </c>
      <c r="B818" t="s">
        <v>235</v>
      </c>
      <c r="C818" s="4">
        <v>46063</v>
      </c>
      <c r="D818">
        <v>30.6</v>
      </c>
      <c r="E818" t="s">
        <v>30</v>
      </c>
      <c r="F818" t="s">
        <v>9</v>
      </c>
    </row>
    <row r="819" spans="1:6">
      <c r="A819" t="s">
        <v>117</v>
      </c>
      <c r="B819" t="s">
        <v>18</v>
      </c>
      <c r="C819" s="4">
        <v>46014</v>
      </c>
      <c r="D819">
        <v>14.3</v>
      </c>
      <c r="E819" t="s">
        <v>8</v>
      </c>
      <c r="F819" t="s">
        <v>9</v>
      </c>
    </row>
    <row r="820" spans="1:6">
      <c r="A820" t="s">
        <v>187</v>
      </c>
      <c r="B820" t="s">
        <v>87</v>
      </c>
      <c r="C820" s="4">
        <v>45951</v>
      </c>
      <c r="D820">
        <v>45.2</v>
      </c>
      <c r="E820" t="s">
        <v>8</v>
      </c>
      <c r="F820" t="s">
        <v>12</v>
      </c>
    </row>
    <row r="821" spans="1:6">
      <c r="A821" t="s">
        <v>83</v>
      </c>
      <c r="B821" t="s">
        <v>120</v>
      </c>
      <c r="C821" s="4">
        <v>45993</v>
      </c>
      <c r="D821">
        <v>46.5</v>
      </c>
      <c r="E821" t="s">
        <v>8</v>
      </c>
      <c r="F821" t="s">
        <v>12</v>
      </c>
    </row>
    <row r="822" spans="1:6">
      <c r="A822" t="s">
        <v>302</v>
      </c>
      <c r="B822" t="s">
        <v>56</v>
      </c>
      <c r="C822" s="4">
        <v>45937</v>
      </c>
      <c r="D822">
        <v>23.8</v>
      </c>
      <c r="E822" t="s">
        <v>8</v>
      </c>
      <c r="F822" t="s">
        <v>9</v>
      </c>
    </row>
    <row r="823" spans="1:6">
      <c r="A823" t="s">
        <v>304</v>
      </c>
      <c r="B823" t="s">
        <v>283</v>
      </c>
      <c r="C823" s="4">
        <v>45909</v>
      </c>
      <c r="D823">
        <v>37.200000000000003</v>
      </c>
      <c r="E823" t="s">
        <v>30</v>
      </c>
      <c r="F823" t="s">
        <v>9</v>
      </c>
    </row>
    <row r="824" spans="1:6">
      <c r="A824" t="s">
        <v>284</v>
      </c>
      <c r="B824" t="s">
        <v>180</v>
      </c>
      <c r="C824" s="4">
        <v>46147</v>
      </c>
      <c r="D824">
        <v>22</v>
      </c>
      <c r="E824" t="s">
        <v>8</v>
      </c>
      <c r="F824" t="s">
        <v>9</v>
      </c>
    </row>
    <row r="825" spans="1:6">
      <c r="A825" t="s">
        <v>239</v>
      </c>
      <c r="B825" t="s">
        <v>114</v>
      </c>
      <c r="C825" s="4">
        <v>46119</v>
      </c>
      <c r="D825">
        <v>15.8</v>
      </c>
      <c r="E825" t="s">
        <v>19</v>
      </c>
      <c r="F825" t="s">
        <v>9</v>
      </c>
    </row>
    <row r="826" spans="1:6">
      <c r="A826" t="s">
        <v>220</v>
      </c>
      <c r="B826" t="s">
        <v>225</v>
      </c>
      <c r="C826" s="4">
        <v>46133</v>
      </c>
      <c r="D826">
        <v>0.8</v>
      </c>
      <c r="E826" t="s">
        <v>8</v>
      </c>
      <c r="F826" t="s">
        <v>9</v>
      </c>
    </row>
    <row r="827" spans="1:6">
      <c r="A827" t="s">
        <v>81</v>
      </c>
      <c r="B827" t="s">
        <v>43</v>
      </c>
      <c r="C827" s="4">
        <v>46042</v>
      </c>
      <c r="D827">
        <v>37.299999999999997</v>
      </c>
      <c r="E827" t="s">
        <v>8</v>
      </c>
      <c r="F827" t="s">
        <v>9</v>
      </c>
    </row>
    <row r="828" spans="1:6">
      <c r="A828" t="s">
        <v>244</v>
      </c>
      <c r="B828" t="s">
        <v>281</v>
      </c>
      <c r="C828" s="4">
        <v>45846</v>
      </c>
      <c r="D828">
        <v>6.8</v>
      </c>
      <c r="E828" t="s">
        <v>30</v>
      </c>
      <c r="F828" t="s">
        <v>9</v>
      </c>
    </row>
    <row r="829" spans="1:6">
      <c r="A829" t="s">
        <v>229</v>
      </c>
      <c r="B829" t="s">
        <v>74</v>
      </c>
      <c r="C829" s="4">
        <v>46042</v>
      </c>
      <c r="D829">
        <v>6.7</v>
      </c>
      <c r="E829" t="s">
        <v>30</v>
      </c>
      <c r="F829" t="s">
        <v>9</v>
      </c>
    </row>
    <row r="830" spans="1:6">
      <c r="A830" t="s">
        <v>88</v>
      </c>
      <c r="B830" t="s">
        <v>32</v>
      </c>
      <c r="C830" s="4">
        <v>45895</v>
      </c>
      <c r="D830">
        <v>38.5</v>
      </c>
      <c r="E830" t="s">
        <v>19</v>
      </c>
      <c r="F830" t="s">
        <v>9</v>
      </c>
    </row>
    <row r="831" spans="1:6">
      <c r="A831" t="s">
        <v>246</v>
      </c>
      <c r="B831" t="s">
        <v>283</v>
      </c>
      <c r="C831" s="4">
        <v>45895</v>
      </c>
      <c r="D831">
        <v>7.9</v>
      </c>
      <c r="E831" t="s">
        <v>8</v>
      </c>
      <c r="F831" t="s">
        <v>9</v>
      </c>
    </row>
    <row r="832" spans="1:6">
      <c r="A832" t="s">
        <v>13</v>
      </c>
      <c r="B832" t="s">
        <v>294</v>
      </c>
      <c r="C832" s="4">
        <v>46000</v>
      </c>
      <c r="D832">
        <v>7.6</v>
      </c>
      <c r="E832" t="s">
        <v>8</v>
      </c>
      <c r="F832" t="s">
        <v>9</v>
      </c>
    </row>
    <row r="833" spans="1:6">
      <c r="A833" t="s">
        <v>86</v>
      </c>
      <c r="B833" t="s">
        <v>235</v>
      </c>
      <c r="C833" s="4">
        <v>45951</v>
      </c>
      <c r="D833">
        <v>22.6</v>
      </c>
      <c r="E833" t="s">
        <v>8</v>
      </c>
      <c r="F833" t="s">
        <v>9</v>
      </c>
    </row>
    <row r="834" spans="1:6">
      <c r="A834" t="s">
        <v>200</v>
      </c>
      <c r="B834" t="s">
        <v>173</v>
      </c>
      <c r="C834" s="4">
        <v>45916</v>
      </c>
      <c r="D834">
        <v>16.2</v>
      </c>
      <c r="E834" t="s">
        <v>8</v>
      </c>
      <c r="F834" t="s">
        <v>9</v>
      </c>
    </row>
    <row r="835" spans="1:6">
      <c r="A835" t="s">
        <v>150</v>
      </c>
      <c r="B835" t="s">
        <v>204</v>
      </c>
      <c r="C835" s="4">
        <v>46119</v>
      </c>
      <c r="D835">
        <v>22.6</v>
      </c>
      <c r="E835" t="s">
        <v>19</v>
      </c>
      <c r="F835" t="s">
        <v>12</v>
      </c>
    </row>
    <row r="836" spans="1:6">
      <c r="A836" t="s">
        <v>305</v>
      </c>
      <c r="B836" t="s">
        <v>11</v>
      </c>
      <c r="C836" s="4">
        <v>45944</v>
      </c>
      <c r="D836">
        <v>7.3</v>
      </c>
      <c r="E836" t="s">
        <v>30</v>
      </c>
      <c r="F836" t="s">
        <v>9</v>
      </c>
    </row>
    <row r="837" spans="1:6">
      <c r="A837" t="s">
        <v>88</v>
      </c>
      <c r="B837" t="s">
        <v>192</v>
      </c>
      <c r="C837" s="4">
        <v>45972</v>
      </c>
      <c r="D837">
        <v>31.1</v>
      </c>
      <c r="E837" t="s">
        <v>8</v>
      </c>
      <c r="F837" t="s">
        <v>9</v>
      </c>
    </row>
    <row r="838" spans="1:6">
      <c r="A838" t="s">
        <v>276</v>
      </c>
      <c r="B838" t="s">
        <v>162</v>
      </c>
      <c r="C838" s="4">
        <v>46021</v>
      </c>
      <c r="D838">
        <v>7.6</v>
      </c>
      <c r="E838" t="s">
        <v>8</v>
      </c>
      <c r="F838" t="s">
        <v>9</v>
      </c>
    </row>
    <row r="839" spans="1:6">
      <c r="A839" t="s">
        <v>282</v>
      </c>
      <c r="B839" t="s">
        <v>285</v>
      </c>
      <c r="C839" s="4">
        <v>45979</v>
      </c>
      <c r="D839">
        <v>-0.8</v>
      </c>
      <c r="E839" t="s">
        <v>30</v>
      </c>
      <c r="F839" t="s">
        <v>12</v>
      </c>
    </row>
    <row r="840" spans="1:6">
      <c r="A840" t="s">
        <v>177</v>
      </c>
      <c r="B840" t="s">
        <v>147</v>
      </c>
      <c r="C840" s="4">
        <v>45916</v>
      </c>
      <c r="D840">
        <v>30.3</v>
      </c>
      <c r="E840" t="s">
        <v>8</v>
      </c>
      <c r="F840" t="s">
        <v>9</v>
      </c>
    </row>
    <row r="841" spans="1:6">
      <c r="A841" t="s">
        <v>280</v>
      </c>
      <c r="B841" t="s">
        <v>69</v>
      </c>
      <c r="C841" s="4">
        <v>46021</v>
      </c>
      <c r="D841">
        <v>46.2</v>
      </c>
      <c r="E841" t="s">
        <v>19</v>
      </c>
      <c r="F841" t="s">
        <v>12</v>
      </c>
    </row>
    <row r="842" spans="1:6">
      <c r="A842" t="s">
        <v>222</v>
      </c>
      <c r="B842" t="s">
        <v>127</v>
      </c>
      <c r="C842" s="4">
        <v>46014</v>
      </c>
      <c r="D842">
        <v>15.9</v>
      </c>
      <c r="E842" t="s">
        <v>8</v>
      </c>
      <c r="F842" t="s">
        <v>9</v>
      </c>
    </row>
    <row r="843" spans="1:6">
      <c r="A843" t="s">
        <v>95</v>
      </c>
      <c r="B843" t="s">
        <v>129</v>
      </c>
      <c r="C843" s="4">
        <v>46112</v>
      </c>
      <c r="D843">
        <v>31.2</v>
      </c>
      <c r="E843" t="s">
        <v>8</v>
      </c>
      <c r="F843" t="s">
        <v>9</v>
      </c>
    </row>
    <row r="844" spans="1:6">
      <c r="A844" t="s">
        <v>302</v>
      </c>
      <c r="B844" t="s">
        <v>142</v>
      </c>
      <c r="C844" s="4">
        <v>46063</v>
      </c>
      <c r="D844">
        <v>0.7</v>
      </c>
      <c r="E844" t="s">
        <v>30</v>
      </c>
      <c r="F844" t="s">
        <v>9</v>
      </c>
    </row>
    <row r="845" spans="1:6">
      <c r="A845" t="s">
        <v>145</v>
      </c>
      <c r="B845" t="s">
        <v>45</v>
      </c>
      <c r="C845" s="4">
        <v>46042</v>
      </c>
      <c r="D845">
        <v>-0.8</v>
      </c>
      <c r="E845" t="s">
        <v>8</v>
      </c>
      <c r="F845" t="s">
        <v>12</v>
      </c>
    </row>
    <row r="846" spans="1:6">
      <c r="A846" t="s">
        <v>90</v>
      </c>
      <c r="B846" t="s">
        <v>29</v>
      </c>
      <c r="C846" s="4">
        <v>45930</v>
      </c>
      <c r="D846">
        <v>21.8</v>
      </c>
      <c r="E846" t="s">
        <v>8</v>
      </c>
      <c r="F846" t="s">
        <v>9</v>
      </c>
    </row>
    <row r="847" spans="1:6">
      <c r="A847" t="s">
        <v>39</v>
      </c>
      <c r="B847" t="s">
        <v>61</v>
      </c>
      <c r="C847" s="4">
        <v>46063</v>
      </c>
      <c r="D847">
        <v>22.8</v>
      </c>
      <c r="E847" t="s">
        <v>8</v>
      </c>
      <c r="F847" t="s">
        <v>9</v>
      </c>
    </row>
    <row r="848" spans="1:6">
      <c r="A848" t="s">
        <v>24</v>
      </c>
      <c r="B848" t="s">
        <v>74</v>
      </c>
      <c r="C848" s="4">
        <v>45895</v>
      </c>
      <c r="D848">
        <v>14.8</v>
      </c>
      <c r="E848" t="s">
        <v>8</v>
      </c>
      <c r="F848" t="s">
        <v>9</v>
      </c>
    </row>
    <row r="849" spans="1:6">
      <c r="A849" t="s">
        <v>237</v>
      </c>
      <c r="B849" t="s">
        <v>295</v>
      </c>
      <c r="C849" s="4">
        <v>45860</v>
      </c>
      <c r="D849">
        <v>23.3</v>
      </c>
      <c r="E849" t="s">
        <v>19</v>
      </c>
      <c r="F849" t="s">
        <v>9</v>
      </c>
    </row>
    <row r="850" spans="1:6">
      <c r="A850" t="s">
        <v>135</v>
      </c>
      <c r="B850" t="s">
        <v>18</v>
      </c>
      <c r="C850" s="4">
        <v>45888</v>
      </c>
      <c r="D850">
        <v>14.4</v>
      </c>
      <c r="E850" t="s">
        <v>30</v>
      </c>
      <c r="F850" t="s">
        <v>9</v>
      </c>
    </row>
    <row r="851" spans="1:6">
      <c r="A851" t="s">
        <v>161</v>
      </c>
      <c r="B851" t="s">
        <v>138</v>
      </c>
      <c r="C851" s="4">
        <v>45951</v>
      </c>
      <c r="D851">
        <v>38.5</v>
      </c>
      <c r="E851" t="s">
        <v>8</v>
      </c>
      <c r="F851" t="s">
        <v>9</v>
      </c>
    </row>
    <row r="852" spans="1:6">
      <c r="A852" t="s">
        <v>156</v>
      </c>
      <c r="B852" t="s">
        <v>262</v>
      </c>
      <c r="C852" s="4">
        <v>46091</v>
      </c>
      <c r="D852">
        <v>-0.7</v>
      </c>
      <c r="E852" t="s">
        <v>19</v>
      </c>
      <c r="F852" t="s">
        <v>12</v>
      </c>
    </row>
    <row r="853" spans="1:6">
      <c r="A853" t="s">
        <v>278</v>
      </c>
      <c r="B853" t="s">
        <v>27</v>
      </c>
      <c r="C853" s="4">
        <v>45958</v>
      </c>
      <c r="D853">
        <v>-0.4</v>
      </c>
      <c r="E853" t="s">
        <v>30</v>
      </c>
      <c r="F853" t="s">
        <v>12</v>
      </c>
    </row>
    <row r="854" spans="1:6">
      <c r="A854" t="s">
        <v>95</v>
      </c>
      <c r="B854" t="s">
        <v>118</v>
      </c>
      <c r="C854" s="4">
        <v>46133</v>
      </c>
      <c r="D854">
        <v>45.8</v>
      </c>
      <c r="E854" t="s">
        <v>30</v>
      </c>
      <c r="F854" t="s">
        <v>12</v>
      </c>
    </row>
    <row r="855" spans="1:6">
      <c r="A855" t="s">
        <v>149</v>
      </c>
      <c r="B855" t="s">
        <v>180</v>
      </c>
      <c r="C855" s="4">
        <v>45874</v>
      </c>
      <c r="D855">
        <v>37.299999999999997</v>
      </c>
      <c r="E855" t="s">
        <v>8</v>
      </c>
      <c r="F855" t="s">
        <v>9</v>
      </c>
    </row>
    <row r="856" spans="1:6">
      <c r="A856" t="s">
        <v>65</v>
      </c>
      <c r="B856" t="s">
        <v>208</v>
      </c>
      <c r="C856" s="4">
        <v>45937</v>
      </c>
      <c r="D856">
        <v>22.3</v>
      </c>
      <c r="E856" t="s">
        <v>30</v>
      </c>
      <c r="F856" t="s">
        <v>9</v>
      </c>
    </row>
    <row r="857" spans="1:6">
      <c r="A857" t="s">
        <v>22</v>
      </c>
      <c r="B857" t="s">
        <v>25</v>
      </c>
      <c r="C857" s="4">
        <v>46063</v>
      </c>
      <c r="D857">
        <v>-0.6</v>
      </c>
      <c r="E857" t="s">
        <v>8</v>
      </c>
      <c r="F857" t="s">
        <v>12</v>
      </c>
    </row>
    <row r="858" spans="1:6">
      <c r="A858" t="s">
        <v>85</v>
      </c>
      <c r="B858" t="s">
        <v>106</v>
      </c>
      <c r="C858" s="4">
        <v>46098</v>
      </c>
      <c r="D858">
        <v>-0.2</v>
      </c>
      <c r="E858" t="s">
        <v>8</v>
      </c>
      <c r="F858" t="s">
        <v>12</v>
      </c>
    </row>
    <row r="859" spans="1:6">
      <c r="A859" t="s">
        <v>191</v>
      </c>
      <c r="B859" t="s">
        <v>110</v>
      </c>
      <c r="C859" s="4">
        <v>45951</v>
      </c>
      <c r="D859">
        <v>0.5</v>
      </c>
      <c r="E859" t="s">
        <v>8</v>
      </c>
      <c r="F859" t="s">
        <v>9</v>
      </c>
    </row>
    <row r="860" spans="1:6">
      <c r="A860" t="s">
        <v>241</v>
      </c>
      <c r="B860" t="s">
        <v>211</v>
      </c>
      <c r="C860" s="4">
        <v>45881</v>
      </c>
      <c r="D860">
        <v>7</v>
      </c>
      <c r="E860" t="s">
        <v>8</v>
      </c>
      <c r="F860" t="s">
        <v>9</v>
      </c>
    </row>
    <row r="861" spans="1:6">
      <c r="A861" t="s">
        <v>250</v>
      </c>
      <c r="B861" t="s">
        <v>295</v>
      </c>
      <c r="C861" s="4">
        <v>45923</v>
      </c>
      <c r="D861">
        <v>46.1</v>
      </c>
      <c r="E861" t="s">
        <v>8</v>
      </c>
      <c r="F861" t="s">
        <v>12</v>
      </c>
    </row>
    <row r="862" spans="1:6">
      <c r="A862" t="s">
        <v>134</v>
      </c>
      <c r="B862" t="s">
        <v>186</v>
      </c>
      <c r="C862" s="4">
        <v>45846</v>
      </c>
      <c r="D862">
        <v>8</v>
      </c>
      <c r="E862" t="s">
        <v>8</v>
      </c>
      <c r="F862" t="s">
        <v>9</v>
      </c>
    </row>
    <row r="863" spans="1:6">
      <c r="A863" t="s">
        <v>191</v>
      </c>
      <c r="B863" t="s">
        <v>260</v>
      </c>
      <c r="C863" s="4">
        <v>46070</v>
      </c>
      <c r="D863">
        <v>29.4</v>
      </c>
      <c r="E863" t="s">
        <v>19</v>
      </c>
      <c r="F863" t="s">
        <v>9</v>
      </c>
    </row>
    <row r="864" spans="1:6">
      <c r="A864" t="s">
        <v>6</v>
      </c>
      <c r="B864" t="s">
        <v>294</v>
      </c>
      <c r="C864" s="4">
        <v>46126</v>
      </c>
      <c r="D864">
        <v>0</v>
      </c>
      <c r="E864" t="s">
        <v>8</v>
      </c>
      <c r="F864" t="s">
        <v>12</v>
      </c>
    </row>
    <row r="865" spans="1:6">
      <c r="A865" t="s">
        <v>174</v>
      </c>
      <c r="B865" t="s">
        <v>32</v>
      </c>
      <c r="C865" s="4">
        <v>45909</v>
      </c>
      <c r="D865">
        <v>8.6</v>
      </c>
      <c r="E865" t="s">
        <v>8</v>
      </c>
      <c r="F865" t="s">
        <v>9</v>
      </c>
    </row>
    <row r="866" spans="1:6">
      <c r="A866" t="s">
        <v>198</v>
      </c>
      <c r="B866" t="s">
        <v>103</v>
      </c>
      <c r="C866" s="4">
        <v>46084</v>
      </c>
      <c r="D866">
        <v>0.2</v>
      </c>
      <c r="E866" t="s">
        <v>30</v>
      </c>
      <c r="F866" t="s">
        <v>9</v>
      </c>
    </row>
    <row r="867" spans="1:6">
      <c r="A867" t="s">
        <v>24</v>
      </c>
      <c r="B867" t="s">
        <v>105</v>
      </c>
      <c r="C867" s="4">
        <v>45874</v>
      </c>
      <c r="D867">
        <v>-0.4</v>
      </c>
      <c r="E867" t="s">
        <v>19</v>
      </c>
      <c r="F867" t="s">
        <v>12</v>
      </c>
    </row>
    <row r="868" spans="1:6">
      <c r="A868" t="s">
        <v>289</v>
      </c>
      <c r="B868" t="s">
        <v>196</v>
      </c>
      <c r="C868" s="4">
        <v>46049</v>
      </c>
      <c r="D868">
        <v>-0.8</v>
      </c>
      <c r="E868" t="s">
        <v>8</v>
      </c>
      <c r="F868" t="s">
        <v>12</v>
      </c>
    </row>
    <row r="869" spans="1:6">
      <c r="A869" t="s">
        <v>92</v>
      </c>
      <c r="B869" t="s">
        <v>87</v>
      </c>
      <c r="C869" s="4">
        <v>45881</v>
      </c>
      <c r="D869">
        <v>38.6</v>
      </c>
      <c r="E869" t="s">
        <v>30</v>
      </c>
      <c r="F869" t="s">
        <v>9</v>
      </c>
    </row>
    <row r="870" spans="1:6">
      <c r="A870" t="s">
        <v>160</v>
      </c>
      <c r="B870" t="s">
        <v>247</v>
      </c>
      <c r="C870" s="4">
        <v>45853</v>
      </c>
      <c r="D870">
        <v>0.5</v>
      </c>
      <c r="E870" t="s">
        <v>19</v>
      </c>
      <c r="F870" t="s">
        <v>9</v>
      </c>
    </row>
    <row r="871" spans="1:6">
      <c r="A871" t="s">
        <v>205</v>
      </c>
      <c r="B871" t="s">
        <v>96</v>
      </c>
      <c r="C871" s="4">
        <v>45993</v>
      </c>
      <c r="D871">
        <v>46</v>
      </c>
      <c r="E871" t="s">
        <v>19</v>
      </c>
      <c r="F871" t="s">
        <v>12</v>
      </c>
    </row>
    <row r="872" spans="1:6">
      <c r="A872" t="s">
        <v>203</v>
      </c>
      <c r="B872" t="s">
        <v>170</v>
      </c>
      <c r="C872" s="4">
        <v>46063</v>
      </c>
      <c r="D872">
        <v>22</v>
      </c>
      <c r="E872" t="s">
        <v>30</v>
      </c>
      <c r="F872" t="s">
        <v>9</v>
      </c>
    </row>
    <row r="873" spans="1:6">
      <c r="A873" t="s">
        <v>222</v>
      </c>
      <c r="B873" t="s">
        <v>223</v>
      </c>
      <c r="C873" s="4">
        <v>46070</v>
      </c>
      <c r="D873">
        <v>23.5</v>
      </c>
      <c r="E873" t="s">
        <v>19</v>
      </c>
      <c r="F873" t="s">
        <v>9</v>
      </c>
    </row>
    <row r="874" spans="1:6">
      <c r="A874" t="s">
        <v>72</v>
      </c>
      <c r="B874" t="s">
        <v>192</v>
      </c>
      <c r="C874" s="4">
        <v>46035</v>
      </c>
      <c r="D874">
        <v>22.2</v>
      </c>
      <c r="E874" t="s">
        <v>8</v>
      </c>
      <c r="F874" t="s">
        <v>9</v>
      </c>
    </row>
    <row r="875" spans="1:6">
      <c r="A875" t="s">
        <v>277</v>
      </c>
      <c r="B875" t="s">
        <v>116</v>
      </c>
      <c r="C875" s="4">
        <v>46049</v>
      </c>
      <c r="D875">
        <v>15.3</v>
      </c>
      <c r="E875" t="s">
        <v>30</v>
      </c>
      <c r="F875" t="s">
        <v>9</v>
      </c>
    </row>
    <row r="876" spans="1:6">
      <c r="A876" t="s">
        <v>6</v>
      </c>
      <c r="B876" t="s">
        <v>248</v>
      </c>
      <c r="C876" s="4">
        <v>45839</v>
      </c>
      <c r="D876">
        <v>29.7</v>
      </c>
      <c r="E876" t="s">
        <v>8</v>
      </c>
      <c r="F876" t="s">
        <v>9</v>
      </c>
    </row>
    <row r="877" spans="1:6">
      <c r="A877" t="s">
        <v>81</v>
      </c>
      <c r="B877" t="s">
        <v>294</v>
      </c>
      <c r="C877" s="4">
        <v>45937</v>
      </c>
      <c r="D877">
        <v>29.6</v>
      </c>
      <c r="E877" t="s">
        <v>8</v>
      </c>
      <c r="F877" t="s">
        <v>9</v>
      </c>
    </row>
    <row r="878" spans="1:6">
      <c r="A878" t="s">
        <v>256</v>
      </c>
      <c r="B878" t="s">
        <v>94</v>
      </c>
      <c r="C878" s="4">
        <v>46084</v>
      </c>
      <c r="D878">
        <v>45.6</v>
      </c>
      <c r="E878" t="s">
        <v>30</v>
      </c>
      <c r="F878" t="s">
        <v>12</v>
      </c>
    </row>
    <row r="879" spans="1:6">
      <c r="A879" t="s">
        <v>141</v>
      </c>
      <c r="B879" t="s">
        <v>190</v>
      </c>
      <c r="C879" s="4">
        <v>45902</v>
      </c>
      <c r="D879">
        <v>16</v>
      </c>
      <c r="E879" t="s">
        <v>30</v>
      </c>
      <c r="F879" t="s">
        <v>9</v>
      </c>
    </row>
    <row r="880" spans="1:6">
      <c r="A880" t="s">
        <v>178</v>
      </c>
      <c r="B880" t="s">
        <v>29</v>
      </c>
      <c r="C880" s="4">
        <v>46007</v>
      </c>
      <c r="D880">
        <v>22.8</v>
      </c>
      <c r="E880" t="s">
        <v>30</v>
      </c>
      <c r="F880" t="s">
        <v>9</v>
      </c>
    </row>
    <row r="881" spans="1:6">
      <c r="A881" t="s">
        <v>284</v>
      </c>
      <c r="B881" t="s">
        <v>32</v>
      </c>
      <c r="C881" s="4">
        <v>46056</v>
      </c>
      <c r="D881">
        <v>23.5</v>
      </c>
      <c r="E881" t="s">
        <v>8</v>
      </c>
      <c r="F881" t="s">
        <v>9</v>
      </c>
    </row>
    <row r="882" spans="1:6">
      <c r="A882" t="s">
        <v>213</v>
      </c>
      <c r="B882" t="s">
        <v>162</v>
      </c>
      <c r="C882" s="4">
        <v>45881</v>
      </c>
      <c r="D882">
        <v>7</v>
      </c>
      <c r="E882" t="s">
        <v>8</v>
      </c>
      <c r="F882" t="s">
        <v>9</v>
      </c>
    </row>
    <row r="883" spans="1:6">
      <c r="A883" t="s">
        <v>210</v>
      </c>
      <c r="B883" t="s">
        <v>185</v>
      </c>
      <c r="C883" s="4">
        <v>46154</v>
      </c>
      <c r="D883">
        <v>37.700000000000003</v>
      </c>
      <c r="E883" t="s">
        <v>8</v>
      </c>
      <c r="F883" t="s">
        <v>9</v>
      </c>
    </row>
    <row r="884" spans="1:6">
      <c r="A884" t="s">
        <v>302</v>
      </c>
      <c r="B884" t="s">
        <v>57</v>
      </c>
      <c r="C884" s="4">
        <v>45839</v>
      </c>
      <c r="D884">
        <v>15.5</v>
      </c>
      <c r="E884" t="s">
        <v>30</v>
      </c>
      <c r="F884" t="s">
        <v>9</v>
      </c>
    </row>
    <row r="885" spans="1:6">
      <c r="A885" t="s">
        <v>278</v>
      </c>
      <c r="B885" t="s">
        <v>202</v>
      </c>
      <c r="C885" s="4">
        <v>45895</v>
      </c>
      <c r="D885">
        <v>16</v>
      </c>
      <c r="E885" t="s">
        <v>19</v>
      </c>
      <c r="F885" t="s">
        <v>12</v>
      </c>
    </row>
    <row r="886" spans="1:6">
      <c r="A886" t="s">
        <v>149</v>
      </c>
      <c r="B886" t="s">
        <v>21</v>
      </c>
      <c r="C886" s="4">
        <v>46098</v>
      </c>
      <c r="D886">
        <v>8.1999999999999993</v>
      </c>
      <c r="E886" t="s">
        <v>8</v>
      </c>
      <c r="F886" t="s">
        <v>9</v>
      </c>
    </row>
    <row r="887" spans="1:6">
      <c r="A887" t="s">
        <v>189</v>
      </c>
      <c r="B887" t="s">
        <v>96</v>
      </c>
      <c r="C887" s="4">
        <v>46007</v>
      </c>
      <c r="D887">
        <v>37.700000000000003</v>
      </c>
      <c r="E887" t="s">
        <v>8</v>
      </c>
      <c r="F887" t="s">
        <v>9</v>
      </c>
    </row>
    <row r="888" spans="1:6">
      <c r="A888" t="s">
        <v>62</v>
      </c>
      <c r="B888" t="s">
        <v>147</v>
      </c>
      <c r="C888" s="4">
        <v>46049</v>
      </c>
      <c r="D888">
        <v>7.4</v>
      </c>
      <c r="E888" t="s">
        <v>8</v>
      </c>
      <c r="F888" t="s">
        <v>9</v>
      </c>
    </row>
    <row r="889" spans="1:6">
      <c r="A889" t="s">
        <v>236</v>
      </c>
      <c r="B889" t="s">
        <v>151</v>
      </c>
      <c r="C889" s="4">
        <v>45867</v>
      </c>
      <c r="D889">
        <v>30.6</v>
      </c>
      <c r="E889" t="s">
        <v>8</v>
      </c>
      <c r="F889" t="s">
        <v>9</v>
      </c>
    </row>
    <row r="890" spans="1:6">
      <c r="A890" t="s">
        <v>306</v>
      </c>
      <c r="B890" t="s">
        <v>69</v>
      </c>
      <c r="C890" s="4">
        <v>46000</v>
      </c>
      <c r="D890">
        <v>46.1</v>
      </c>
      <c r="E890" t="s">
        <v>19</v>
      </c>
      <c r="F890" t="s">
        <v>12</v>
      </c>
    </row>
    <row r="891" spans="1:6">
      <c r="A891" t="s">
        <v>270</v>
      </c>
      <c r="B891" t="s">
        <v>283</v>
      </c>
      <c r="C891" s="4">
        <v>45979</v>
      </c>
      <c r="D891">
        <v>8.1</v>
      </c>
      <c r="E891" t="s">
        <v>30</v>
      </c>
      <c r="F891" t="s">
        <v>9</v>
      </c>
    </row>
    <row r="892" spans="1:6">
      <c r="A892" t="s">
        <v>64</v>
      </c>
      <c r="B892" t="s">
        <v>73</v>
      </c>
      <c r="C892" s="4">
        <v>45902</v>
      </c>
      <c r="D892">
        <v>29.5</v>
      </c>
      <c r="E892" t="s">
        <v>8</v>
      </c>
      <c r="F892" t="s">
        <v>9</v>
      </c>
    </row>
    <row r="893" spans="1:6">
      <c r="A893" t="s">
        <v>244</v>
      </c>
      <c r="B893" t="s">
        <v>301</v>
      </c>
      <c r="C893" s="4">
        <v>45923</v>
      </c>
      <c r="D893">
        <v>21.9</v>
      </c>
      <c r="E893" t="s">
        <v>19</v>
      </c>
      <c r="F893" t="s">
        <v>9</v>
      </c>
    </row>
    <row r="894" spans="1:6">
      <c r="A894" t="s">
        <v>47</v>
      </c>
      <c r="B894" t="s">
        <v>269</v>
      </c>
      <c r="C894" s="4">
        <v>45951</v>
      </c>
      <c r="D894">
        <v>-0.7</v>
      </c>
      <c r="E894" t="s">
        <v>30</v>
      </c>
      <c r="F894" t="s">
        <v>12</v>
      </c>
    </row>
    <row r="895" spans="1:6">
      <c r="A895" t="s">
        <v>65</v>
      </c>
      <c r="B895" t="s">
        <v>260</v>
      </c>
      <c r="C895" s="4">
        <v>46147</v>
      </c>
      <c r="D895">
        <v>7.8</v>
      </c>
      <c r="E895" t="s">
        <v>19</v>
      </c>
      <c r="F895" t="s">
        <v>9</v>
      </c>
    </row>
    <row r="896" spans="1:6">
      <c r="A896" t="s">
        <v>39</v>
      </c>
      <c r="B896" t="s">
        <v>76</v>
      </c>
      <c r="C896" s="4">
        <v>45965</v>
      </c>
      <c r="D896">
        <v>37.1</v>
      </c>
      <c r="E896" t="s">
        <v>8</v>
      </c>
      <c r="F896" t="s">
        <v>9</v>
      </c>
    </row>
    <row r="897" spans="1:6">
      <c r="A897" t="s">
        <v>222</v>
      </c>
      <c r="B897" t="s">
        <v>14</v>
      </c>
      <c r="C897" s="4">
        <v>45881</v>
      </c>
      <c r="D897">
        <v>45.5</v>
      </c>
      <c r="E897" t="s">
        <v>30</v>
      </c>
      <c r="F897" t="s">
        <v>12</v>
      </c>
    </row>
    <row r="898" spans="1:6">
      <c r="A898" t="s">
        <v>191</v>
      </c>
      <c r="B898" t="s">
        <v>211</v>
      </c>
      <c r="C898" s="4">
        <v>45839</v>
      </c>
      <c r="D898">
        <v>23.5</v>
      </c>
      <c r="E898" t="s">
        <v>8</v>
      </c>
      <c r="F898" t="s">
        <v>9</v>
      </c>
    </row>
    <row r="899" spans="1:6">
      <c r="A899" t="s">
        <v>237</v>
      </c>
      <c r="B899" t="s">
        <v>91</v>
      </c>
      <c r="C899" s="4">
        <v>45867</v>
      </c>
      <c r="D899">
        <v>30.4</v>
      </c>
      <c r="E899" t="s">
        <v>8</v>
      </c>
      <c r="F899" t="s">
        <v>9</v>
      </c>
    </row>
    <row r="900" spans="1:6">
      <c r="A900" t="s">
        <v>299</v>
      </c>
      <c r="B900" t="s">
        <v>159</v>
      </c>
      <c r="C900" s="4">
        <v>46147</v>
      </c>
      <c r="D900">
        <v>22.6</v>
      </c>
      <c r="E900" t="s">
        <v>30</v>
      </c>
      <c r="F900" t="s">
        <v>9</v>
      </c>
    </row>
    <row r="901" spans="1:6">
      <c r="A901" t="s">
        <v>257</v>
      </c>
      <c r="B901" t="s">
        <v>147</v>
      </c>
      <c r="C901" s="4">
        <v>46112</v>
      </c>
      <c r="D901">
        <v>-0.3</v>
      </c>
      <c r="E901" t="s">
        <v>8</v>
      </c>
      <c r="F901" t="s">
        <v>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1"/>
  <sheetViews>
    <sheetView workbookViewId="0">
      <selection activeCell="B18" sqref="B18"/>
    </sheetView>
  </sheetViews>
  <sheetFormatPr baseColWidth="10" defaultColWidth="8.83203125" defaultRowHeight="15"/>
  <cols>
    <col min="1" max="1" width="10.5" customWidth="1"/>
    <col min="2" max="2" width="9.1640625" customWidth="1"/>
    <col min="3" max="3" width="12.6640625" customWidth="1"/>
    <col min="4" max="4" width="8.5" customWidth="1"/>
    <col min="5" max="5" width="9.1640625" customWidth="1"/>
    <col min="6" max="6" width="14.83203125" customWidth="1"/>
  </cols>
  <sheetData>
    <row r="1" spans="1:6" ht="15" customHeight="1">
      <c r="A1" s="3" t="s">
        <v>2279</v>
      </c>
      <c r="B1" s="3" t="s">
        <v>1</v>
      </c>
      <c r="C1" s="3" t="s">
        <v>2280</v>
      </c>
      <c r="D1" s="3" t="s">
        <v>1604</v>
      </c>
      <c r="E1" s="3" t="s">
        <v>2281</v>
      </c>
      <c r="F1" s="3" t="s">
        <v>2282</v>
      </c>
    </row>
    <row r="2" spans="1:6">
      <c r="A2" t="s">
        <v>2283</v>
      </c>
      <c r="B2" t="s">
        <v>283</v>
      </c>
      <c r="C2" s="4">
        <v>46041</v>
      </c>
      <c r="D2" s="5">
        <v>93050.36</v>
      </c>
      <c r="E2" t="s">
        <v>2284</v>
      </c>
      <c r="F2" t="s">
        <v>2285</v>
      </c>
    </row>
    <row r="3" spans="1:6">
      <c r="A3" t="s">
        <v>2286</v>
      </c>
      <c r="B3" t="s">
        <v>164</v>
      </c>
      <c r="C3" s="4">
        <v>46110</v>
      </c>
      <c r="D3" s="5">
        <v>123340.69</v>
      </c>
      <c r="E3" t="s">
        <v>2284</v>
      </c>
      <c r="F3" t="s">
        <v>320</v>
      </c>
    </row>
    <row r="4" spans="1:6">
      <c r="A4" t="s">
        <v>2287</v>
      </c>
      <c r="B4" t="s">
        <v>23</v>
      </c>
      <c r="C4" s="4">
        <v>45983</v>
      </c>
      <c r="D4" s="5">
        <v>225276.35</v>
      </c>
      <c r="E4" t="s">
        <v>2284</v>
      </c>
      <c r="F4" t="s">
        <v>320</v>
      </c>
    </row>
    <row r="5" spans="1:6">
      <c r="A5" t="s">
        <v>2288</v>
      </c>
      <c r="B5" t="s">
        <v>211</v>
      </c>
      <c r="C5" s="4">
        <v>46096</v>
      </c>
      <c r="D5" s="5">
        <v>74689.56</v>
      </c>
      <c r="E5" t="s">
        <v>2284</v>
      </c>
      <c r="F5" t="s">
        <v>320</v>
      </c>
    </row>
    <row r="6" spans="1:6">
      <c r="A6" t="s">
        <v>2289</v>
      </c>
      <c r="B6" t="s">
        <v>121</v>
      </c>
      <c r="C6" s="4">
        <v>46023</v>
      </c>
      <c r="D6" s="5">
        <v>215689.17</v>
      </c>
      <c r="E6" t="s">
        <v>2284</v>
      </c>
      <c r="F6" t="s">
        <v>320</v>
      </c>
    </row>
    <row r="7" spans="1:6">
      <c r="A7" t="s">
        <v>2290</v>
      </c>
      <c r="B7" t="s">
        <v>171</v>
      </c>
      <c r="C7" s="4">
        <v>45863</v>
      </c>
      <c r="D7" s="5">
        <v>123549.16</v>
      </c>
      <c r="E7" t="s">
        <v>2284</v>
      </c>
      <c r="F7" t="s">
        <v>2285</v>
      </c>
    </row>
    <row r="8" spans="1:6">
      <c r="A8" t="s">
        <v>2291</v>
      </c>
      <c r="B8" t="s">
        <v>16</v>
      </c>
      <c r="C8" s="4">
        <v>45957</v>
      </c>
      <c r="D8" s="5">
        <v>377557.09</v>
      </c>
      <c r="E8" t="s">
        <v>2284</v>
      </c>
      <c r="F8" t="s">
        <v>2292</v>
      </c>
    </row>
    <row r="9" spans="1:6">
      <c r="A9" t="s">
        <v>2293</v>
      </c>
      <c r="B9" t="s">
        <v>14</v>
      </c>
      <c r="C9" s="4">
        <v>46063</v>
      </c>
      <c r="D9" s="5">
        <v>125653.52</v>
      </c>
      <c r="E9" t="s">
        <v>2284</v>
      </c>
      <c r="F9" t="s">
        <v>320</v>
      </c>
    </row>
    <row r="10" spans="1:6">
      <c r="A10" t="s">
        <v>2294</v>
      </c>
      <c r="B10" t="s">
        <v>80</v>
      </c>
      <c r="C10" s="4">
        <v>46065</v>
      </c>
      <c r="D10" s="5">
        <v>31175.5</v>
      </c>
      <c r="E10" t="s">
        <v>2284</v>
      </c>
      <c r="F10" t="s">
        <v>320</v>
      </c>
    </row>
    <row r="11" spans="1:6">
      <c r="A11" t="s">
        <v>2295</v>
      </c>
      <c r="B11" t="s">
        <v>25</v>
      </c>
      <c r="C11" s="4">
        <v>45883</v>
      </c>
      <c r="D11" s="5">
        <v>255118.52</v>
      </c>
      <c r="E11" t="s">
        <v>2284</v>
      </c>
      <c r="F11" t="s">
        <v>320</v>
      </c>
    </row>
    <row r="12" spans="1:6">
      <c r="A12" t="s">
        <v>2296</v>
      </c>
      <c r="B12" t="s">
        <v>67</v>
      </c>
      <c r="C12" s="4">
        <v>46034</v>
      </c>
      <c r="D12" s="5">
        <v>297741.88</v>
      </c>
      <c r="E12" t="s">
        <v>2284</v>
      </c>
      <c r="F12" t="s">
        <v>320</v>
      </c>
    </row>
    <row r="13" spans="1:6">
      <c r="A13" t="s">
        <v>2297</v>
      </c>
      <c r="B13" t="s">
        <v>147</v>
      </c>
      <c r="C13" s="4">
        <v>46081</v>
      </c>
      <c r="D13" s="5">
        <v>160407.51999999999</v>
      </c>
      <c r="E13" t="s">
        <v>2284</v>
      </c>
      <c r="F13" t="s">
        <v>320</v>
      </c>
    </row>
    <row r="14" spans="1:6">
      <c r="A14" t="s">
        <v>2298</v>
      </c>
      <c r="B14" t="s">
        <v>298</v>
      </c>
      <c r="C14" s="4">
        <v>46081</v>
      </c>
      <c r="D14" s="5">
        <v>53732.72</v>
      </c>
      <c r="E14" t="s">
        <v>2284</v>
      </c>
      <c r="F14" t="s">
        <v>320</v>
      </c>
    </row>
    <row r="15" spans="1:6">
      <c r="A15" t="s">
        <v>2299</v>
      </c>
      <c r="B15" t="s">
        <v>144</v>
      </c>
      <c r="C15" s="4">
        <v>45997</v>
      </c>
      <c r="D15" s="5">
        <v>481170.1</v>
      </c>
      <c r="E15" t="s">
        <v>2284</v>
      </c>
      <c r="F15" t="s">
        <v>2285</v>
      </c>
    </row>
    <row r="16" spans="1:6">
      <c r="A16" t="s">
        <v>2300</v>
      </c>
      <c r="B16" t="s">
        <v>91</v>
      </c>
      <c r="C16" s="4">
        <v>45965</v>
      </c>
      <c r="D16" s="5">
        <v>76623.850000000006</v>
      </c>
      <c r="E16" t="s">
        <v>2284</v>
      </c>
      <c r="F16" t="s">
        <v>2285</v>
      </c>
    </row>
    <row r="17" spans="1:6">
      <c r="A17" t="s">
        <v>2301</v>
      </c>
      <c r="B17" t="s">
        <v>223</v>
      </c>
      <c r="C17" s="4">
        <v>45918</v>
      </c>
      <c r="D17" s="5">
        <v>105721.77</v>
      </c>
      <c r="E17" t="s">
        <v>2284</v>
      </c>
      <c r="F17" t="s">
        <v>320</v>
      </c>
    </row>
    <row r="18" spans="1:6">
      <c r="A18" t="s">
        <v>2302</v>
      </c>
      <c r="B18" t="s">
        <v>99</v>
      </c>
      <c r="C18" s="4">
        <v>45917</v>
      </c>
      <c r="D18" s="5">
        <v>274775.65999999997</v>
      </c>
      <c r="E18" t="s">
        <v>2284</v>
      </c>
      <c r="F18" t="s">
        <v>320</v>
      </c>
    </row>
    <row r="19" spans="1:6">
      <c r="A19" t="s">
        <v>2303</v>
      </c>
      <c r="B19" t="s">
        <v>25</v>
      </c>
      <c r="C19" s="4">
        <v>45894</v>
      </c>
      <c r="D19" s="5">
        <v>139808.01</v>
      </c>
      <c r="E19" t="s">
        <v>2284</v>
      </c>
      <c r="F19" t="s">
        <v>320</v>
      </c>
    </row>
    <row r="20" spans="1:6">
      <c r="A20" t="s">
        <v>2304</v>
      </c>
      <c r="B20" t="s">
        <v>23</v>
      </c>
      <c r="C20" s="4">
        <v>45983</v>
      </c>
      <c r="D20" s="5">
        <v>157625.71</v>
      </c>
      <c r="E20" t="s">
        <v>2284</v>
      </c>
      <c r="F20" t="s">
        <v>320</v>
      </c>
    </row>
    <row r="21" spans="1:6">
      <c r="A21" t="s">
        <v>2305</v>
      </c>
      <c r="B21" t="s">
        <v>34</v>
      </c>
      <c r="C21" s="4">
        <v>46004</v>
      </c>
      <c r="D21" s="5">
        <v>29945.599999999999</v>
      </c>
      <c r="E21" t="s">
        <v>2284</v>
      </c>
      <c r="F21" t="s">
        <v>320</v>
      </c>
    </row>
    <row r="22" spans="1:6">
      <c r="A22" t="s">
        <v>2306</v>
      </c>
      <c r="B22" t="s">
        <v>43</v>
      </c>
      <c r="C22" s="4">
        <v>45987</v>
      </c>
      <c r="D22" s="5">
        <v>32929.870000000003</v>
      </c>
      <c r="E22" t="s">
        <v>2284</v>
      </c>
      <c r="F22" t="s">
        <v>320</v>
      </c>
    </row>
    <row r="23" spans="1:6">
      <c r="A23" t="s">
        <v>2307</v>
      </c>
      <c r="B23" t="s">
        <v>80</v>
      </c>
      <c r="C23" s="4">
        <v>46063</v>
      </c>
      <c r="D23" s="5">
        <v>9613.6299999999992</v>
      </c>
      <c r="E23" t="s">
        <v>2284</v>
      </c>
      <c r="F23" t="s">
        <v>320</v>
      </c>
    </row>
    <row r="24" spans="1:6">
      <c r="A24" t="s">
        <v>2308</v>
      </c>
      <c r="B24" t="s">
        <v>142</v>
      </c>
      <c r="C24" s="4">
        <v>45934</v>
      </c>
      <c r="D24" s="5">
        <v>254093.37</v>
      </c>
      <c r="E24" t="s">
        <v>2284</v>
      </c>
      <c r="F24" t="s">
        <v>2285</v>
      </c>
    </row>
    <row r="25" spans="1:6">
      <c r="A25" t="s">
        <v>2309</v>
      </c>
      <c r="B25" t="s">
        <v>25</v>
      </c>
      <c r="C25" s="4">
        <v>45907</v>
      </c>
      <c r="D25" s="5">
        <v>246136.31</v>
      </c>
      <c r="E25" t="s">
        <v>2284</v>
      </c>
      <c r="F25" t="s">
        <v>320</v>
      </c>
    </row>
    <row r="26" spans="1:6">
      <c r="A26" t="s">
        <v>2310</v>
      </c>
      <c r="B26" t="s">
        <v>133</v>
      </c>
      <c r="C26" s="4">
        <v>45881</v>
      </c>
      <c r="D26" s="5">
        <v>50100.4</v>
      </c>
      <c r="E26" t="s">
        <v>2284</v>
      </c>
      <c r="F26" t="s">
        <v>320</v>
      </c>
    </row>
    <row r="27" spans="1:6">
      <c r="A27" t="s">
        <v>2311</v>
      </c>
      <c r="B27" t="s">
        <v>11</v>
      </c>
      <c r="C27" s="4">
        <v>45851</v>
      </c>
      <c r="D27" s="5">
        <v>381783.29</v>
      </c>
      <c r="E27" t="s">
        <v>2284</v>
      </c>
      <c r="F27" t="s">
        <v>320</v>
      </c>
    </row>
    <row r="28" spans="1:6">
      <c r="A28" t="s">
        <v>2312</v>
      </c>
      <c r="B28" t="s">
        <v>84</v>
      </c>
      <c r="C28" s="4">
        <v>45963</v>
      </c>
      <c r="D28" s="5">
        <v>420379.48</v>
      </c>
      <c r="E28" t="s">
        <v>2284</v>
      </c>
      <c r="F28" t="s">
        <v>2285</v>
      </c>
    </row>
    <row r="29" spans="1:6">
      <c r="A29" t="s">
        <v>2313</v>
      </c>
      <c r="B29" t="s">
        <v>133</v>
      </c>
      <c r="C29" s="4">
        <v>45886</v>
      </c>
      <c r="D29" s="5">
        <v>171376.67</v>
      </c>
      <c r="E29" t="s">
        <v>2284</v>
      </c>
      <c r="F29" t="s">
        <v>320</v>
      </c>
    </row>
    <row r="30" spans="1:6">
      <c r="A30" t="s">
        <v>2314</v>
      </c>
      <c r="B30" t="s">
        <v>273</v>
      </c>
      <c r="C30" s="4">
        <v>45916</v>
      </c>
      <c r="D30" s="5">
        <v>267946.33</v>
      </c>
      <c r="E30" t="s">
        <v>2284</v>
      </c>
      <c r="F30" t="s">
        <v>320</v>
      </c>
    </row>
    <row r="31" spans="1:6">
      <c r="A31" t="s">
        <v>2315</v>
      </c>
      <c r="B31" t="s">
        <v>97</v>
      </c>
      <c r="C31" s="4">
        <v>45897</v>
      </c>
      <c r="D31" s="5">
        <v>141594.21</v>
      </c>
      <c r="E31" t="s">
        <v>2284</v>
      </c>
      <c r="F31" t="s">
        <v>320</v>
      </c>
    </row>
    <row r="32" spans="1:6">
      <c r="A32" t="s">
        <v>2316</v>
      </c>
      <c r="B32" t="s">
        <v>192</v>
      </c>
      <c r="C32" s="4">
        <v>45870</v>
      </c>
      <c r="D32" s="5">
        <v>60682.67</v>
      </c>
      <c r="E32" t="s">
        <v>2284</v>
      </c>
      <c r="F32" t="s">
        <v>320</v>
      </c>
    </row>
    <row r="33" spans="1:6">
      <c r="A33" t="s">
        <v>2317</v>
      </c>
      <c r="B33" t="s">
        <v>190</v>
      </c>
      <c r="C33" s="4">
        <v>45965</v>
      </c>
      <c r="D33" s="5">
        <v>118468.76</v>
      </c>
      <c r="E33" t="s">
        <v>2284</v>
      </c>
      <c r="F33" t="s">
        <v>320</v>
      </c>
    </row>
    <row r="34" spans="1:6">
      <c r="A34" t="s">
        <v>2318</v>
      </c>
      <c r="B34" t="s">
        <v>298</v>
      </c>
      <c r="C34" s="4">
        <v>46086</v>
      </c>
      <c r="D34" s="5">
        <v>368728.51</v>
      </c>
      <c r="E34" t="s">
        <v>2284</v>
      </c>
      <c r="F34" t="s">
        <v>320</v>
      </c>
    </row>
    <row r="35" spans="1:6">
      <c r="A35" t="s">
        <v>2319</v>
      </c>
      <c r="B35" t="s">
        <v>247</v>
      </c>
      <c r="C35" s="4">
        <v>46070</v>
      </c>
      <c r="D35" s="5">
        <v>119361.17</v>
      </c>
      <c r="E35" t="s">
        <v>2284</v>
      </c>
      <c r="F35" t="s">
        <v>320</v>
      </c>
    </row>
    <row r="36" spans="1:6">
      <c r="A36" t="s">
        <v>2320</v>
      </c>
      <c r="B36" t="s">
        <v>301</v>
      </c>
      <c r="C36" s="4">
        <v>46096</v>
      </c>
      <c r="D36" s="5">
        <v>239904.97</v>
      </c>
      <c r="E36" t="s">
        <v>2284</v>
      </c>
      <c r="F36" t="s">
        <v>2285</v>
      </c>
    </row>
    <row r="37" spans="1:6">
      <c r="A37" t="s">
        <v>2321</v>
      </c>
      <c r="B37" t="s">
        <v>190</v>
      </c>
      <c r="C37" s="4">
        <v>45958</v>
      </c>
      <c r="D37" s="5">
        <v>254389.86</v>
      </c>
      <c r="E37" t="s">
        <v>2284</v>
      </c>
      <c r="F37" t="s">
        <v>320</v>
      </c>
    </row>
    <row r="38" spans="1:6">
      <c r="A38" t="s">
        <v>2322</v>
      </c>
      <c r="B38" t="s">
        <v>147</v>
      </c>
      <c r="C38" s="4">
        <v>46078</v>
      </c>
      <c r="D38" s="5">
        <v>37443.53</v>
      </c>
      <c r="E38" t="s">
        <v>2284</v>
      </c>
      <c r="F38" t="s">
        <v>320</v>
      </c>
    </row>
    <row r="39" spans="1:6">
      <c r="A39" t="s">
        <v>2323</v>
      </c>
      <c r="B39" t="s">
        <v>215</v>
      </c>
      <c r="C39" s="4">
        <v>46062</v>
      </c>
      <c r="D39" s="5">
        <v>276199.99</v>
      </c>
      <c r="E39" t="s">
        <v>2284</v>
      </c>
      <c r="F39" t="s">
        <v>320</v>
      </c>
    </row>
    <row r="40" spans="1:6">
      <c r="A40" t="s">
        <v>2324</v>
      </c>
      <c r="B40" t="s">
        <v>185</v>
      </c>
      <c r="C40" s="4">
        <v>45944</v>
      </c>
      <c r="D40" s="5">
        <v>184174.87</v>
      </c>
      <c r="E40" t="s">
        <v>2284</v>
      </c>
      <c r="F40" t="s">
        <v>320</v>
      </c>
    </row>
    <row r="41" spans="1:6">
      <c r="A41" t="s">
        <v>2325</v>
      </c>
      <c r="B41" t="s">
        <v>40</v>
      </c>
      <c r="C41" s="4">
        <v>46005</v>
      </c>
      <c r="D41" s="5">
        <v>380854.9</v>
      </c>
      <c r="E41" t="s">
        <v>2284</v>
      </c>
      <c r="F41" t="s">
        <v>320</v>
      </c>
    </row>
    <row r="42" spans="1:6">
      <c r="A42" t="s">
        <v>2326</v>
      </c>
      <c r="B42" t="s">
        <v>253</v>
      </c>
      <c r="C42" s="4">
        <v>45991</v>
      </c>
      <c r="D42" s="5">
        <v>53132.35</v>
      </c>
      <c r="E42" t="s">
        <v>2284</v>
      </c>
      <c r="F42" t="s">
        <v>320</v>
      </c>
    </row>
    <row r="43" spans="1:6">
      <c r="A43" t="s">
        <v>2327</v>
      </c>
      <c r="B43" t="s">
        <v>190</v>
      </c>
      <c r="C43" s="4">
        <v>45962</v>
      </c>
      <c r="D43" s="5">
        <v>310209.45</v>
      </c>
      <c r="E43" t="s">
        <v>2284</v>
      </c>
      <c r="F43" t="s">
        <v>320</v>
      </c>
    </row>
    <row r="44" spans="1:6">
      <c r="A44" t="s">
        <v>2328</v>
      </c>
      <c r="B44" t="s">
        <v>66</v>
      </c>
      <c r="C44" s="4">
        <v>45910</v>
      </c>
      <c r="D44" s="5">
        <v>513693.74</v>
      </c>
      <c r="E44" t="s">
        <v>2284</v>
      </c>
      <c r="F44" t="s">
        <v>2292</v>
      </c>
    </row>
    <row r="45" spans="1:6">
      <c r="A45" t="s">
        <v>2329</v>
      </c>
      <c r="B45" t="s">
        <v>171</v>
      </c>
      <c r="C45" s="4">
        <v>45859</v>
      </c>
      <c r="D45" s="5">
        <v>135639.82999999999</v>
      </c>
      <c r="E45" t="s">
        <v>2284</v>
      </c>
      <c r="F45" t="s">
        <v>320</v>
      </c>
    </row>
    <row r="46" spans="1:6">
      <c r="A46" t="s">
        <v>2330</v>
      </c>
      <c r="B46" t="s">
        <v>262</v>
      </c>
      <c r="C46" s="4">
        <v>46107</v>
      </c>
      <c r="D46" s="5">
        <v>11574.29</v>
      </c>
      <c r="E46" t="s">
        <v>2284</v>
      </c>
      <c r="F46" t="s">
        <v>320</v>
      </c>
    </row>
    <row r="47" spans="1:6">
      <c r="A47" t="s">
        <v>2331</v>
      </c>
      <c r="B47" t="s">
        <v>173</v>
      </c>
      <c r="C47" s="4">
        <v>45985</v>
      </c>
      <c r="D47" s="5">
        <v>160940.43</v>
      </c>
      <c r="E47" t="s">
        <v>2284</v>
      </c>
      <c r="F47" t="s">
        <v>320</v>
      </c>
    </row>
    <row r="48" spans="1:6">
      <c r="A48" t="s">
        <v>2332</v>
      </c>
      <c r="B48" t="s">
        <v>228</v>
      </c>
      <c r="C48" s="4">
        <v>45904</v>
      </c>
      <c r="D48" s="5">
        <v>322975.3</v>
      </c>
      <c r="E48" t="s">
        <v>2284</v>
      </c>
      <c r="F48" t="s">
        <v>2285</v>
      </c>
    </row>
    <row r="49" spans="1:6">
      <c r="A49" t="s">
        <v>2333</v>
      </c>
      <c r="B49" t="s">
        <v>87</v>
      </c>
      <c r="C49" s="4">
        <v>45983</v>
      </c>
      <c r="D49" s="5">
        <v>91369.35</v>
      </c>
      <c r="E49" t="s">
        <v>2284</v>
      </c>
      <c r="F49" t="s">
        <v>320</v>
      </c>
    </row>
    <row r="50" spans="1:6">
      <c r="A50" t="s">
        <v>2334</v>
      </c>
      <c r="B50" t="s">
        <v>286</v>
      </c>
      <c r="C50" s="4">
        <v>46086</v>
      </c>
      <c r="D50" s="5">
        <v>112864.22</v>
      </c>
      <c r="E50" t="s">
        <v>2284</v>
      </c>
      <c r="F50" t="s">
        <v>2285</v>
      </c>
    </row>
    <row r="51" spans="1:6">
      <c r="A51" t="s">
        <v>2335</v>
      </c>
      <c r="B51" t="s">
        <v>94</v>
      </c>
      <c r="C51" s="4">
        <v>46062</v>
      </c>
      <c r="D51" s="5">
        <v>562898.87</v>
      </c>
      <c r="E51" t="s">
        <v>2284</v>
      </c>
      <c r="F51" t="s">
        <v>320</v>
      </c>
    </row>
    <row r="52" spans="1:6">
      <c r="A52" t="s">
        <v>2336</v>
      </c>
      <c r="B52" t="s">
        <v>74</v>
      </c>
      <c r="C52" s="4">
        <v>45875</v>
      </c>
      <c r="D52" s="5">
        <v>62574.04</v>
      </c>
      <c r="E52" t="s">
        <v>2284</v>
      </c>
      <c r="F52" t="s">
        <v>320</v>
      </c>
    </row>
    <row r="53" spans="1:6">
      <c r="A53" t="s">
        <v>2337</v>
      </c>
      <c r="B53" t="s">
        <v>110</v>
      </c>
      <c r="C53" s="4">
        <v>45992</v>
      </c>
      <c r="D53" s="5">
        <v>391200.12</v>
      </c>
      <c r="E53" t="s">
        <v>2284</v>
      </c>
      <c r="F53" t="s">
        <v>320</v>
      </c>
    </row>
    <row r="54" spans="1:6">
      <c r="A54" t="s">
        <v>2338</v>
      </c>
      <c r="B54" t="s">
        <v>192</v>
      </c>
      <c r="C54" s="4">
        <v>45871</v>
      </c>
      <c r="D54" s="5">
        <v>19784.259999999998</v>
      </c>
      <c r="E54" t="s">
        <v>2284</v>
      </c>
      <c r="F54" t="s">
        <v>320</v>
      </c>
    </row>
    <row r="55" spans="1:6">
      <c r="A55" t="s">
        <v>2339</v>
      </c>
      <c r="B55" t="s">
        <v>34</v>
      </c>
      <c r="C55" s="4">
        <v>45984</v>
      </c>
      <c r="D55" s="5">
        <v>50212.51</v>
      </c>
      <c r="E55" t="s">
        <v>2284</v>
      </c>
      <c r="F55" t="s">
        <v>320</v>
      </c>
    </row>
    <row r="56" spans="1:6">
      <c r="A56" t="s">
        <v>2340</v>
      </c>
      <c r="B56" t="s">
        <v>188</v>
      </c>
      <c r="C56" s="4">
        <v>46003</v>
      </c>
      <c r="D56" s="5">
        <v>112792.29</v>
      </c>
      <c r="E56" t="s">
        <v>2284</v>
      </c>
      <c r="F56" t="s">
        <v>320</v>
      </c>
    </row>
    <row r="57" spans="1:6">
      <c r="A57" t="s">
        <v>2341</v>
      </c>
      <c r="B57" t="s">
        <v>112</v>
      </c>
      <c r="C57" s="4">
        <v>45976</v>
      </c>
      <c r="D57" s="5">
        <v>28175.77</v>
      </c>
      <c r="E57" t="s">
        <v>2284</v>
      </c>
      <c r="F57" t="s">
        <v>320</v>
      </c>
    </row>
    <row r="58" spans="1:6">
      <c r="A58" t="s">
        <v>2342</v>
      </c>
      <c r="B58" t="s">
        <v>194</v>
      </c>
      <c r="C58" s="4">
        <v>46085</v>
      </c>
      <c r="D58" s="5">
        <v>274717.36</v>
      </c>
      <c r="E58" t="s">
        <v>2284</v>
      </c>
      <c r="F58" t="s">
        <v>320</v>
      </c>
    </row>
    <row r="59" spans="1:6">
      <c r="A59" t="s">
        <v>2343</v>
      </c>
      <c r="B59" t="s">
        <v>144</v>
      </c>
      <c r="C59" s="4">
        <v>45989</v>
      </c>
      <c r="D59" s="5">
        <v>405574.97</v>
      </c>
      <c r="E59" t="s">
        <v>2284</v>
      </c>
      <c r="F59" t="s">
        <v>320</v>
      </c>
    </row>
    <row r="60" spans="1:6">
      <c r="A60" t="s">
        <v>2344</v>
      </c>
      <c r="B60" t="s">
        <v>36</v>
      </c>
      <c r="C60" s="4">
        <v>46087</v>
      </c>
      <c r="D60" s="5">
        <v>212449.01</v>
      </c>
      <c r="E60" t="s">
        <v>2284</v>
      </c>
      <c r="F60" t="s">
        <v>320</v>
      </c>
    </row>
    <row r="61" spans="1:6">
      <c r="A61" t="s">
        <v>2345</v>
      </c>
      <c r="B61" t="s">
        <v>66</v>
      </c>
      <c r="C61" s="4">
        <v>45914</v>
      </c>
      <c r="D61" s="5">
        <v>217968.83</v>
      </c>
      <c r="E61" t="s">
        <v>2284</v>
      </c>
      <c r="F61" t="s">
        <v>320</v>
      </c>
    </row>
    <row r="62" spans="1:6">
      <c r="A62" t="s">
        <v>2346</v>
      </c>
      <c r="B62" t="s">
        <v>99</v>
      </c>
      <c r="C62" s="4">
        <v>45943</v>
      </c>
      <c r="D62" s="5">
        <v>258449.22</v>
      </c>
      <c r="E62" t="s">
        <v>2284</v>
      </c>
      <c r="F62" t="s">
        <v>320</v>
      </c>
    </row>
    <row r="63" spans="1:6">
      <c r="A63" t="s">
        <v>2347</v>
      </c>
      <c r="B63" t="s">
        <v>192</v>
      </c>
      <c r="C63" s="4">
        <v>45884</v>
      </c>
      <c r="D63" s="5">
        <v>97638.23</v>
      </c>
      <c r="E63" t="s">
        <v>2284</v>
      </c>
      <c r="F63" t="s">
        <v>320</v>
      </c>
    </row>
    <row r="64" spans="1:6">
      <c r="A64" t="s">
        <v>2348</v>
      </c>
      <c r="B64" t="s">
        <v>94</v>
      </c>
      <c r="C64" s="4">
        <v>46083</v>
      </c>
      <c r="D64" s="5">
        <v>186686.97</v>
      </c>
      <c r="E64" t="s">
        <v>2284</v>
      </c>
      <c r="F64" t="s">
        <v>320</v>
      </c>
    </row>
    <row r="65" spans="1:6">
      <c r="A65" t="s">
        <v>2349</v>
      </c>
      <c r="B65" t="s">
        <v>71</v>
      </c>
      <c r="C65" s="4">
        <v>45884</v>
      </c>
      <c r="D65" s="5">
        <v>22475.759999999998</v>
      </c>
      <c r="E65" t="s">
        <v>2284</v>
      </c>
      <c r="F65" t="s">
        <v>320</v>
      </c>
    </row>
    <row r="66" spans="1:6">
      <c r="A66" t="s">
        <v>2350</v>
      </c>
      <c r="B66" t="s">
        <v>112</v>
      </c>
      <c r="C66" s="4">
        <v>45969</v>
      </c>
      <c r="D66" s="5">
        <v>16210.55</v>
      </c>
      <c r="E66" t="s">
        <v>2284</v>
      </c>
      <c r="F66" t="s">
        <v>320</v>
      </c>
    </row>
    <row r="67" spans="1:6">
      <c r="A67" t="s">
        <v>2351</v>
      </c>
      <c r="B67" t="s">
        <v>87</v>
      </c>
      <c r="C67" s="4">
        <v>45987</v>
      </c>
      <c r="D67" s="5">
        <v>41770.99</v>
      </c>
      <c r="E67" t="s">
        <v>2284</v>
      </c>
      <c r="F67" t="s">
        <v>320</v>
      </c>
    </row>
    <row r="68" spans="1:6">
      <c r="A68" t="s">
        <v>2352</v>
      </c>
      <c r="B68" t="s">
        <v>94</v>
      </c>
      <c r="C68" s="4">
        <v>46082</v>
      </c>
      <c r="D68" s="5">
        <v>123851.19</v>
      </c>
      <c r="E68" t="s">
        <v>2284</v>
      </c>
      <c r="F68" t="s">
        <v>320</v>
      </c>
    </row>
    <row r="69" spans="1:6">
      <c r="A69" t="s">
        <v>2353</v>
      </c>
      <c r="B69" t="s">
        <v>112</v>
      </c>
      <c r="C69" s="4">
        <v>45985</v>
      </c>
      <c r="D69" s="5">
        <v>8034.09</v>
      </c>
      <c r="E69" t="s">
        <v>2284</v>
      </c>
      <c r="F69" t="s">
        <v>320</v>
      </c>
    </row>
    <row r="70" spans="1:6">
      <c r="A70" t="s">
        <v>2354</v>
      </c>
      <c r="B70" t="s">
        <v>105</v>
      </c>
      <c r="C70" s="4">
        <v>45988</v>
      </c>
      <c r="D70" s="5">
        <v>580770.16</v>
      </c>
      <c r="E70" t="s">
        <v>2284</v>
      </c>
      <c r="F70" t="s">
        <v>320</v>
      </c>
    </row>
    <row r="71" spans="1:6">
      <c r="A71" t="s">
        <v>2355</v>
      </c>
      <c r="B71" t="s">
        <v>40</v>
      </c>
      <c r="C71" s="4">
        <v>45995</v>
      </c>
      <c r="D71" s="5">
        <v>426689.15</v>
      </c>
      <c r="E71" t="s">
        <v>2284</v>
      </c>
      <c r="F71" t="s">
        <v>320</v>
      </c>
    </row>
    <row r="72" spans="1:6">
      <c r="A72" t="s">
        <v>2356</v>
      </c>
      <c r="B72" t="s">
        <v>57</v>
      </c>
      <c r="C72" s="4">
        <v>45897</v>
      </c>
      <c r="D72" s="5">
        <v>153698.23000000001</v>
      </c>
      <c r="E72" t="s">
        <v>2284</v>
      </c>
      <c r="F72" t="s">
        <v>320</v>
      </c>
    </row>
    <row r="73" spans="1:6">
      <c r="A73" t="s">
        <v>2357</v>
      </c>
      <c r="B73" t="s">
        <v>281</v>
      </c>
      <c r="C73" s="4">
        <v>46034</v>
      </c>
      <c r="D73" s="5">
        <v>328406.36</v>
      </c>
      <c r="E73" t="s">
        <v>2284</v>
      </c>
      <c r="F73" t="s">
        <v>320</v>
      </c>
    </row>
    <row r="74" spans="1:6">
      <c r="A74" t="s">
        <v>2358</v>
      </c>
      <c r="B74" t="s">
        <v>106</v>
      </c>
      <c r="C74" s="4">
        <v>46004</v>
      </c>
      <c r="D74" s="5">
        <v>17533.009999999998</v>
      </c>
      <c r="E74" t="s">
        <v>2284</v>
      </c>
      <c r="F74" t="s">
        <v>2285</v>
      </c>
    </row>
    <row r="75" spans="1:6">
      <c r="A75" t="s">
        <v>2359</v>
      </c>
      <c r="B75" t="s">
        <v>82</v>
      </c>
      <c r="C75" s="4">
        <v>46124</v>
      </c>
      <c r="D75" s="5">
        <v>341097.87</v>
      </c>
      <c r="E75" t="s">
        <v>2284</v>
      </c>
      <c r="F75" t="s">
        <v>320</v>
      </c>
    </row>
    <row r="76" spans="1:6">
      <c r="A76" t="s">
        <v>2360</v>
      </c>
      <c r="B76" t="s">
        <v>127</v>
      </c>
      <c r="C76" s="4">
        <v>45873</v>
      </c>
      <c r="D76" s="5">
        <v>115949.48</v>
      </c>
      <c r="E76" t="s">
        <v>2284</v>
      </c>
      <c r="F76" t="s">
        <v>320</v>
      </c>
    </row>
    <row r="77" spans="1:6">
      <c r="A77" t="s">
        <v>2361</v>
      </c>
      <c r="B77" t="s">
        <v>162</v>
      </c>
      <c r="C77" s="4">
        <v>45880</v>
      </c>
      <c r="D77" s="5">
        <v>38052.14</v>
      </c>
      <c r="E77" t="s">
        <v>2284</v>
      </c>
      <c r="F77" t="s">
        <v>2292</v>
      </c>
    </row>
    <row r="78" spans="1:6">
      <c r="A78" t="s">
        <v>2362</v>
      </c>
      <c r="B78" t="s">
        <v>57</v>
      </c>
      <c r="C78" s="4">
        <v>45911</v>
      </c>
      <c r="D78" s="5">
        <v>114413.47</v>
      </c>
      <c r="E78" t="s">
        <v>2284</v>
      </c>
      <c r="F78" t="s">
        <v>2292</v>
      </c>
    </row>
    <row r="79" spans="1:6">
      <c r="A79" t="s">
        <v>2363</v>
      </c>
      <c r="B79" t="s">
        <v>23</v>
      </c>
      <c r="C79" s="4">
        <v>45960</v>
      </c>
      <c r="D79" s="5">
        <v>59294.48</v>
      </c>
      <c r="E79" t="s">
        <v>2284</v>
      </c>
      <c r="F79" t="s">
        <v>320</v>
      </c>
    </row>
    <row r="80" spans="1:6">
      <c r="A80" t="s">
        <v>2364</v>
      </c>
      <c r="B80" t="s">
        <v>298</v>
      </c>
      <c r="C80" s="4">
        <v>46088</v>
      </c>
      <c r="D80" s="5">
        <v>319131.27</v>
      </c>
      <c r="E80" t="s">
        <v>2284</v>
      </c>
      <c r="F80" t="s">
        <v>320</v>
      </c>
    </row>
    <row r="81" spans="1:6">
      <c r="A81" t="s">
        <v>2365</v>
      </c>
      <c r="B81" t="s">
        <v>99</v>
      </c>
      <c r="C81" s="4">
        <v>45939</v>
      </c>
      <c r="D81" s="5">
        <v>339847.1</v>
      </c>
      <c r="E81" t="s">
        <v>2284</v>
      </c>
      <c r="F81" t="s">
        <v>2285</v>
      </c>
    </row>
    <row r="82" spans="1:6">
      <c r="A82" t="s">
        <v>2366</v>
      </c>
      <c r="B82" t="s">
        <v>235</v>
      </c>
      <c r="C82" s="4">
        <v>45893</v>
      </c>
      <c r="D82" s="5">
        <v>17137.18</v>
      </c>
      <c r="E82" t="s">
        <v>2284</v>
      </c>
      <c r="F82" t="s">
        <v>320</v>
      </c>
    </row>
    <row r="83" spans="1:6">
      <c r="A83" t="s">
        <v>2367</v>
      </c>
      <c r="B83" t="s">
        <v>96</v>
      </c>
      <c r="C83" s="4">
        <v>45955</v>
      </c>
      <c r="D83" s="5">
        <v>159215.13</v>
      </c>
      <c r="E83" t="s">
        <v>2284</v>
      </c>
      <c r="F83" t="s">
        <v>2285</v>
      </c>
    </row>
    <row r="84" spans="1:6">
      <c r="A84" t="s">
        <v>2368</v>
      </c>
      <c r="B84" t="s">
        <v>285</v>
      </c>
      <c r="C84" s="4">
        <v>45951</v>
      </c>
      <c r="D84" s="5">
        <v>234727.67999999999</v>
      </c>
      <c r="E84" t="s">
        <v>2284</v>
      </c>
      <c r="F84" t="s">
        <v>2285</v>
      </c>
    </row>
    <row r="85" spans="1:6">
      <c r="A85" t="s">
        <v>2369</v>
      </c>
      <c r="B85" t="s">
        <v>235</v>
      </c>
      <c r="C85" s="4">
        <v>45900</v>
      </c>
      <c r="D85" s="5">
        <v>22525.89</v>
      </c>
      <c r="E85" t="s">
        <v>2284</v>
      </c>
      <c r="F85" t="s">
        <v>320</v>
      </c>
    </row>
    <row r="86" spans="1:6">
      <c r="A86" t="s">
        <v>2370</v>
      </c>
      <c r="B86" t="s">
        <v>269</v>
      </c>
      <c r="C86" s="4">
        <v>45893</v>
      </c>
      <c r="D86" s="5">
        <v>436075.49</v>
      </c>
      <c r="E86" t="s">
        <v>2284</v>
      </c>
      <c r="F86" t="s">
        <v>320</v>
      </c>
    </row>
    <row r="87" spans="1:6">
      <c r="A87" t="s">
        <v>2371</v>
      </c>
      <c r="B87" t="s">
        <v>190</v>
      </c>
      <c r="C87" s="4">
        <v>45956</v>
      </c>
      <c r="D87" s="5">
        <v>292076.69</v>
      </c>
      <c r="E87" t="s">
        <v>2284</v>
      </c>
      <c r="F87" t="s">
        <v>320</v>
      </c>
    </row>
    <row r="88" spans="1:6">
      <c r="A88" t="s">
        <v>2372</v>
      </c>
      <c r="B88" t="s">
        <v>34</v>
      </c>
      <c r="C88" s="4">
        <v>45990</v>
      </c>
      <c r="D88" s="5">
        <v>77682.06</v>
      </c>
      <c r="E88" t="s">
        <v>2284</v>
      </c>
      <c r="F88" t="s">
        <v>320</v>
      </c>
    </row>
    <row r="89" spans="1:6">
      <c r="A89" t="s">
        <v>2373</v>
      </c>
      <c r="B89" t="s">
        <v>219</v>
      </c>
      <c r="C89" s="4">
        <v>45958</v>
      </c>
      <c r="D89" s="5">
        <v>266973.8</v>
      </c>
      <c r="E89" t="s">
        <v>2284</v>
      </c>
      <c r="F89" t="s">
        <v>320</v>
      </c>
    </row>
    <row r="90" spans="1:6">
      <c r="A90" t="s">
        <v>2374</v>
      </c>
      <c r="B90" t="s">
        <v>192</v>
      </c>
      <c r="C90" s="4">
        <v>45884</v>
      </c>
      <c r="D90" s="5">
        <v>61759.08</v>
      </c>
      <c r="E90" t="s">
        <v>2284</v>
      </c>
      <c r="F90" t="s">
        <v>320</v>
      </c>
    </row>
    <row r="91" spans="1:6">
      <c r="A91" t="s">
        <v>2375</v>
      </c>
      <c r="B91" t="s">
        <v>140</v>
      </c>
      <c r="C91" s="4">
        <v>45999</v>
      </c>
      <c r="D91" s="5">
        <v>225072.19</v>
      </c>
      <c r="E91" t="s">
        <v>2284</v>
      </c>
      <c r="F91" t="s">
        <v>320</v>
      </c>
    </row>
    <row r="92" spans="1:6">
      <c r="A92" t="s">
        <v>2376</v>
      </c>
      <c r="B92" t="s">
        <v>7</v>
      </c>
      <c r="C92" s="4">
        <v>45912</v>
      </c>
      <c r="D92" s="5">
        <v>181703.33</v>
      </c>
      <c r="E92" t="s">
        <v>2284</v>
      </c>
      <c r="F92" t="s">
        <v>320</v>
      </c>
    </row>
    <row r="93" spans="1:6">
      <c r="A93" t="s">
        <v>2377</v>
      </c>
      <c r="B93" t="s">
        <v>211</v>
      </c>
      <c r="C93" s="4">
        <v>46071</v>
      </c>
      <c r="D93" s="5">
        <v>57607.7</v>
      </c>
      <c r="E93" t="s">
        <v>2284</v>
      </c>
      <c r="F93" t="s">
        <v>320</v>
      </c>
    </row>
    <row r="94" spans="1:6">
      <c r="A94" t="s">
        <v>2378</v>
      </c>
      <c r="B94" t="s">
        <v>351</v>
      </c>
      <c r="C94" s="4">
        <v>45990</v>
      </c>
      <c r="D94" s="5">
        <v>165740.20000000001</v>
      </c>
      <c r="E94" t="s">
        <v>2284</v>
      </c>
      <c r="F94" t="s">
        <v>2285</v>
      </c>
    </row>
    <row r="95" spans="1:6">
      <c r="A95" t="s">
        <v>2379</v>
      </c>
      <c r="B95" t="s">
        <v>219</v>
      </c>
      <c r="C95" s="4">
        <v>45942</v>
      </c>
      <c r="D95" s="5">
        <v>233446.55</v>
      </c>
      <c r="E95" t="s">
        <v>2284</v>
      </c>
      <c r="F95" t="s">
        <v>320</v>
      </c>
    </row>
    <row r="96" spans="1:6">
      <c r="A96" t="s">
        <v>2380</v>
      </c>
      <c r="B96" t="s">
        <v>129</v>
      </c>
      <c r="C96" s="4">
        <v>45989</v>
      </c>
      <c r="D96" s="5">
        <v>63539.5</v>
      </c>
      <c r="E96" t="s">
        <v>2284</v>
      </c>
      <c r="F96" t="s">
        <v>2285</v>
      </c>
    </row>
    <row r="97" spans="1:6">
      <c r="A97" t="s">
        <v>2381</v>
      </c>
      <c r="B97" t="s">
        <v>219</v>
      </c>
      <c r="C97" s="4">
        <v>45960</v>
      </c>
      <c r="D97" s="5">
        <v>64190.28</v>
      </c>
      <c r="E97" t="s">
        <v>2284</v>
      </c>
      <c r="F97" t="s">
        <v>320</v>
      </c>
    </row>
    <row r="98" spans="1:6">
      <c r="A98" t="s">
        <v>2382</v>
      </c>
      <c r="B98" t="s">
        <v>188</v>
      </c>
      <c r="C98" s="4">
        <v>46005</v>
      </c>
      <c r="D98" s="5">
        <v>95458.01</v>
      </c>
      <c r="E98" t="s">
        <v>2284</v>
      </c>
      <c r="F98" t="s">
        <v>2285</v>
      </c>
    </row>
    <row r="99" spans="1:6">
      <c r="A99" t="s">
        <v>2383</v>
      </c>
      <c r="B99" t="s">
        <v>196</v>
      </c>
      <c r="C99" s="4">
        <v>45871</v>
      </c>
      <c r="D99" s="5">
        <v>111044.58</v>
      </c>
      <c r="E99" t="s">
        <v>2284</v>
      </c>
      <c r="F99" t="s">
        <v>320</v>
      </c>
    </row>
    <row r="100" spans="1:6">
      <c r="A100" t="s">
        <v>2384</v>
      </c>
      <c r="B100" t="s">
        <v>106</v>
      </c>
      <c r="C100" s="4">
        <v>46000</v>
      </c>
      <c r="D100" s="5">
        <v>16672.509999999998</v>
      </c>
      <c r="E100" t="s">
        <v>2284</v>
      </c>
      <c r="F100" t="s">
        <v>2292</v>
      </c>
    </row>
    <row r="101" spans="1:6">
      <c r="A101" t="s">
        <v>2385</v>
      </c>
      <c r="B101" t="s">
        <v>163</v>
      </c>
      <c r="C101" s="4">
        <v>45904</v>
      </c>
      <c r="D101" s="5">
        <v>139845.65</v>
      </c>
      <c r="E101" t="s">
        <v>2284</v>
      </c>
      <c r="F101" t="s">
        <v>320</v>
      </c>
    </row>
    <row r="102" spans="1:6">
      <c r="A102" t="s">
        <v>2386</v>
      </c>
      <c r="B102" t="s">
        <v>202</v>
      </c>
      <c r="C102" s="4">
        <v>46094</v>
      </c>
      <c r="D102" s="5">
        <v>153778.6</v>
      </c>
      <c r="E102" t="s">
        <v>2284</v>
      </c>
      <c r="F102" t="s">
        <v>320</v>
      </c>
    </row>
    <row r="103" spans="1:6">
      <c r="A103" t="s">
        <v>2387</v>
      </c>
      <c r="B103" t="s">
        <v>219</v>
      </c>
      <c r="C103" s="4">
        <v>45948</v>
      </c>
      <c r="D103" s="5">
        <v>169661.53</v>
      </c>
      <c r="E103" t="s">
        <v>2284</v>
      </c>
      <c r="F103" t="s">
        <v>320</v>
      </c>
    </row>
    <row r="104" spans="1:6">
      <c r="A104" t="s">
        <v>2388</v>
      </c>
      <c r="B104" t="s">
        <v>61</v>
      </c>
      <c r="C104" s="4">
        <v>45903</v>
      </c>
      <c r="D104" s="5">
        <v>240213.27</v>
      </c>
      <c r="E104" t="s">
        <v>2284</v>
      </c>
      <c r="F104" t="s">
        <v>2285</v>
      </c>
    </row>
    <row r="105" spans="1:6">
      <c r="A105" t="s">
        <v>2389</v>
      </c>
      <c r="B105" t="s">
        <v>253</v>
      </c>
      <c r="C105" s="4">
        <v>45993</v>
      </c>
      <c r="D105" s="5">
        <v>352501.84</v>
      </c>
      <c r="E105" t="s">
        <v>2284</v>
      </c>
      <c r="F105" t="s">
        <v>320</v>
      </c>
    </row>
    <row r="106" spans="1:6">
      <c r="A106" t="s">
        <v>2390</v>
      </c>
      <c r="B106" t="s">
        <v>112</v>
      </c>
      <c r="C106" s="4">
        <v>45984</v>
      </c>
      <c r="D106" s="5">
        <v>18284.03</v>
      </c>
      <c r="E106" t="s">
        <v>2284</v>
      </c>
      <c r="F106" t="s">
        <v>320</v>
      </c>
    </row>
    <row r="107" spans="1:6">
      <c r="A107" t="s">
        <v>2391</v>
      </c>
      <c r="B107" t="s">
        <v>11</v>
      </c>
      <c r="C107" s="4">
        <v>45868</v>
      </c>
      <c r="D107" s="5">
        <v>359771.49</v>
      </c>
      <c r="E107" t="s">
        <v>2284</v>
      </c>
      <c r="F107" t="s">
        <v>2285</v>
      </c>
    </row>
    <row r="108" spans="1:6">
      <c r="A108" t="s">
        <v>2392</v>
      </c>
      <c r="B108" t="s">
        <v>235</v>
      </c>
      <c r="C108" s="4">
        <v>45916</v>
      </c>
      <c r="D108" s="5">
        <v>15516.68</v>
      </c>
      <c r="E108" t="s">
        <v>2284</v>
      </c>
      <c r="F108" t="s">
        <v>320</v>
      </c>
    </row>
    <row r="109" spans="1:6">
      <c r="A109" t="s">
        <v>2393</v>
      </c>
      <c r="B109" t="s">
        <v>180</v>
      </c>
      <c r="C109" s="4">
        <v>46031</v>
      </c>
      <c r="D109" s="5">
        <v>405168.9</v>
      </c>
      <c r="E109" t="s">
        <v>2284</v>
      </c>
      <c r="F109" t="s">
        <v>320</v>
      </c>
    </row>
    <row r="110" spans="1:6">
      <c r="A110" t="s">
        <v>2394</v>
      </c>
      <c r="B110" t="s">
        <v>192</v>
      </c>
      <c r="C110" s="4">
        <v>45885</v>
      </c>
      <c r="D110" s="5">
        <v>32876.949999999997</v>
      </c>
      <c r="E110" t="s">
        <v>2284</v>
      </c>
      <c r="F110" t="s">
        <v>2285</v>
      </c>
    </row>
    <row r="111" spans="1:6">
      <c r="A111" t="s">
        <v>2395</v>
      </c>
      <c r="B111" t="s">
        <v>202</v>
      </c>
      <c r="C111" s="4">
        <v>46115</v>
      </c>
      <c r="D111" s="5">
        <v>134360.10999999999</v>
      </c>
      <c r="E111" t="s">
        <v>2284</v>
      </c>
      <c r="F111" t="s">
        <v>2285</v>
      </c>
    </row>
    <row r="112" spans="1:6">
      <c r="A112" t="s">
        <v>2396</v>
      </c>
      <c r="B112" t="s">
        <v>21</v>
      </c>
      <c r="C112" s="4">
        <v>46090</v>
      </c>
      <c r="D112" s="5">
        <v>103394.35</v>
      </c>
      <c r="E112" t="s">
        <v>2284</v>
      </c>
      <c r="F112" t="s">
        <v>320</v>
      </c>
    </row>
    <row r="113" spans="1:6">
      <c r="A113" t="s">
        <v>2397</v>
      </c>
      <c r="B113" t="s">
        <v>7</v>
      </c>
      <c r="C113" s="4">
        <v>45921</v>
      </c>
      <c r="D113" s="5">
        <v>123356.52</v>
      </c>
      <c r="E113" t="s">
        <v>2284</v>
      </c>
      <c r="F113" t="s">
        <v>320</v>
      </c>
    </row>
    <row r="114" spans="1:6">
      <c r="A114" t="s">
        <v>2398</v>
      </c>
      <c r="B114" t="s">
        <v>260</v>
      </c>
      <c r="C114" s="4">
        <v>45900</v>
      </c>
      <c r="D114" s="5">
        <v>356620.63</v>
      </c>
      <c r="E114" t="s">
        <v>2284</v>
      </c>
      <c r="F114" t="s">
        <v>320</v>
      </c>
    </row>
    <row r="115" spans="1:6">
      <c r="A115" t="s">
        <v>2399</v>
      </c>
      <c r="B115" t="s">
        <v>121</v>
      </c>
      <c r="C115" s="4">
        <v>46017</v>
      </c>
      <c r="D115" s="5">
        <v>341599.14</v>
      </c>
      <c r="E115" t="s">
        <v>2284</v>
      </c>
      <c r="F115" t="s">
        <v>2285</v>
      </c>
    </row>
    <row r="116" spans="1:6">
      <c r="A116" t="s">
        <v>2400</v>
      </c>
      <c r="B116" t="s">
        <v>124</v>
      </c>
      <c r="C116" s="4">
        <v>45994</v>
      </c>
      <c r="D116" s="5">
        <v>16273.32</v>
      </c>
      <c r="E116" t="s">
        <v>2284</v>
      </c>
      <c r="F116" t="s">
        <v>2285</v>
      </c>
    </row>
    <row r="117" spans="1:6">
      <c r="A117" t="s">
        <v>2401</v>
      </c>
      <c r="B117" t="s">
        <v>43</v>
      </c>
      <c r="C117" s="4">
        <v>45995</v>
      </c>
      <c r="D117" s="5">
        <v>126338.9</v>
      </c>
      <c r="E117" t="s">
        <v>2284</v>
      </c>
      <c r="F117" t="s">
        <v>2285</v>
      </c>
    </row>
    <row r="118" spans="1:6">
      <c r="A118" t="s">
        <v>2402</v>
      </c>
      <c r="B118" t="s">
        <v>21</v>
      </c>
      <c r="C118" s="4">
        <v>46071</v>
      </c>
      <c r="D118" s="5">
        <v>354884.39</v>
      </c>
      <c r="E118" t="s">
        <v>2284</v>
      </c>
      <c r="F118" t="s">
        <v>320</v>
      </c>
    </row>
    <row r="119" spans="1:6">
      <c r="A119" t="s">
        <v>2403</v>
      </c>
      <c r="B119" t="s">
        <v>245</v>
      </c>
      <c r="C119" s="4">
        <v>45921</v>
      </c>
      <c r="D119" s="5">
        <v>541578.75</v>
      </c>
      <c r="E119" t="s">
        <v>2284</v>
      </c>
      <c r="F119" t="s">
        <v>320</v>
      </c>
    </row>
    <row r="120" spans="1:6">
      <c r="A120" t="s">
        <v>2404</v>
      </c>
      <c r="B120" t="s">
        <v>186</v>
      </c>
      <c r="C120" s="4">
        <v>45980</v>
      </c>
      <c r="D120" s="5">
        <v>39789.83</v>
      </c>
      <c r="E120" t="s">
        <v>2284</v>
      </c>
      <c r="F120" t="s">
        <v>320</v>
      </c>
    </row>
    <row r="121" spans="1:6">
      <c r="A121" t="s">
        <v>2405</v>
      </c>
      <c r="B121" t="s">
        <v>212</v>
      </c>
      <c r="C121" s="4">
        <v>46015</v>
      </c>
      <c r="D121" s="5">
        <v>149438.96</v>
      </c>
      <c r="E121" t="s">
        <v>2284</v>
      </c>
      <c r="F121" t="s">
        <v>320</v>
      </c>
    </row>
    <row r="122" spans="1:6">
      <c r="A122" t="s">
        <v>2406</v>
      </c>
      <c r="B122" t="s">
        <v>285</v>
      </c>
      <c r="C122" s="4">
        <v>45925</v>
      </c>
      <c r="D122" s="5">
        <v>344249.64</v>
      </c>
      <c r="E122" t="s">
        <v>2284</v>
      </c>
      <c r="F122" t="s">
        <v>320</v>
      </c>
    </row>
    <row r="123" spans="1:6">
      <c r="A123" t="s">
        <v>2407</v>
      </c>
      <c r="B123" t="s">
        <v>108</v>
      </c>
      <c r="C123" s="4">
        <v>45924</v>
      </c>
      <c r="D123" s="5">
        <v>507999.22</v>
      </c>
      <c r="E123" t="s">
        <v>2284</v>
      </c>
      <c r="F123" t="s">
        <v>320</v>
      </c>
    </row>
    <row r="124" spans="1:6">
      <c r="A124" t="s">
        <v>2408</v>
      </c>
      <c r="B124" t="s">
        <v>71</v>
      </c>
      <c r="C124" s="4">
        <v>45865</v>
      </c>
      <c r="D124" s="5">
        <v>33904.129999999997</v>
      </c>
      <c r="E124" t="s">
        <v>2284</v>
      </c>
      <c r="F124" t="s">
        <v>320</v>
      </c>
    </row>
    <row r="125" spans="1:6">
      <c r="A125" t="s">
        <v>2409</v>
      </c>
      <c r="B125" t="s">
        <v>120</v>
      </c>
      <c r="C125" s="4">
        <v>45852</v>
      </c>
      <c r="D125" s="5">
        <v>264449.07</v>
      </c>
      <c r="E125" t="s">
        <v>2284</v>
      </c>
      <c r="F125" t="s">
        <v>320</v>
      </c>
    </row>
    <row r="126" spans="1:6">
      <c r="A126" t="s">
        <v>2410</v>
      </c>
      <c r="B126" t="s">
        <v>103</v>
      </c>
      <c r="C126" s="4">
        <v>45999</v>
      </c>
      <c r="D126" s="5">
        <v>29966.44</v>
      </c>
      <c r="E126" t="s">
        <v>2284</v>
      </c>
      <c r="F126" t="s">
        <v>320</v>
      </c>
    </row>
    <row r="127" spans="1:6">
      <c r="A127" t="s">
        <v>2411</v>
      </c>
      <c r="B127" t="s">
        <v>91</v>
      </c>
      <c r="C127" s="4">
        <v>45948</v>
      </c>
      <c r="D127" s="5">
        <v>156747.56</v>
      </c>
      <c r="E127" t="s">
        <v>2284</v>
      </c>
      <c r="F127" t="s">
        <v>320</v>
      </c>
    </row>
    <row r="128" spans="1:6">
      <c r="A128" t="s">
        <v>2412</v>
      </c>
      <c r="B128" t="s">
        <v>208</v>
      </c>
      <c r="C128" s="4">
        <v>46060</v>
      </c>
      <c r="D128" s="5">
        <v>345111.5</v>
      </c>
      <c r="E128" t="s">
        <v>2284</v>
      </c>
      <c r="F128" t="s">
        <v>320</v>
      </c>
    </row>
    <row r="129" spans="1:6">
      <c r="A129" t="s">
        <v>2413</v>
      </c>
      <c r="B129" t="s">
        <v>18</v>
      </c>
      <c r="C129" s="4">
        <v>45903</v>
      </c>
      <c r="D129" s="5">
        <v>577250.46</v>
      </c>
      <c r="E129" t="s">
        <v>2284</v>
      </c>
      <c r="F129" t="s">
        <v>320</v>
      </c>
    </row>
    <row r="130" spans="1:6">
      <c r="A130" t="s">
        <v>2414</v>
      </c>
      <c r="B130" t="s">
        <v>110</v>
      </c>
      <c r="C130" s="4">
        <v>45977</v>
      </c>
      <c r="D130" s="5">
        <v>209919.39</v>
      </c>
      <c r="E130" t="s">
        <v>2284</v>
      </c>
      <c r="F130" t="s">
        <v>2285</v>
      </c>
    </row>
    <row r="131" spans="1:6">
      <c r="A131" t="s">
        <v>2415</v>
      </c>
      <c r="B131" t="s">
        <v>74</v>
      </c>
      <c r="C131" s="4">
        <v>45870</v>
      </c>
      <c r="D131" s="5">
        <v>32517.99</v>
      </c>
      <c r="E131" t="s">
        <v>2284</v>
      </c>
      <c r="F131" t="s">
        <v>320</v>
      </c>
    </row>
    <row r="132" spans="1:6">
      <c r="A132" t="s">
        <v>2416</v>
      </c>
      <c r="B132" t="s">
        <v>121</v>
      </c>
      <c r="C132" s="4">
        <v>46027</v>
      </c>
      <c r="D132" s="5">
        <v>333536.24</v>
      </c>
      <c r="E132" t="s">
        <v>2284</v>
      </c>
      <c r="F132" t="s">
        <v>320</v>
      </c>
    </row>
    <row r="133" spans="1:6">
      <c r="A133" t="s">
        <v>2417</v>
      </c>
      <c r="B133" t="s">
        <v>7</v>
      </c>
      <c r="C133" s="4">
        <v>45914</v>
      </c>
      <c r="D133" s="5">
        <v>133454.79</v>
      </c>
      <c r="E133" t="s">
        <v>2284</v>
      </c>
      <c r="F133" t="s">
        <v>320</v>
      </c>
    </row>
    <row r="134" spans="1:6">
      <c r="A134" t="s">
        <v>2418</v>
      </c>
      <c r="B134" t="s">
        <v>164</v>
      </c>
      <c r="C134" s="4">
        <v>46103</v>
      </c>
      <c r="D134" s="5">
        <v>307691.39</v>
      </c>
      <c r="E134" t="s">
        <v>2284</v>
      </c>
      <c r="F134" t="s">
        <v>320</v>
      </c>
    </row>
    <row r="135" spans="1:6">
      <c r="A135" t="s">
        <v>2419</v>
      </c>
      <c r="B135" t="s">
        <v>16</v>
      </c>
      <c r="C135" s="4">
        <v>45948</v>
      </c>
      <c r="D135" s="5">
        <v>84310.52</v>
      </c>
      <c r="E135" t="s">
        <v>2284</v>
      </c>
      <c r="F135" t="s">
        <v>320</v>
      </c>
    </row>
    <row r="136" spans="1:6">
      <c r="A136" t="s">
        <v>2420</v>
      </c>
      <c r="B136" t="s">
        <v>99</v>
      </c>
      <c r="C136" s="4">
        <v>45919</v>
      </c>
      <c r="D136" s="5">
        <v>226126.07999999999</v>
      </c>
      <c r="E136" t="s">
        <v>2284</v>
      </c>
      <c r="F136" t="s">
        <v>320</v>
      </c>
    </row>
    <row r="137" spans="1:6">
      <c r="A137" t="s">
        <v>2421</v>
      </c>
      <c r="B137" t="s">
        <v>11</v>
      </c>
      <c r="C137" s="4">
        <v>45854</v>
      </c>
      <c r="D137" s="5">
        <v>63860.88</v>
      </c>
      <c r="E137" t="s">
        <v>2284</v>
      </c>
      <c r="F137" t="s">
        <v>320</v>
      </c>
    </row>
    <row r="138" spans="1:6">
      <c r="A138" t="s">
        <v>2422</v>
      </c>
      <c r="B138" t="s">
        <v>192</v>
      </c>
      <c r="C138" s="4">
        <v>45889</v>
      </c>
      <c r="D138" s="5">
        <v>89374.02</v>
      </c>
      <c r="E138" t="s">
        <v>2284</v>
      </c>
      <c r="F138" t="s">
        <v>320</v>
      </c>
    </row>
    <row r="139" spans="1:6">
      <c r="A139" t="s">
        <v>2423</v>
      </c>
      <c r="B139" t="s">
        <v>29</v>
      </c>
      <c r="C139" s="4">
        <v>46008</v>
      </c>
      <c r="D139" s="5">
        <v>91628.68</v>
      </c>
      <c r="E139" t="s">
        <v>2284</v>
      </c>
      <c r="F139" t="s">
        <v>320</v>
      </c>
    </row>
    <row r="140" spans="1:6">
      <c r="A140" t="s">
        <v>2424</v>
      </c>
      <c r="B140" t="s">
        <v>197</v>
      </c>
      <c r="C140" s="4">
        <v>45890</v>
      </c>
      <c r="D140" s="5">
        <v>75626.44</v>
      </c>
      <c r="E140" t="s">
        <v>2284</v>
      </c>
      <c r="F140" t="s">
        <v>320</v>
      </c>
    </row>
    <row r="141" spans="1:6">
      <c r="A141" t="s">
        <v>2425</v>
      </c>
      <c r="B141" t="s">
        <v>168</v>
      </c>
      <c r="C141" s="4">
        <v>46045</v>
      </c>
      <c r="D141" s="5">
        <v>57201.3</v>
      </c>
      <c r="E141" t="s">
        <v>2284</v>
      </c>
      <c r="F141" t="s">
        <v>320</v>
      </c>
    </row>
    <row r="142" spans="1:6">
      <c r="A142" t="s">
        <v>2426</v>
      </c>
      <c r="B142" t="s">
        <v>51</v>
      </c>
      <c r="C142" s="4">
        <v>46017</v>
      </c>
      <c r="D142" s="5">
        <v>49117.95</v>
      </c>
      <c r="E142" t="s">
        <v>2284</v>
      </c>
      <c r="F142" t="s">
        <v>2285</v>
      </c>
    </row>
    <row r="143" spans="1:6">
      <c r="A143" t="s">
        <v>2427</v>
      </c>
      <c r="B143" t="s">
        <v>82</v>
      </c>
      <c r="C143" s="4">
        <v>46103</v>
      </c>
      <c r="D143" s="5">
        <v>173161.83</v>
      </c>
      <c r="E143" t="s">
        <v>2284</v>
      </c>
      <c r="F143" t="s">
        <v>320</v>
      </c>
    </row>
    <row r="144" spans="1:6">
      <c r="A144" t="s">
        <v>2428</v>
      </c>
      <c r="B144" t="s">
        <v>76</v>
      </c>
      <c r="C144" s="4">
        <v>45859</v>
      </c>
      <c r="D144" s="5">
        <v>303304.7</v>
      </c>
      <c r="E144" t="s">
        <v>2284</v>
      </c>
      <c r="F144" t="s">
        <v>320</v>
      </c>
    </row>
    <row r="145" spans="1:6">
      <c r="A145" t="s">
        <v>2429</v>
      </c>
      <c r="B145" t="s">
        <v>183</v>
      </c>
      <c r="C145" s="4">
        <v>46083</v>
      </c>
      <c r="D145" s="5">
        <v>126680.23</v>
      </c>
      <c r="E145" t="s">
        <v>2284</v>
      </c>
      <c r="F145" t="s">
        <v>2292</v>
      </c>
    </row>
    <row r="146" spans="1:6">
      <c r="A146" t="s">
        <v>2430</v>
      </c>
      <c r="B146" t="s">
        <v>120</v>
      </c>
      <c r="C146" s="4">
        <v>45852</v>
      </c>
      <c r="D146" s="5">
        <v>266170.39</v>
      </c>
      <c r="E146" t="s">
        <v>2284</v>
      </c>
      <c r="F146" t="s">
        <v>2285</v>
      </c>
    </row>
    <row r="147" spans="1:6">
      <c r="A147" t="s">
        <v>2431</v>
      </c>
      <c r="B147" t="s">
        <v>7</v>
      </c>
      <c r="C147" s="4">
        <v>45905</v>
      </c>
      <c r="D147" s="5">
        <v>165836.03</v>
      </c>
      <c r="E147" t="s">
        <v>2284</v>
      </c>
      <c r="F147" t="s">
        <v>320</v>
      </c>
    </row>
    <row r="148" spans="1:6">
      <c r="A148" t="s">
        <v>2432</v>
      </c>
      <c r="B148" t="s">
        <v>273</v>
      </c>
      <c r="C148" s="4">
        <v>45915</v>
      </c>
      <c r="D148" s="5">
        <v>304387.52</v>
      </c>
      <c r="E148" t="s">
        <v>2284</v>
      </c>
      <c r="F148" t="s">
        <v>320</v>
      </c>
    </row>
    <row r="149" spans="1:6">
      <c r="A149" t="s">
        <v>2433</v>
      </c>
      <c r="B149" t="s">
        <v>66</v>
      </c>
      <c r="C149" s="4">
        <v>45903</v>
      </c>
      <c r="D149" s="5">
        <v>641057.06999999995</v>
      </c>
      <c r="E149" t="s">
        <v>2284</v>
      </c>
      <c r="F149" t="s">
        <v>2285</v>
      </c>
    </row>
    <row r="150" spans="1:6">
      <c r="A150" t="s">
        <v>2434</v>
      </c>
      <c r="B150" t="s">
        <v>124</v>
      </c>
      <c r="C150" s="4">
        <v>45991</v>
      </c>
      <c r="D150" s="5">
        <v>51037.88</v>
      </c>
      <c r="E150" t="s">
        <v>2284</v>
      </c>
      <c r="F150" t="s">
        <v>2292</v>
      </c>
    </row>
    <row r="151" spans="1:6">
      <c r="A151" t="s">
        <v>2435</v>
      </c>
      <c r="B151" t="s">
        <v>286</v>
      </c>
      <c r="C151" s="4">
        <v>46070</v>
      </c>
      <c r="D151" s="5">
        <v>122259.95</v>
      </c>
      <c r="E151" t="s">
        <v>2284</v>
      </c>
      <c r="F151" t="s">
        <v>2285</v>
      </c>
    </row>
    <row r="152" spans="1:6">
      <c r="A152" t="s">
        <v>2436</v>
      </c>
      <c r="B152" t="s">
        <v>43</v>
      </c>
      <c r="C152" s="4">
        <v>45986</v>
      </c>
      <c r="D152" s="5">
        <v>66137.740000000005</v>
      </c>
      <c r="E152" t="s">
        <v>2284</v>
      </c>
      <c r="F152" t="s">
        <v>2285</v>
      </c>
    </row>
    <row r="153" spans="1:6">
      <c r="A153" t="s">
        <v>2437</v>
      </c>
      <c r="B153" t="s">
        <v>147</v>
      </c>
      <c r="C153" s="4">
        <v>46065</v>
      </c>
      <c r="D153" s="5">
        <v>238614.25</v>
      </c>
      <c r="E153" t="s">
        <v>2284</v>
      </c>
      <c r="F153" t="s">
        <v>320</v>
      </c>
    </row>
    <row r="154" spans="1:6">
      <c r="A154" t="s">
        <v>2438</v>
      </c>
      <c r="B154" t="s">
        <v>112</v>
      </c>
      <c r="C154" s="4">
        <v>45977</v>
      </c>
      <c r="D154" s="5">
        <v>23599.41</v>
      </c>
      <c r="E154" t="s">
        <v>2284</v>
      </c>
      <c r="F154" t="s">
        <v>320</v>
      </c>
    </row>
    <row r="155" spans="1:6">
      <c r="A155" t="s">
        <v>2439</v>
      </c>
      <c r="B155" t="s">
        <v>127</v>
      </c>
      <c r="C155" s="4">
        <v>45870</v>
      </c>
      <c r="D155" s="5">
        <v>176735.05</v>
      </c>
      <c r="E155" t="s">
        <v>2284</v>
      </c>
      <c r="F155" t="s">
        <v>320</v>
      </c>
    </row>
    <row r="156" spans="1:6">
      <c r="A156" t="s">
        <v>2440</v>
      </c>
      <c r="B156" t="s">
        <v>190</v>
      </c>
      <c r="C156" s="4">
        <v>45966</v>
      </c>
      <c r="D156" s="5">
        <v>232046.07</v>
      </c>
      <c r="E156" t="s">
        <v>2284</v>
      </c>
      <c r="F156" t="s">
        <v>2292</v>
      </c>
    </row>
    <row r="157" spans="1:6">
      <c r="A157" t="s">
        <v>2441</v>
      </c>
      <c r="B157" t="s">
        <v>171</v>
      </c>
      <c r="C157" s="4">
        <v>45862</v>
      </c>
      <c r="D157" s="5">
        <v>78952.23</v>
      </c>
      <c r="E157" t="s">
        <v>2284</v>
      </c>
      <c r="F157" t="s">
        <v>2285</v>
      </c>
    </row>
    <row r="158" spans="1:6">
      <c r="A158" t="s">
        <v>2442</v>
      </c>
      <c r="B158" t="s">
        <v>16</v>
      </c>
      <c r="C158" s="4">
        <v>45952</v>
      </c>
      <c r="D158" s="5">
        <v>385042.91</v>
      </c>
      <c r="E158" t="s">
        <v>2284</v>
      </c>
      <c r="F158" t="s">
        <v>320</v>
      </c>
    </row>
    <row r="159" spans="1:6">
      <c r="A159" t="s">
        <v>2443</v>
      </c>
      <c r="B159" t="s">
        <v>193</v>
      </c>
      <c r="C159" s="4">
        <v>46059</v>
      </c>
      <c r="D159" s="5">
        <v>174490.52</v>
      </c>
      <c r="E159" t="s">
        <v>2284</v>
      </c>
      <c r="F159" t="s">
        <v>320</v>
      </c>
    </row>
    <row r="160" spans="1:6">
      <c r="A160" t="s">
        <v>2444</v>
      </c>
      <c r="B160" t="s">
        <v>163</v>
      </c>
      <c r="C160" s="4">
        <v>45921</v>
      </c>
      <c r="D160" s="5">
        <v>137602.98000000001</v>
      </c>
      <c r="E160" t="s">
        <v>2284</v>
      </c>
      <c r="F160" t="s">
        <v>320</v>
      </c>
    </row>
    <row r="161" spans="1:6">
      <c r="A161" t="s">
        <v>2445</v>
      </c>
      <c r="B161" t="s">
        <v>301</v>
      </c>
      <c r="C161" s="4">
        <v>46095</v>
      </c>
      <c r="D161" s="5">
        <v>329574.40000000002</v>
      </c>
      <c r="E161" t="s">
        <v>2284</v>
      </c>
      <c r="F161" t="s">
        <v>2285</v>
      </c>
    </row>
    <row r="162" spans="1:6">
      <c r="A162" t="s">
        <v>2446</v>
      </c>
      <c r="B162" t="s">
        <v>228</v>
      </c>
      <c r="C162" s="4">
        <v>45900</v>
      </c>
      <c r="D162" s="5">
        <v>112008.3</v>
      </c>
      <c r="E162" t="s">
        <v>2284</v>
      </c>
      <c r="F162" t="s">
        <v>320</v>
      </c>
    </row>
    <row r="163" spans="1:6">
      <c r="A163" t="s">
        <v>2447</v>
      </c>
      <c r="B163" t="s">
        <v>219</v>
      </c>
      <c r="C163" s="4">
        <v>45958</v>
      </c>
      <c r="D163" s="5">
        <v>102357.84</v>
      </c>
      <c r="E163" t="s">
        <v>2284</v>
      </c>
      <c r="F163" t="s">
        <v>320</v>
      </c>
    </row>
    <row r="164" spans="1:6">
      <c r="A164" t="s">
        <v>2448</v>
      </c>
      <c r="B164" t="s">
        <v>253</v>
      </c>
      <c r="C164" s="4">
        <v>45966</v>
      </c>
      <c r="D164" s="5">
        <v>283521.34999999998</v>
      </c>
      <c r="E164" t="s">
        <v>2284</v>
      </c>
      <c r="F164" t="s">
        <v>320</v>
      </c>
    </row>
    <row r="165" spans="1:6">
      <c r="A165" t="s">
        <v>2449</v>
      </c>
      <c r="B165" t="s">
        <v>151</v>
      </c>
      <c r="C165" s="4">
        <v>45952</v>
      </c>
      <c r="D165" s="5">
        <v>555481.14</v>
      </c>
      <c r="E165" t="s">
        <v>2284</v>
      </c>
      <c r="F165" t="s">
        <v>2292</v>
      </c>
    </row>
    <row r="166" spans="1:6">
      <c r="A166" t="s">
        <v>2450</v>
      </c>
      <c r="B166" t="s">
        <v>110</v>
      </c>
      <c r="C166" s="4">
        <v>45974</v>
      </c>
      <c r="D166" s="5">
        <v>359126.47</v>
      </c>
      <c r="E166" t="s">
        <v>2284</v>
      </c>
      <c r="F166" t="s">
        <v>2292</v>
      </c>
    </row>
    <row r="167" spans="1:6">
      <c r="A167" t="s">
        <v>2451</v>
      </c>
      <c r="B167" t="s">
        <v>103</v>
      </c>
      <c r="C167" s="4">
        <v>46002</v>
      </c>
      <c r="D167" s="5">
        <v>24633.86</v>
      </c>
      <c r="E167" t="s">
        <v>2284</v>
      </c>
      <c r="F167" t="s">
        <v>320</v>
      </c>
    </row>
    <row r="168" spans="1:6">
      <c r="A168" t="s">
        <v>2452</v>
      </c>
      <c r="B168" t="s">
        <v>96</v>
      </c>
      <c r="C168" s="4">
        <v>45948</v>
      </c>
      <c r="D168" s="5">
        <v>504531.46</v>
      </c>
      <c r="E168" t="s">
        <v>2284</v>
      </c>
      <c r="F168" t="s">
        <v>320</v>
      </c>
    </row>
    <row r="169" spans="1:6">
      <c r="A169" t="s">
        <v>2453</v>
      </c>
      <c r="B169" t="s">
        <v>283</v>
      </c>
      <c r="C169" s="4">
        <v>46068</v>
      </c>
      <c r="D169" s="5">
        <v>216118.39999999999</v>
      </c>
      <c r="E169" t="s">
        <v>2284</v>
      </c>
      <c r="F169" t="s">
        <v>2285</v>
      </c>
    </row>
    <row r="170" spans="1:6">
      <c r="A170" t="s">
        <v>2454</v>
      </c>
      <c r="B170" t="s">
        <v>186</v>
      </c>
      <c r="C170" s="4">
        <v>45979</v>
      </c>
      <c r="D170" s="5">
        <v>25916.83</v>
      </c>
      <c r="E170" t="s">
        <v>2284</v>
      </c>
      <c r="F170" t="s">
        <v>320</v>
      </c>
    </row>
    <row r="171" spans="1:6">
      <c r="A171" t="s">
        <v>2455</v>
      </c>
      <c r="B171" t="s">
        <v>66</v>
      </c>
      <c r="C171" s="4">
        <v>45902</v>
      </c>
      <c r="D171" s="5">
        <v>427688.13</v>
      </c>
      <c r="E171" t="s">
        <v>2284</v>
      </c>
      <c r="F171" t="s">
        <v>2285</v>
      </c>
    </row>
    <row r="172" spans="1:6">
      <c r="A172" t="s">
        <v>2456</v>
      </c>
      <c r="B172" t="s">
        <v>51</v>
      </c>
      <c r="C172" s="4">
        <v>46035</v>
      </c>
      <c r="D172" s="5">
        <v>75780.7</v>
      </c>
      <c r="E172" t="s">
        <v>2284</v>
      </c>
      <c r="F172" t="s">
        <v>320</v>
      </c>
    </row>
    <row r="173" spans="1:6">
      <c r="A173" t="s">
        <v>2457</v>
      </c>
      <c r="B173" t="s">
        <v>190</v>
      </c>
      <c r="C173" s="4">
        <v>45965</v>
      </c>
      <c r="D173" s="5">
        <v>198781.83</v>
      </c>
      <c r="E173" t="s">
        <v>2284</v>
      </c>
      <c r="F173" t="s">
        <v>320</v>
      </c>
    </row>
    <row r="174" spans="1:6">
      <c r="A174" t="s">
        <v>2458</v>
      </c>
      <c r="B174" t="s">
        <v>110</v>
      </c>
      <c r="C174" s="4">
        <v>45969</v>
      </c>
      <c r="D174" s="5">
        <v>161697.82999999999</v>
      </c>
      <c r="E174" t="s">
        <v>2284</v>
      </c>
      <c r="F174" t="s">
        <v>2285</v>
      </c>
    </row>
    <row r="175" spans="1:6">
      <c r="A175" t="s">
        <v>2459</v>
      </c>
      <c r="B175" t="s">
        <v>217</v>
      </c>
      <c r="C175" s="4">
        <v>45940</v>
      </c>
      <c r="D175" s="5">
        <v>280022.19</v>
      </c>
      <c r="E175" t="s">
        <v>2284</v>
      </c>
      <c r="F175" t="s">
        <v>2292</v>
      </c>
    </row>
    <row r="176" spans="1:6">
      <c r="A176" t="s">
        <v>2460</v>
      </c>
      <c r="B176" t="s">
        <v>351</v>
      </c>
      <c r="C176" s="4">
        <v>45979</v>
      </c>
      <c r="D176" s="5">
        <v>100541.28</v>
      </c>
      <c r="E176" t="s">
        <v>2284</v>
      </c>
      <c r="F176" t="s">
        <v>320</v>
      </c>
    </row>
    <row r="177" spans="1:6">
      <c r="A177" t="s">
        <v>2461</v>
      </c>
      <c r="B177" t="s">
        <v>138</v>
      </c>
      <c r="C177" s="4">
        <v>45970</v>
      </c>
      <c r="D177" s="5">
        <v>334000.90000000002</v>
      </c>
      <c r="E177" t="s">
        <v>2284</v>
      </c>
      <c r="F177" t="s">
        <v>320</v>
      </c>
    </row>
    <row r="178" spans="1:6">
      <c r="A178" t="s">
        <v>2462</v>
      </c>
      <c r="B178" t="s">
        <v>80</v>
      </c>
      <c r="C178" s="4">
        <v>46066</v>
      </c>
      <c r="D178" s="5">
        <v>13180.86</v>
      </c>
      <c r="E178" t="s">
        <v>2284</v>
      </c>
      <c r="F178" t="s">
        <v>2285</v>
      </c>
    </row>
    <row r="179" spans="1:6">
      <c r="A179" t="s">
        <v>2463</v>
      </c>
      <c r="B179" t="s">
        <v>105</v>
      </c>
      <c r="C179" s="4">
        <v>45994</v>
      </c>
      <c r="D179" s="5">
        <v>197343.4</v>
      </c>
      <c r="E179" t="s">
        <v>2284</v>
      </c>
      <c r="F179" t="s">
        <v>320</v>
      </c>
    </row>
    <row r="180" spans="1:6">
      <c r="A180" t="s">
        <v>2464</v>
      </c>
      <c r="B180" t="s">
        <v>32</v>
      </c>
      <c r="C180" s="4">
        <v>45953</v>
      </c>
      <c r="D180" s="5">
        <v>211509.07</v>
      </c>
      <c r="E180" t="s">
        <v>2284</v>
      </c>
      <c r="F180" t="s">
        <v>320</v>
      </c>
    </row>
    <row r="181" spans="1:6">
      <c r="A181" t="s">
        <v>2465</v>
      </c>
      <c r="B181" t="s">
        <v>196</v>
      </c>
      <c r="C181" s="4">
        <v>45869</v>
      </c>
      <c r="D181" s="5">
        <v>70400.69</v>
      </c>
      <c r="E181" t="s">
        <v>2284</v>
      </c>
      <c r="F181" t="s">
        <v>320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0"/>
  <sheetViews>
    <sheetView workbookViewId="0"/>
  </sheetViews>
  <sheetFormatPr baseColWidth="10" defaultColWidth="8.83203125" defaultRowHeight="15"/>
  <cols>
    <col min="1" max="1" width="12.83203125" customWidth="1"/>
    <col min="2" max="2" width="9.1640625" customWidth="1"/>
    <col min="3" max="3" width="12.6640625" customWidth="1"/>
    <col min="4" max="4" width="8.5" customWidth="1"/>
    <col min="5" max="5" width="14.33203125" customWidth="1"/>
    <col min="6" max="6" width="19.1640625" customWidth="1"/>
  </cols>
  <sheetData>
    <row r="1" spans="1:6" ht="15" customHeight="1">
      <c r="A1" s="3" t="s">
        <v>2466</v>
      </c>
      <c r="B1" s="3" t="s">
        <v>1</v>
      </c>
      <c r="C1" s="3" t="s">
        <v>2467</v>
      </c>
      <c r="D1" s="3" t="s">
        <v>1604</v>
      </c>
      <c r="E1" s="3" t="s">
        <v>2468</v>
      </c>
      <c r="F1" s="3" t="s">
        <v>2469</v>
      </c>
    </row>
    <row r="2" spans="1:6">
      <c r="A2" t="s">
        <v>2470</v>
      </c>
      <c r="B2" t="s">
        <v>147</v>
      </c>
      <c r="C2" s="4">
        <v>46098</v>
      </c>
      <c r="D2" s="5">
        <v>52983.02</v>
      </c>
      <c r="E2" t="s">
        <v>2471</v>
      </c>
      <c r="F2" t="s">
        <v>2472</v>
      </c>
    </row>
    <row r="3" spans="1:6">
      <c r="A3" t="s">
        <v>2473</v>
      </c>
      <c r="B3" t="s">
        <v>180</v>
      </c>
      <c r="C3" s="4">
        <v>46038</v>
      </c>
      <c r="D3" s="5">
        <v>190143.3</v>
      </c>
      <c r="E3" t="s">
        <v>2474</v>
      </c>
      <c r="F3" t="s">
        <v>2475</v>
      </c>
    </row>
    <row r="4" spans="1:6">
      <c r="A4" t="s">
        <v>2476</v>
      </c>
      <c r="B4" t="s">
        <v>103</v>
      </c>
      <c r="C4" s="4">
        <v>46088</v>
      </c>
      <c r="D4" s="5">
        <v>2000.93</v>
      </c>
      <c r="E4" t="s">
        <v>2477</v>
      </c>
      <c r="F4" t="s">
        <v>2478</v>
      </c>
    </row>
    <row r="5" spans="1:6">
      <c r="A5" t="s">
        <v>2479</v>
      </c>
      <c r="B5" t="s">
        <v>61</v>
      </c>
      <c r="C5" s="4">
        <v>45922</v>
      </c>
      <c r="D5" s="5">
        <v>111833.93</v>
      </c>
      <c r="E5" t="s">
        <v>2471</v>
      </c>
      <c r="F5" t="s">
        <v>2478</v>
      </c>
    </row>
    <row r="6" spans="1:6">
      <c r="A6" t="s">
        <v>2480</v>
      </c>
      <c r="B6" t="s">
        <v>108</v>
      </c>
      <c r="C6" s="4">
        <v>45984</v>
      </c>
      <c r="D6" s="5">
        <v>224352.15</v>
      </c>
      <c r="E6" t="s">
        <v>2477</v>
      </c>
      <c r="F6" t="s">
        <v>2478</v>
      </c>
    </row>
    <row r="7" spans="1:6">
      <c r="A7" t="s">
        <v>2481</v>
      </c>
      <c r="B7" t="s">
        <v>112</v>
      </c>
      <c r="C7" s="4">
        <v>46048</v>
      </c>
      <c r="D7" s="5">
        <v>10451.879999999999</v>
      </c>
      <c r="E7" t="s">
        <v>2471</v>
      </c>
      <c r="F7" t="s">
        <v>2482</v>
      </c>
    </row>
    <row r="8" spans="1:6">
      <c r="A8" t="s">
        <v>2483</v>
      </c>
      <c r="B8" t="s">
        <v>211</v>
      </c>
      <c r="C8" s="4">
        <v>46174</v>
      </c>
      <c r="D8" s="5">
        <v>14676.8</v>
      </c>
      <c r="E8" t="s">
        <v>2484</v>
      </c>
      <c r="F8" t="s">
        <v>2485</v>
      </c>
    </row>
    <row r="9" spans="1:6">
      <c r="A9" t="s">
        <v>2486</v>
      </c>
      <c r="B9" t="s">
        <v>110</v>
      </c>
      <c r="C9" s="4">
        <v>46031</v>
      </c>
      <c r="D9" s="5">
        <v>94141</v>
      </c>
      <c r="E9" t="s">
        <v>2474</v>
      </c>
      <c r="F9" t="s">
        <v>2485</v>
      </c>
    </row>
    <row r="10" spans="1:6">
      <c r="A10" t="s">
        <v>2487</v>
      </c>
      <c r="B10" t="s">
        <v>186</v>
      </c>
      <c r="C10" s="4">
        <v>46002</v>
      </c>
      <c r="D10" s="5">
        <v>11295.21</v>
      </c>
      <c r="E10" t="s">
        <v>2484</v>
      </c>
      <c r="F10" t="s">
        <v>1913</v>
      </c>
    </row>
    <row r="11" spans="1:6">
      <c r="A11" t="s">
        <v>2488</v>
      </c>
      <c r="B11" t="s">
        <v>74</v>
      </c>
      <c r="C11" s="4">
        <v>45932</v>
      </c>
      <c r="D11" s="5">
        <v>6357.51</v>
      </c>
      <c r="E11" t="s">
        <v>2477</v>
      </c>
      <c r="F11" t="s">
        <v>2489</v>
      </c>
    </row>
    <row r="12" spans="1:6">
      <c r="A12" t="s">
        <v>2490</v>
      </c>
      <c r="B12" t="s">
        <v>25</v>
      </c>
      <c r="C12" s="4">
        <v>45967</v>
      </c>
      <c r="D12" s="5">
        <v>45498.7</v>
      </c>
      <c r="E12" t="s">
        <v>2471</v>
      </c>
      <c r="F12" t="s">
        <v>2491</v>
      </c>
    </row>
    <row r="13" spans="1:6">
      <c r="A13" t="s">
        <v>2492</v>
      </c>
      <c r="B13" t="s">
        <v>163</v>
      </c>
      <c r="C13" s="4">
        <v>45953</v>
      </c>
      <c r="D13" s="5">
        <v>24362.48</v>
      </c>
      <c r="E13" t="s">
        <v>2471</v>
      </c>
      <c r="F13" t="s">
        <v>2489</v>
      </c>
    </row>
    <row r="14" spans="1:6">
      <c r="A14" t="s">
        <v>2493</v>
      </c>
      <c r="B14" t="s">
        <v>74</v>
      </c>
      <c r="C14" s="4">
        <v>45938</v>
      </c>
      <c r="D14" s="5">
        <v>8159.95</v>
      </c>
      <c r="E14" t="s">
        <v>2474</v>
      </c>
      <c r="F14" t="s">
        <v>2485</v>
      </c>
    </row>
    <row r="15" spans="1:6">
      <c r="A15" t="s">
        <v>2494</v>
      </c>
      <c r="B15" t="s">
        <v>16</v>
      </c>
      <c r="C15" s="4">
        <v>45999</v>
      </c>
      <c r="D15" s="5">
        <v>22297.94</v>
      </c>
      <c r="E15" t="s">
        <v>2471</v>
      </c>
      <c r="F15" t="s">
        <v>2478</v>
      </c>
    </row>
    <row r="16" spans="1:6">
      <c r="A16" t="s">
        <v>2495</v>
      </c>
      <c r="B16" t="s">
        <v>192</v>
      </c>
      <c r="C16" s="4">
        <v>45916</v>
      </c>
      <c r="D16" s="5">
        <v>13332.18</v>
      </c>
      <c r="E16" t="s">
        <v>2484</v>
      </c>
      <c r="F16" t="s">
        <v>2489</v>
      </c>
    </row>
    <row r="17" spans="1:6">
      <c r="A17" t="s">
        <v>2496</v>
      </c>
      <c r="B17" t="s">
        <v>301</v>
      </c>
      <c r="C17" s="4">
        <v>46105</v>
      </c>
      <c r="D17" s="5">
        <v>137912.14000000001</v>
      </c>
      <c r="E17" t="s">
        <v>2471</v>
      </c>
      <c r="F17" t="s">
        <v>2478</v>
      </c>
    </row>
    <row r="18" spans="1:6">
      <c r="A18" t="s">
        <v>2497</v>
      </c>
      <c r="B18" t="s">
        <v>108</v>
      </c>
      <c r="C18" s="4">
        <v>45970</v>
      </c>
      <c r="D18" s="5">
        <v>221618.01</v>
      </c>
      <c r="E18" t="s">
        <v>2474</v>
      </c>
      <c r="F18" t="s">
        <v>1913</v>
      </c>
    </row>
    <row r="19" spans="1:6">
      <c r="A19" t="s">
        <v>2498</v>
      </c>
      <c r="B19" t="s">
        <v>171</v>
      </c>
      <c r="C19" s="4">
        <v>45879</v>
      </c>
      <c r="D19" s="5">
        <v>52650.73</v>
      </c>
      <c r="E19" t="s">
        <v>2484</v>
      </c>
      <c r="F19" t="s">
        <v>2485</v>
      </c>
    </row>
    <row r="20" spans="1:6">
      <c r="A20" t="s">
        <v>2499</v>
      </c>
      <c r="B20" t="s">
        <v>262</v>
      </c>
      <c r="C20" s="4">
        <v>46150</v>
      </c>
      <c r="D20" s="5">
        <v>4210.7299999999996</v>
      </c>
      <c r="E20" t="s">
        <v>2484</v>
      </c>
      <c r="F20" t="s">
        <v>2472</v>
      </c>
    </row>
    <row r="21" spans="1:6">
      <c r="A21" t="s">
        <v>2500</v>
      </c>
      <c r="B21" t="s">
        <v>82</v>
      </c>
      <c r="C21" s="4">
        <v>46200</v>
      </c>
      <c r="D21" s="5">
        <v>50699.66</v>
      </c>
      <c r="E21" t="s">
        <v>2477</v>
      </c>
      <c r="F21" t="s">
        <v>2489</v>
      </c>
    </row>
    <row r="22" spans="1:6">
      <c r="A22" t="s">
        <v>2501</v>
      </c>
      <c r="B22" t="s">
        <v>105</v>
      </c>
      <c r="C22" s="4">
        <v>46002</v>
      </c>
      <c r="D22" s="5">
        <v>229904.89</v>
      </c>
      <c r="E22" t="s">
        <v>2484</v>
      </c>
      <c r="F22" t="s">
        <v>2475</v>
      </c>
    </row>
    <row r="23" spans="1:6">
      <c r="A23" t="s">
        <v>2502</v>
      </c>
      <c r="B23" t="s">
        <v>105</v>
      </c>
      <c r="C23" s="4">
        <v>46037</v>
      </c>
      <c r="D23" s="5">
        <v>140999.54999999999</v>
      </c>
      <c r="E23" t="s">
        <v>2484</v>
      </c>
      <c r="F23" t="s">
        <v>2482</v>
      </c>
    </row>
    <row r="24" spans="1:6">
      <c r="A24" t="s">
        <v>2503</v>
      </c>
      <c r="B24" t="s">
        <v>110</v>
      </c>
      <c r="C24" s="4">
        <v>46031</v>
      </c>
      <c r="D24" s="5">
        <v>64585.85</v>
      </c>
      <c r="E24" t="s">
        <v>2471</v>
      </c>
      <c r="F24" t="s">
        <v>2485</v>
      </c>
    </row>
    <row r="25" spans="1:6">
      <c r="A25" t="s">
        <v>2504</v>
      </c>
      <c r="B25" t="s">
        <v>66</v>
      </c>
      <c r="C25" s="4">
        <v>45960</v>
      </c>
      <c r="D25" s="5">
        <v>227754.29</v>
      </c>
      <c r="E25" t="s">
        <v>2477</v>
      </c>
      <c r="F25" t="s">
        <v>2505</v>
      </c>
    </row>
    <row r="26" spans="1:6">
      <c r="A26" t="s">
        <v>2506</v>
      </c>
      <c r="B26" t="s">
        <v>144</v>
      </c>
      <c r="C26" s="4">
        <v>46042</v>
      </c>
      <c r="D26" s="5">
        <v>173963.28</v>
      </c>
      <c r="E26" t="s">
        <v>2474</v>
      </c>
      <c r="F26" t="s">
        <v>2475</v>
      </c>
    </row>
    <row r="27" spans="1:6">
      <c r="A27" t="s">
        <v>2507</v>
      </c>
      <c r="B27" t="s">
        <v>183</v>
      </c>
      <c r="C27" s="4">
        <v>46160</v>
      </c>
      <c r="D27" s="5">
        <v>8697.6200000000008</v>
      </c>
      <c r="E27" t="s">
        <v>2484</v>
      </c>
      <c r="F27" t="s">
        <v>2485</v>
      </c>
    </row>
    <row r="28" spans="1:6">
      <c r="A28" t="s">
        <v>2508</v>
      </c>
      <c r="B28" t="s">
        <v>74</v>
      </c>
      <c r="C28" s="4">
        <v>45946</v>
      </c>
      <c r="D28" s="5">
        <v>15345.85</v>
      </c>
      <c r="E28" t="s">
        <v>2471</v>
      </c>
      <c r="F28" t="s">
        <v>2489</v>
      </c>
    </row>
    <row r="29" spans="1:6">
      <c r="A29" t="s">
        <v>2509</v>
      </c>
      <c r="B29" t="s">
        <v>283</v>
      </c>
      <c r="C29" s="4">
        <v>46074</v>
      </c>
      <c r="D29" s="5">
        <v>106041.47</v>
      </c>
      <c r="E29" t="s">
        <v>2477</v>
      </c>
      <c r="F29" t="s">
        <v>2472</v>
      </c>
    </row>
    <row r="30" spans="1:6">
      <c r="A30" t="s">
        <v>2510</v>
      </c>
      <c r="B30" t="s">
        <v>36</v>
      </c>
      <c r="C30" s="4">
        <v>46156</v>
      </c>
      <c r="D30" s="5">
        <v>94216.59</v>
      </c>
      <c r="E30" t="s">
        <v>2474</v>
      </c>
      <c r="F30" t="s">
        <v>2482</v>
      </c>
    </row>
    <row r="31" spans="1:6">
      <c r="A31" t="s">
        <v>2511</v>
      </c>
      <c r="B31" t="s">
        <v>105</v>
      </c>
      <c r="C31" s="4">
        <v>46015</v>
      </c>
      <c r="D31" s="5">
        <v>52917.81</v>
      </c>
      <c r="E31" t="s">
        <v>2484</v>
      </c>
      <c r="F31" t="s">
        <v>2489</v>
      </c>
    </row>
    <row r="32" spans="1:6">
      <c r="A32" t="s">
        <v>2512</v>
      </c>
      <c r="B32" t="s">
        <v>285</v>
      </c>
      <c r="C32" s="4">
        <v>46031</v>
      </c>
      <c r="D32" s="5">
        <v>75472.61</v>
      </c>
      <c r="E32" t="s">
        <v>2484</v>
      </c>
      <c r="F32" t="s">
        <v>2472</v>
      </c>
    </row>
    <row r="33" spans="1:6">
      <c r="A33" t="s">
        <v>2513</v>
      </c>
      <c r="B33" t="s">
        <v>71</v>
      </c>
      <c r="C33" s="4">
        <v>45938</v>
      </c>
      <c r="D33" s="5">
        <v>2879.94</v>
      </c>
      <c r="E33" t="s">
        <v>2471</v>
      </c>
      <c r="F33" t="s">
        <v>2478</v>
      </c>
    </row>
    <row r="34" spans="1:6">
      <c r="A34" t="s">
        <v>2514</v>
      </c>
      <c r="B34" t="s">
        <v>298</v>
      </c>
      <c r="C34" s="4">
        <v>46155</v>
      </c>
      <c r="D34" s="5">
        <v>137511.59</v>
      </c>
      <c r="E34" t="s">
        <v>2471</v>
      </c>
      <c r="F34" t="s">
        <v>2478</v>
      </c>
    </row>
    <row r="35" spans="1:6">
      <c r="A35" t="s">
        <v>2515</v>
      </c>
      <c r="B35" t="s">
        <v>162</v>
      </c>
      <c r="C35" s="4">
        <v>45913</v>
      </c>
      <c r="D35" s="5">
        <v>9704.24</v>
      </c>
      <c r="E35" t="s">
        <v>2477</v>
      </c>
      <c r="F35" t="s">
        <v>2505</v>
      </c>
    </row>
    <row r="36" spans="1:6">
      <c r="A36" t="s">
        <v>2516</v>
      </c>
      <c r="B36" t="s">
        <v>57</v>
      </c>
      <c r="C36" s="4">
        <v>45929</v>
      </c>
      <c r="D36" s="5">
        <v>39295.47</v>
      </c>
      <c r="E36" t="s">
        <v>2474</v>
      </c>
      <c r="F36" t="s">
        <v>2478</v>
      </c>
    </row>
    <row r="37" spans="1:6">
      <c r="A37" t="s">
        <v>2517</v>
      </c>
      <c r="B37" t="s">
        <v>80</v>
      </c>
      <c r="C37" s="4">
        <v>46137</v>
      </c>
      <c r="D37" s="5">
        <v>3735.85</v>
      </c>
      <c r="E37" t="s">
        <v>2474</v>
      </c>
      <c r="F37" t="s">
        <v>2482</v>
      </c>
    </row>
    <row r="38" spans="1:6">
      <c r="A38" t="s">
        <v>2518</v>
      </c>
      <c r="B38" t="s">
        <v>87</v>
      </c>
      <c r="C38" s="4">
        <v>46045</v>
      </c>
      <c r="D38" s="5">
        <v>18048.650000000001</v>
      </c>
      <c r="E38" t="s">
        <v>2474</v>
      </c>
      <c r="F38" t="s">
        <v>2475</v>
      </c>
    </row>
    <row r="39" spans="1:6">
      <c r="A39" t="s">
        <v>2519</v>
      </c>
      <c r="B39" t="s">
        <v>66</v>
      </c>
      <c r="C39" s="4">
        <v>45970</v>
      </c>
      <c r="D39" s="5">
        <v>65184.39</v>
      </c>
      <c r="E39" t="s">
        <v>2477</v>
      </c>
      <c r="F39" t="s">
        <v>1913</v>
      </c>
    </row>
    <row r="40" spans="1:6">
      <c r="A40" t="s">
        <v>2520</v>
      </c>
      <c r="B40" t="s">
        <v>186</v>
      </c>
      <c r="C40" s="4">
        <v>46022</v>
      </c>
      <c r="D40" s="5">
        <v>11585.36</v>
      </c>
      <c r="E40" t="s">
        <v>2477</v>
      </c>
      <c r="F40" t="s">
        <v>1913</v>
      </c>
    </row>
    <row r="41" spans="1:6">
      <c r="A41" t="s">
        <v>2521</v>
      </c>
      <c r="B41" t="s">
        <v>164</v>
      </c>
      <c r="C41" s="4">
        <v>46185</v>
      </c>
      <c r="D41" s="5">
        <v>94480.95</v>
      </c>
      <c r="E41" t="s">
        <v>2484</v>
      </c>
      <c r="F41" t="s">
        <v>2472</v>
      </c>
    </row>
    <row r="42" spans="1:6">
      <c r="A42" t="s">
        <v>2522</v>
      </c>
      <c r="B42" t="s">
        <v>43</v>
      </c>
      <c r="C42" s="4">
        <v>46060</v>
      </c>
      <c r="D42" s="5">
        <v>58877.25</v>
      </c>
      <c r="E42" t="s">
        <v>2471</v>
      </c>
      <c r="F42" t="s">
        <v>2475</v>
      </c>
    </row>
    <row r="43" spans="1:6">
      <c r="A43" t="s">
        <v>2523</v>
      </c>
      <c r="B43" t="s">
        <v>23</v>
      </c>
      <c r="C43" s="4">
        <v>46054</v>
      </c>
      <c r="D43" s="5">
        <v>42493.75</v>
      </c>
      <c r="E43" t="s">
        <v>2474</v>
      </c>
      <c r="F43" t="s">
        <v>2472</v>
      </c>
    </row>
    <row r="44" spans="1:6">
      <c r="A44" t="s">
        <v>2524</v>
      </c>
      <c r="B44" t="s">
        <v>96</v>
      </c>
      <c r="C44" s="4">
        <v>46024</v>
      </c>
      <c r="D44" s="5">
        <v>112649.99</v>
      </c>
      <c r="E44" t="s">
        <v>2484</v>
      </c>
      <c r="F44" t="s">
        <v>2489</v>
      </c>
    </row>
    <row r="45" spans="1:6">
      <c r="A45" t="s">
        <v>2525</v>
      </c>
      <c r="B45" t="s">
        <v>219</v>
      </c>
      <c r="C45" s="4">
        <v>45999</v>
      </c>
      <c r="D45" s="5">
        <v>90765.06</v>
      </c>
      <c r="E45" t="s">
        <v>2471</v>
      </c>
      <c r="F45" t="s">
        <v>2478</v>
      </c>
    </row>
    <row r="46" spans="1:6">
      <c r="A46" t="s">
        <v>2526</v>
      </c>
      <c r="B46" t="s">
        <v>34</v>
      </c>
      <c r="C46" s="4">
        <v>45999</v>
      </c>
      <c r="D46" s="5">
        <v>11850.56</v>
      </c>
      <c r="E46" t="s">
        <v>2474</v>
      </c>
      <c r="F46" t="s">
        <v>2491</v>
      </c>
    </row>
    <row r="47" spans="1:6">
      <c r="A47" t="s">
        <v>2527</v>
      </c>
      <c r="B47" t="s">
        <v>105</v>
      </c>
      <c r="C47" s="4">
        <v>46047</v>
      </c>
      <c r="D47" s="5">
        <v>183792.3</v>
      </c>
      <c r="E47" t="s">
        <v>2484</v>
      </c>
      <c r="F47" t="s">
        <v>2491</v>
      </c>
    </row>
    <row r="48" spans="1:6">
      <c r="A48" t="s">
        <v>2528</v>
      </c>
      <c r="B48" t="s">
        <v>16</v>
      </c>
      <c r="C48" s="4">
        <v>46012</v>
      </c>
      <c r="D48" s="5">
        <v>100947.87</v>
      </c>
      <c r="E48" t="s">
        <v>2484</v>
      </c>
      <c r="F48" t="s">
        <v>2485</v>
      </c>
    </row>
    <row r="49" spans="1:6">
      <c r="A49" t="s">
        <v>2529</v>
      </c>
      <c r="B49" t="s">
        <v>171</v>
      </c>
      <c r="C49" s="4">
        <v>45919</v>
      </c>
      <c r="D49" s="5">
        <v>32363.88</v>
      </c>
      <c r="E49" t="s">
        <v>2484</v>
      </c>
      <c r="F49" t="s">
        <v>1913</v>
      </c>
    </row>
    <row r="50" spans="1:6">
      <c r="A50" t="s">
        <v>2530</v>
      </c>
      <c r="B50" t="s">
        <v>228</v>
      </c>
      <c r="C50" s="4">
        <v>45932</v>
      </c>
      <c r="D50" s="5">
        <v>77282.62</v>
      </c>
      <c r="E50" t="s">
        <v>2477</v>
      </c>
      <c r="F50" t="s">
        <v>2485</v>
      </c>
    </row>
    <row r="51" spans="1:6">
      <c r="A51" t="s">
        <v>2531</v>
      </c>
      <c r="B51" t="s">
        <v>43</v>
      </c>
      <c r="C51" s="4">
        <v>46070</v>
      </c>
      <c r="D51" s="5">
        <v>1885.73</v>
      </c>
      <c r="E51" t="s">
        <v>2474</v>
      </c>
      <c r="F51" t="s">
        <v>2505</v>
      </c>
    </row>
    <row r="52" spans="1:6">
      <c r="A52" t="s">
        <v>2532</v>
      </c>
      <c r="B52" t="s">
        <v>121</v>
      </c>
      <c r="C52" s="4">
        <v>46114</v>
      </c>
      <c r="D52" s="5">
        <v>92783.12</v>
      </c>
      <c r="E52" t="s">
        <v>2484</v>
      </c>
      <c r="F52" t="s">
        <v>2482</v>
      </c>
    </row>
    <row r="53" spans="1:6">
      <c r="A53" t="s">
        <v>2533</v>
      </c>
      <c r="B53" t="s">
        <v>110</v>
      </c>
      <c r="C53" s="4">
        <v>46024</v>
      </c>
      <c r="D53" s="5">
        <v>74377.33</v>
      </c>
      <c r="E53" t="s">
        <v>2474</v>
      </c>
      <c r="F53" t="s">
        <v>2472</v>
      </c>
    </row>
    <row r="54" spans="1:6">
      <c r="A54" t="s">
        <v>2534</v>
      </c>
      <c r="B54" t="s">
        <v>285</v>
      </c>
      <c r="C54" s="4">
        <v>45956</v>
      </c>
      <c r="D54" s="5">
        <v>105921.66</v>
      </c>
      <c r="E54" t="s">
        <v>2477</v>
      </c>
      <c r="F54" t="s">
        <v>2491</v>
      </c>
    </row>
    <row r="55" spans="1:6">
      <c r="A55" t="s">
        <v>2535</v>
      </c>
      <c r="B55" t="s">
        <v>351</v>
      </c>
      <c r="C55" s="4">
        <v>46005</v>
      </c>
      <c r="D55" s="5">
        <v>36533.589999999997</v>
      </c>
      <c r="E55" t="s">
        <v>2474</v>
      </c>
      <c r="F55" t="s">
        <v>2505</v>
      </c>
    </row>
    <row r="56" spans="1:6">
      <c r="A56" t="s">
        <v>2536</v>
      </c>
      <c r="B56" t="s">
        <v>61</v>
      </c>
      <c r="C56" s="4">
        <v>45911</v>
      </c>
      <c r="D56" s="5">
        <v>92206.09</v>
      </c>
      <c r="E56" t="s">
        <v>2477</v>
      </c>
      <c r="F56" t="s">
        <v>2482</v>
      </c>
    </row>
    <row r="57" spans="1:6">
      <c r="A57" t="s">
        <v>2537</v>
      </c>
      <c r="B57" t="s">
        <v>171</v>
      </c>
      <c r="C57" s="4">
        <v>45953</v>
      </c>
      <c r="D57" s="5">
        <v>41581.74</v>
      </c>
      <c r="E57" t="s">
        <v>2484</v>
      </c>
      <c r="F57" t="s">
        <v>2475</v>
      </c>
    </row>
    <row r="58" spans="1:6">
      <c r="A58" t="s">
        <v>2538</v>
      </c>
      <c r="B58" t="s">
        <v>192</v>
      </c>
      <c r="C58" s="4">
        <v>45933</v>
      </c>
      <c r="D58" s="5">
        <v>4636.59</v>
      </c>
      <c r="E58" t="s">
        <v>2474</v>
      </c>
      <c r="F58" t="s">
        <v>2505</v>
      </c>
    </row>
    <row r="59" spans="1:6">
      <c r="A59" t="s">
        <v>2539</v>
      </c>
      <c r="B59" t="s">
        <v>196</v>
      </c>
      <c r="C59" s="4">
        <v>45883</v>
      </c>
      <c r="D59" s="5">
        <v>20787.86</v>
      </c>
      <c r="E59" t="s">
        <v>2474</v>
      </c>
      <c r="F59" t="s">
        <v>2478</v>
      </c>
    </row>
    <row r="60" spans="1:6">
      <c r="A60" t="s">
        <v>2540</v>
      </c>
      <c r="B60" t="s">
        <v>14</v>
      </c>
      <c r="C60" s="4">
        <v>46120</v>
      </c>
      <c r="D60" s="5">
        <v>28377.51</v>
      </c>
      <c r="E60" t="s">
        <v>2471</v>
      </c>
      <c r="F60" t="s">
        <v>2475</v>
      </c>
    </row>
    <row r="61" spans="1:6">
      <c r="A61" t="s">
        <v>2541</v>
      </c>
      <c r="B61" t="s">
        <v>25</v>
      </c>
      <c r="C61" s="4">
        <v>45950</v>
      </c>
      <c r="D61" s="5">
        <v>54993.86</v>
      </c>
      <c r="E61" t="s">
        <v>2474</v>
      </c>
      <c r="F61" t="s">
        <v>2472</v>
      </c>
    </row>
    <row r="62" spans="1:6">
      <c r="A62" t="s">
        <v>2542</v>
      </c>
      <c r="B62" t="s">
        <v>94</v>
      </c>
      <c r="C62" s="4">
        <v>46141</v>
      </c>
      <c r="D62" s="5">
        <v>175404.6</v>
      </c>
      <c r="E62" t="s">
        <v>2471</v>
      </c>
      <c r="F62" t="s">
        <v>2505</v>
      </c>
    </row>
    <row r="63" spans="1:6">
      <c r="A63" t="s">
        <v>2543</v>
      </c>
      <c r="B63" t="s">
        <v>110</v>
      </c>
      <c r="C63" s="4">
        <v>46046</v>
      </c>
      <c r="D63" s="5">
        <v>67489.52</v>
      </c>
      <c r="E63" t="s">
        <v>2474</v>
      </c>
      <c r="F63" t="s">
        <v>2475</v>
      </c>
    </row>
    <row r="64" spans="1:6">
      <c r="A64" t="s">
        <v>2544</v>
      </c>
      <c r="B64" t="s">
        <v>192</v>
      </c>
      <c r="C64" s="4">
        <v>45946</v>
      </c>
      <c r="D64" s="5">
        <v>7237.22</v>
      </c>
      <c r="E64" t="s">
        <v>2484</v>
      </c>
      <c r="F64" t="s">
        <v>2482</v>
      </c>
    </row>
    <row r="65" spans="1:6">
      <c r="A65" t="s">
        <v>2545</v>
      </c>
      <c r="B65" t="s">
        <v>66</v>
      </c>
      <c r="C65" s="4">
        <v>45978</v>
      </c>
      <c r="D65" s="5">
        <v>19769.04</v>
      </c>
      <c r="E65" t="s">
        <v>2474</v>
      </c>
      <c r="F65" t="s">
        <v>2472</v>
      </c>
    </row>
    <row r="66" spans="1:6">
      <c r="A66" t="s">
        <v>2546</v>
      </c>
      <c r="B66" t="s">
        <v>298</v>
      </c>
      <c r="C66" s="4">
        <v>46171</v>
      </c>
      <c r="D66" s="5">
        <v>53641.67</v>
      </c>
      <c r="E66" t="s">
        <v>2477</v>
      </c>
      <c r="F66" t="s">
        <v>2478</v>
      </c>
    </row>
    <row r="67" spans="1:6">
      <c r="A67" t="s">
        <v>2547</v>
      </c>
      <c r="B67" t="s">
        <v>253</v>
      </c>
      <c r="C67" s="4">
        <v>45999</v>
      </c>
      <c r="D67" s="5">
        <v>7587.89</v>
      </c>
      <c r="E67" t="s">
        <v>2484</v>
      </c>
      <c r="F67" t="s">
        <v>2505</v>
      </c>
    </row>
    <row r="68" spans="1:6">
      <c r="A68" t="s">
        <v>2548</v>
      </c>
      <c r="B68" t="s">
        <v>142</v>
      </c>
      <c r="C68" s="4">
        <v>45969</v>
      </c>
      <c r="D68" s="5">
        <v>122203.3</v>
      </c>
      <c r="E68" t="s">
        <v>2471</v>
      </c>
      <c r="F68" t="s">
        <v>2489</v>
      </c>
    </row>
    <row r="69" spans="1:6">
      <c r="A69" t="s">
        <v>2549</v>
      </c>
      <c r="B69" t="s">
        <v>273</v>
      </c>
      <c r="C69" s="4">
        <v>45957</v>
      </c>
      <c r="D69" s="5">
        <v>56659.03</v>
      </c>
      <c r="E69" t="s">
        <v>2474</v>
      </c>
      <c r="F69" t="s">
        <v>2478</v>
      </c>
    </row>
    <row r="70" spans="1:6">
      <c r="A70" t="s">
        <v>2550</v>
      </c>
      <c r="B70" t="s">
        <v>16</v>
      </c>
      <c r="C70" s="4">
        <v>46010</v>
      </c>
      <c r="D70" s="5">
        <v>120616.83</v>
      </c>
      <c r="E70" t="s">
        <v>2477</v>
      </c>
      <c r="F70" t="s">
        <v>1913</v>
      </c>
    </row>
    <row r="71" spans="1:6">
      <c r="A71" t="s">
        <v>2551</v>
      </c>
      <c r="B71" t="s">
        <v>29</v>
      </c>
      <c r="C71" s="4">
        <v>46069</v>
      </c>
      <c r="D71" s="5">
        <v>12409.54</v>
      </c>
      <c r="E71" t="s">
        <v>2477</v>
      </c>
      <c r="F71" t="s">
        <v>2482</v>
      </c>
    </row>
    <row r="72" spans="1:6">
      <c r="A72" t="s">
        <v>2552</v>
      </c>
      <c r="B72" t="s">
        <v>171</v>
      </c>
      <c r="C72" s="4">
        <v>45934</v>
      </c>
      <c r="D72" s="5">
        <v>9717.66</v>
      </c>
      <c r="E72" t="s">
        <v>2484</v>
      </c>
      <c r="F72" t="s">
        <v>2489</v>
      </c>
    </row>
    <row r="73" spans="1:6">
      <c r="A73" t="s">
        <v>2553</v>
      </c>
      <c r="B73" t="s">
        <v>183</v>
      </c>
      <c r="C73" s="4">
        <v>46153</v>
      </c>
      <c r="D73" s="5">
        <v>48660.99</v>
      </c>
      <c r="E73" t="s">
        <v>2484</v>
      </c>
      <c r="F73" t="s">
        <v>2489</v>
      </c>
    </row>
    <row r="74" spans="1:6">
      <c r="A74" t="s">
        <v>2554</v>
      </c>
      <c r="B74" t="s">
        <v>144</v>
      </c>
      <c r="C74" s="4">
        <v>46020</v>
      </c>
      <c r="D74" s="5">
        <v>193557.65</v>
      </c>
      <c r="E74" t="s">
        <v>2474</v>
      </c>
      <c r="F74" t="s">
        <v>1913</v>
      </c>
    </row>
    <row r="75" spans="1:6">
      <c r="A75" t="s">
        <v>2555</v>
      </c>
      <c r="B75" t="s">
        <v>29</v>
      </c>
      <c r="C75" s="4">
        <v>46027</v>
      </c>
      <c r="D75" s="5">
        <v>21663.62</v>
      </c>
      <c r="E75" t="s">
        <v>2471</v>
      </c>
      <c r="F75" t="s">
        <v>2505</v>
      </c>
    </row>
    <row r="76" spans="1:6">
      <c r="A76" t="s">
        <v>2556</v>
      </c>
      <c r="B76" t="s">
        <v>106</v>
      </c>
      <c r="C76" s="4">
        <v>46086</v>
      </c>
      <c r="D76" s="5">
        <v>3661.41</v>
      </c>
      <c r="E76" t="s">
        <v>2484</v>
      </c>
      <c r="F76" t="s">
        <v>2489</v>
      </c>
    </row>
    <row r="77" spans="1:6">
      <c r="A77" t="s">
        <v>2557</v>
      </c>
      <c r="B77" t="s">
        <v>217</v>
      </c>
      <c r="C77" s="4">
        <v>45959</v>
      </c>
      <c r="D77" s="5">
        <v>57315.76</v>
      </c>
      <c r="E77" t="s">
        <v>2471</v>
      </c>
      <c r="F77" t="s">
        <v>2505</v>
      </c>
    </row>
    <row r="78" spans="1:6">
      <c r="A78" t="s">
        <v>2558</v>
      </c>
      <c r="B78" t="s">
        <v>84</v>
      </c>
      <c r="C78" s="4">
        <v>46016</v>
      </c>
      <c r="D78" s="5">
        <v>144072.93</v>
      </c>
      <c r="E78" t="s">
        <v>2484</v>
      </c>
      <c r="F78" t="s">
        <v>2489</v>
      </c>
    </row>
    <row r="79" spans="1:6">
      <c r="A79" t="s">
        <v>2559</v>
      </c>
      <c r="B79" t="s">
        <v>283</v>
      </c>
      <c r="C79" s="4">
        <v>46138</v>
      </c>
      <c r="D79" s="5">
        <v>19865.419999999998</v>
      </c>
      <c r="E79" t="s">
        <v>2484</v>
      </c>
      <c r="F79" t="s">
        <v>2472</v>
      </c>
    </row>
    <row r="80" spans="1:6">
      <c r="A80" t="s">
        <v>2560</v>
      </c>
      <c r="B80" t="s">
        <v>124</v>
      </c>
      <c r="C80" s="4">
        <v>46004</v>
      </c>
      <c r="D80" s="5">
        <v>1651.69</v>
      </c>
      <c r="E80" t="s">
        <v>2484</v>
      </c>
      <c r="F80" t="s">
        <v>2472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1"/>
  <sheetViews>
    <sheetView workbookViewId="0">
      <selection activeCell="B9" sqref="B9"/>
    </sheetView>
  </sheetViews>
  <sheetFormatPr baseColWidth="10" defaultColWidth="8.83203125" defaultRowHeight="15"/>
  <cols>
    <col min="1" max="1" width="10.1640625" style="10" customWidth="1"/>
    <col min="2" max="2" width="10.83203125" style="10" customWidth="1"/>
    <col min="3" max="3" width="13.6640625" style="11" customWidth="1"/>
    <col min="4" max="4" width="15" style="11" customWidth="1"/>
    <col min="5" max="5" width="11.6640625" style="11" customWidth="1"/>
    <col min="6" max="6" width="17.6640625" style="11" customWidth="1"/>
    <col min="7" max="7" width="8.83203125" style="10" customWidth="1"/>
    <col min="8" max="16384" width="8.83203125" style="10"/>
  </cols>
  <sheetData>
    <row r="1" spans="1:6">
      <c r="A1" s="8" t="s">
        <v>2561</v>
      </c>
      <c r="B1" s="8" t="s">
        <v>1</v>
      </c>
      <c r="C1" s="9" t="s">
        <v>2562</v>
      </c>
      <c r="D1" s="9" t="s">
        <v>2563</v>
      </c>
      <c r="E1" s="9" t="s">
        <v>2564</v>
      </c>
      <c r="F1" s="9" t="s">
        <v>2565</v>
      </c>
    </row>
    <row r="2" spans="1:6">
      <c r="A2" s="10" t="s">
        <v>2566</v>
      </c>
      <c r="B2" s="10" t="s">
        <v>120</v>
      </c>
      <c r="C2" s="11">
        <v>15992</v>
      </c>
      <c r="D2" s="11">
        <v>7999</v>
      </c>
      <c r="E2" s="11">
        <v>7993</v>
      </c>
      <c r="F2" s="11">
        <v>7993</v>
      </c>
    </row>
    <row r="3" spans="1:6">
      <c r="A3" s="10" t="s">
        <v>2567</v>
      </c>
      <c r="B3" s="10" t="s">
        <v>127</v>
      </c>
      <c r="C3" s="11">
        <v>13176</v>
      </c>
      <c r="D3" s="11">
        <v>10659</v>
      </c>
      <c r="E3" s="11">
        <v>2517</v>
      </c>
      <c r="F3" s="11">
        <v>10510</v>
      </c>
    </row>
    <row r="4" spans="1:6">
      <c r="A4" s="10" t="s">
        <v>2568</v>
      </c>
      <c r="B4" s="10" t="s">
        <v>120</v>
      </c>
      <c r="C4" s="11">
        <v>12078</v>
      </c>
      <c r="D4" s="11">
        <v>13011</v>
      </c>
      <c r="E4" s="11">
        <v>-933</v>
      </c>
      <c r="F4" s="11">
        <v>9577</v>
      </c>
    </row>
    <row r="5" spans="1:6">
      <c r="A5" s="10" t="s">
        <v>2569</v>
      </c>
      <c r="B5" s="10" t="s">
        <v>120</v>
      </c>
      <c r="C5" s="11">
        <v>19020</v>
      </c>
      <c r="D5" s="11">
        <v>11426</v>
      </c>
      <c r="E5" s="11">
        <v>7594</v>
      </c>
      <c r="F5" s="11">
        <v>17171</v>
      </c>
    </row>
    <row r="6" spans="1:6">
      <c r="A6" s="10" t="s">
        <v>2570</v>
      </c>
      <c r="B6" s="10" t="s">
        <v>183</v>
      </c>
      <c r="C6" s="11">
        <v>14322</v>
      </c>
      <c r="D6" s="11">
        <v>12688</v>
      </c>
      <c r="E6" s="11">
        <v>1634</v>
      </c>
      <c r="F6" s="11">
        <v>18805</v>
      </c>
    </row>
    <row r="7" spans="1:6">
      <c r="A7" s="10" t="s">
        <v>2571</v>
      </c>
      <c r="B7" s="10" t="s">
        <v>183</v>
      </c>
      <c r="C7" s="11">
        <v>12262</v>
      </c>
      <c r="D7" s="11">
        <v>13666</v>
      </c>
      <c r="E7" s="11">
        <v>-1404</v>
      </c>
      <c r="F7" s="11">
        <v>17401</v>
      </c>
    </row>
    <row r="8" spans="1:6">
      <c r="A8" s="10" t="s">
        <v>2572</v>
      </c>
      <c r="B8" s="10" t="s">
        <v>61</v>
      </c>
      <c r="C8" s="11">
        <v>16377</v>
      </c>
      <c r="D8" s="11">
        <v>9808</v>
      </c>
      <c r="E8" s="11">
        <v>6569</v>
      </c>
      <c r="F8" s="11">
        <v>23970</v>
      </c>
    </row>
    <row r="9" spans="1:6">
      <c r="A9" s="10" t="s">
        <v>2573</v>
      </c>
      <c r="B9" s="10" t="s">
        <v>127</v>
      </c>
      <c r="C9" s="11">
        <v>14977</v>
      </c>
      <c r="D9" s="11">
        <v>7617</v>
      </c>
      <c r="E9" s="11">
        <v>7360</v>
      </c>
      <c r="F9" s="11">
        <v>31330</v>
      </c>
    </row>
    <row r="10" spans="1:6">
      <c r="A10" s="10" t="s">
        <v>2574</v>
      </c>
      <c r="B10" s="10" t="s">
        <v>120</v>
      </c>
      <c r="C10" s="11">
        <v>12565</v>
      </c>
      <c r="D10" s="11">
        <v>14465</v>
      </c>
      <c r="E10" s="11">
        <v>-1900</v>
      </c>
      <c r="F10" s="11">
        <v>29430</v>
      </c>
    </row>
    <row r="11" spans="1:6">
      <c r="A11" s="10" t="s">
        <v>2575</v>
      </c>
      <c r="B11" s="10" t="s">
        <v>40</v>
      </c>
      <c r="C11" s="11">
        <v>19602</v>
      </c>
      <c r="D11" s="11">
        <v>11022</v>
      </c>
      <c r="E11" s="11">
        <v>8580</v>
      </c>
      <c r="F11" s="11">
        <v>38010</v>
      </c>
    </row>
    <row r="12" spans="1:6">
      <c r="A12" s="10" t="s">
        <v>2576</v>
      </c>
      <c r="B12" s="10" t="s">
        <v>183</v>
      </c>
      <c r="C12" s="11">
        <v>8355</v>
      </c>
      <c r="D12" s="11">
        <v>10027</v>
      </c>
      <c r="E12" s="11">
        <v>-1672</v>
      </c>
      <c r="F12" s="11">
        <v>36338</v>
      </c>
    </row>
    <row r="13" spans="1:6">
      <c r="A13" s="10" t="s">
        <v>2577</v>
      </c>
      <c r="B13" s="10" t="s">
        <v>120</v>
      </c>
      <c r="C13" s="11">
        <v>18247</v>
      </c>
      <c r="D13" s="11">
        <v>7262</v>
      </c>
      <c r="E13" s="11">
        <v>10985</v>
      </c>
      <c r="F13" s="11">
        <v>47323</v>
      </c>
    </row>
    <row r="14" spans="1:6">
      <c r="A14" s="10" t="s">
        <v>2578</v>
      </c>
      <c r="B14" s="10" t="s">
        <v>61</v>
      </c>
      <c r="C14" s="11">
        <v>8095</v>
      </c>
      <c r="D14" s="11">
        <v>11771</v>
      </c>
      <c r="E14" s="11">
        <v>-3676</v>
      </c>
      <c r="F14" s="11">
        <v>43647</v>
      </c>
    </row>
    <row r="15" spans="1:6">
      <c r="A15" s="10" t="s">
        <v>2579</v>
      </c>
      <c r="B15" s="10" t="s">
        <v>183</v>
      </c>
      <c r="C15" s="11">
        <v>10123</v>
      </c>
      <c r="D15" s="11">
        <v>14297</v>
      </c>
      <c r="E15" s="11">
        <v>-4174</v>
      </c>
      <c r="F15" s="11">
        <v>39473</v>
      </c>
    </row>
    <row r="16" spans="1:6">
      <c r="A16" s="10" t="s">
        <v>2580</v>
      </c>
      <c r="B16" s="10" t="s">
        <v>61</v>
      </c>
      <c r="C16" s="11">
        <v>13357</v>
      </c>
      <c r="D16" s="11">
        <v>11276</v>
      </c>
      <c r="E16" s="11">
        <v>2081</v>
      </c>
      <c r="F16" s="11">
        <v>41554</v>
      </c>
    </row>
    <row r="17" spans="1:6">
      <c r="A17" s="10" t="s">
        <v>2581</v>
      </c>
      <c r="B17" s="10" t="s">
        <v>127</v>
      </c>
      <c r="C17" s="11">
        <v>13469</v>
      </c>
      <c r="D17" s="11">
        <v>6799</v>
      </c>
      <c r="E17" s="11">
        <v>6670</v>
      </c>
      <c r="F17" s="11">
        <v>48224</v>
      </c>
    </row>
    <row r="18" spans="1:6">
      <c r="A18" s="10" t="s">
        <v>2582</v>
      </c>
      <c r="B18" s="10" t="s">
        <v>183</v>
      </c>
      <c r="C18" s="11">
        <v>19012</v>
      </c>
      <c r="D18" s="11">
        <v>5888</v>
      </c>
      <c r="E18" s="11">
        <v>13124</v>
      </c>
      <c r="F18" s="11">
        <v>61348</v>
      </c>
    </row>
    <row r="19" spans="1:6">
      <c r="A19" s="10" t="s">
        <v>2583</v>
      </c>
      <c r="B19" s="10" t="s">
        <v>183</v>
      </c>
      <c r="C19" s="11">
        <v>10070</v>
      </c>
      <c r="D19" s="11">
        <v>12328</v>
      </c>
      <c r="E19" s="11">
        <v>-2258</v>
      </c>
      <c r="F19" s="11">
        <v>59090</v>
      </c>
    </row>
    <row r="20" spans="1:6">
      <c r="A20" s="10" t="s">
        <v>2584</v>
      </c>
      <c r="B20" s="10" t="s">
        <v>127</v>
      </c>
      <c r="C20" s="11">
        <v>19648</v>
      </c>
      <c r="D20" s="11">
        <v>13064</v>
      </c>
      <c r="E20" s="11">
        <v>6584</v>
      </c>
      <c r="F20" s="11">
        <v>65674</v>
      </c>
    </row>
    <row r="21" spans="1:6">
      <c r="A21" s="10" t="s">
        <v>2585</v>
      </c>
      <c r="B21" s="10" t="s">
        <v>211</v>
      </c>
      <c r="C21" s="11">
        <v>17785</v>
      </c>
      <c r="D21" s="11">
        <v>8791</v>
      </c>
      <c r="E21" s="11">
        <v>8994</v>
      </c>
      <c r="F21" s="11">
        <v>74668</v>
      </c>
    </row>
    <row r="22" spans="1:6">
      <c r="A22" s="10" t="s">
        <v>2586</v>
      </c>
      <c r="B22" s="10" t="s">
        <v>61</v>
      </c>
      <c r="C22" s="11">
        <v>13235</v>
      </c>
      <c r="D22" s="11">
        <v>5356</v>
      </c>
      <c r="E22" s="11">
        <v>7879</v>
      </c>
      <c r="F22" s="11">
        <v>82547</v>
      </c>
    </row>
    <row r="23" spans="1:6">
      <c r="A23" s="10" t="s">
        <v>2587</v>
      </c>
      <c r="B23" s="10" t="s">
        <v>127</v>
      </c>
      <c r="C23" s="11">
        <v>15222</v>
      </c>
      <c r="D23" s="11">
        <v>14573</v>
      </c>
      <c r="E23" s="11">
        <v>649</v>
      </c>
      <c r="F23" s="11">
        <v>83196</v>
      </c>
    </row>
    <row r="24" spans="1:6">
      <c r="A24" s="10" t="s">
        <v>2588</v>
      </c>
      <c r="B24" s="10" t="s">
        <v>127</v>
      </c>
      <c r="C24" s="11">
        <v>12217</v>
      </c>
      <c r="D24" s="11">
        <v>9412</v>
      </c>
      <c r="E24" s="11">
        <v>2805</v>
      </c>
      <c r="F24" s="11">
        <v>86001</v>
      </c>
    </row>
    <row r="25" spans="1:6">
      <c r="A25" s="10" t="s">
        <v>2589</v>
      </c>
      <c r="B25" s="10" t="s">
        <v>61</v>
      </c>
      <c r="C25" s="11">
        <v>9195</v>
      </c>
      <c r="D25" s="11">
        <v>7146</v>
      </c>
      <c r="E25" s="11">
        <v>2049</v>
      </c>
      <c r="F25" s="11">
        <v>88050</v>
      </c>
    </row>
    <row r="26" spans="1:6">
      <c r="A26" s="10" t="s">
        <v>2590</v>
      </c>
      <c r="B26" s="10" t="s">
        <v>183</v>
      </c>
      <c r="C26" s="11">
        <v>9806</v>
      </c>
      <c r="D26" s="11">
        <v>9934</v>
      </c>
      <c r="E26" s="11">
        <v>-128</v>
      </c>
      <c r="F26" s="11">
        <v>87922</v>
      </c>
    </row>
    <row r="27" spans="1:6">
      <c r="A27" s="10" t="s">
        <v>2591</v>
      </c>
      <c r="B27" s="10" t="s">
        <v>40</v>
      </c>
      <c r="C27" s="11">
        <v>18760</v>
      </c>
      <c r="D27" s="11">
        <v>11082</v>
      </c>
      <c r="E27" s="11">
        <v>7678</v>
      </c>
      <c r="F27" s="11">
        <v>95600</v>
      </c>
    </row>
    <row r="28" spans="1:6">
      <c r="A28" s="10" t="s">
        <v>2592</v>
      </c>
      <c r="B28" s="10" t="s">
        <v>127</v>
      </c>
      <c r="C28" s="11">
        <v>11048</v>
      </c>
      <c r="D28" s="11">
        <v>7414</v>
      </c>
      <c r="E28" s="11">
        <v>3634</v>
      </c>
      <c r="F28" s="11">
        <v>99234</v>
      </c>
    </row>
    <row r="29" spans="1:6">
      <c r="A29" s="10" t="s">
        <v>2593</v>
      </c>
      <c r="B29" s="10" t="s">
        <v>183</v>
      </c>
      <c r="C29" s="11">
        <v>12795</v>
      </c>
      <c r="D29" s="11">
        <v>13084</v>
      </c>
      <c r="E29" s="11">
        <v>-289</v>
      </c>
      <c r="F29" s="11">
        <v>98945</v>
      </c>
    </row>
    <row r="30" spans="1:6">
      <c r="A30" s="10" t="s">
        <v>2594</v>
      </c>
      <c r="B30" s="10" t="s">
        <v>120</v>
      </c>
      <c r="C30" s="11">
        <v>17012</v>
      </c>
      <c r="D30" s="11">
        <v>5102</v>
      </c>
      <c r="E30" s="11">
        <v>11910</v>
      </c>
      <c r="F30" s="11">
        <v>110855</v>
      </c>
    </row>
    <row r="31" spans="1:6">
      <c r="A31" s="10" t="s">
        <v>2595</v>
      </c>
      <c r="B31" s="10" t="s">
        <v>211</v>
      </c>
      <c r="C31" s="11">
        <v>13650</v>
      </c>
      <c r="D31" s="11">
        <v>13073</v>
      </c>
      <c r="E31" s="11">
        <v>577</v>
      </c>
      <c r="F31" s="11">
        <v>111432</v>
      </c>
    </row>
    <row r="32" spans="1:6">
      <c r="A32" s="10" t="s">
        <v>2596</v>
      </c>
      <c r="B32" s="10" t="s">
        <v>127</v>
      </c>
      <c r="C32" s="11">
        <v>17293</v>
      </c>
      <c r="D32" s="11">
        <v>12596</v>
      </c>
      <c r="E32" s="11">
        <v>4697</v>
      </c>
      <c r="F32" s="11">
        <v>116129</v>
      </c>
    </row>
    <row r="33" spans="1:6">
      <c r="A33" s="10" t="s">
        <v>2597</v>
      </c>
      <c r="B33" s="10" t="s">
        <v>61</v>
      </c>
      <c r="C33" s="11">
        <v>14120</v>
      </c>
      <c r="D33" s="11">
        <v>6904</v>
      </c>
      <c r="E33" s="11">
        <v>7216</v>
      </c>
      <c r="F33" s="11">
        <v>123345</v>
      </c>
    </row>
    <row r="34" spans="1:6">
      <c r="A34" s="10" t="s">
        <v>2598</v>
      </c>
      <c r="B34" s="10" t="s">
        <v>183</v>
      </c>
      <c r="C34" s="11">
        <v>12772</v>
      </c>
      <c r="D34" s="11">
        <v>5850</v>
      </c>
      <c r="E34" s="11">
        <v>6922</v>
      </c>
      <c r="F34" s="11">
        <v>130267</v>
      </c>
    </row>
    <row r="35" spans="1:6">
      <c r="A35" s="10" t="s">
        <v>2599</v>
      </c>
      <c r="B35" s="10" t="s">
        <v>127</v>
      </c>
      <c r="C35" s="11">
        <v>8396</v>
      </c>
      <c r="D35" s="11">
        <v>8335</v>
      </c>
      <c r="E35" s="11">
        <v>61</v>
      </c>
      <c r="F35" s="11">
        <v>130328</v>
      </c>
    </row>
    <row r="36" spans="1:6">
      <c r="A36" s="10" t="s">
        <v>2600</v>
      </c>
      <c r="B36" s="10" t="s">
        <v>127</v>
      </c>
      <c r="C36" s="11">
        <v>18645</v>
      </c>
      <c r="D36" s="11">
        <v>13678</v>
      </c>
      <c r="E36" s="11">
        <v>4967</v>
      </c>
      <c r="F36" s="11">
        <v>135295</v>
      </c>
    </row>
    <row r="37" spans="1:6">
      <c r="A37" s="10" t="s">
        <v>2601</v>
      </c>
      <c r="B37" s="10" t="s">
        <v>183</v>
      </c>
      <c r="C37" s="11">
        <v>9533</v>
      </c>
      <c r="D37" s="11">
        <v>9794</v>
      </c>
      <c r="E37" s="11">
        <v>-261</v>
      </c>
      <c r="F37" s="11">
        <v>135034</v>
      </c>
    </row>
    <row r="38" spans="1:6">
      <c r="A38" s="10" t="s">
        <v>2602</v>
      </c>
      <c r="B38" s="10" t="s">
        <v>127</v>
      </c>
      <c r="C38" s="11">
        <v>17101</v>
      </c>
      <c r="D38" s="11">
        <v>7359</v>
      </c>
      <c r="E38" s="11">
        <v>9742</v>
      </c>
      <c r="F38" s="11">
        <v>144776</v>
      </c>
    </row>
    <row r="39" spans="1:6">
      <c r="A39" s="10" t="s">
        <v>2603</v>
      </c>
      <c r="B39" s="10" t="s">
        <v>211</v>
      </c>
      <c r="C39" s="11">
        <v>11163</v>
      </c>
      <c r="D39" s="11">
        <v>12286</v>
      </c>
      <c r="E39" s="11">
        <v>-1123</v>
      </c>
      <c r="F39" s="11">
        <v>143653</v>
      </c>
    </row>
    <row r="40" spans="1:6">
      <c r="A40" s="10" t="s">
        <v>2604</v>
      </c>
      <c r="B40" s="10" t="s">
        <v>211</v>
      </c>
      <c r="C40" s="11">
        <v>19978</v>
      </c>
      <c r="D40" s="11">
        <v>7556</v>
      </c>
      <c r="E40" s="11">
        <v>12422</v>
      </c>
      <c r="F40" s="11">
        <v>156075</v>
      </c>
    </row>
    <row r="41" spans="1:6">
      <c r="A41" s="10" t="s">
        <v>2605</v>
      </c>
      <c r="B41" s="10" t="s">
        <v>211</v>
      </c>
      <c r="C41" s="11">
        <v>8919</v>
      </c>
      <c r="D41" s="11">
        <v>14296</v>
      </c>
      <c r="E41" s="11">
        <v>-5377</v>
      </c>
      <c r="F41" s="11">
        <v>150698</v>
      </c>
    </row>
    <row r="42" spans="1:6">
      <c r="A42" s="10" t="s">
        <v>2606</v>
      </c>
      <c r="B42" s="10" t="s">
        <v>120</v>
      </c>
      <c r="C42" s="11">
        <v>19520</v>
      </c>
      <c r="D42" s="11">
        <v>9419</v>
      </c>
      <c r="E42" s="11">
        <v>10101</v>
      </c>
      <c r="F42" s="11">
        <v>160799</v>
      </c>
    </row>
    <row r="43" spans="1:6">
      <c r="A43" s="10" t="s">
        <v>2607</v>
      </c>
      <c r="B43" s="10" t="s">
        <v>183</v>
      </c>
      <c r="C43" s="11">
        <v>9049</v>
      </c>
      <c r="D43" s="11">
        <v>11466</v>
      </c>
      <c r="E43" s="11">
        <v>-2417</v>
      </c>
      <c r="F43" s="11">
        <v>158382</v>
      </c>
    </row>
    <row r="44" spans="1:6">
      <c r="A44" s="10" t="s">
        <v>2608</v>
      </c>
      <c r="B44" s="10" t="s">
        <v>40</v>
      </c>
      <c r="C44" s="11">
        <v>14556</v>
      </c>
      <c r="D44" s="11">
        <v>12295</v>
      </c>
      <c r="E44" s="11">
        <v>2261</v>
      </c>
      <c r="F44" s="11">
        <v>160643</v>
      </c>
    </row>
    <row r="45" spans="1:6">
      <c r="A45" s="10" t="s">
        <v>2609</v>
      </c>
      <c r="B45" s="10" t="s">
        <v>183</v>
      </c>
      <c r="C45" s="11">
        <v>14478</v>
      </c>
      <c r="D45" s="11">
        <v>8229</v>
      </c>
      <c r="E45" s="11">
        <v>6249</v>
      </c>
      <c r="F45" s="11">
        <v>166892</v>
      </c>
    </row>
    <row r="46" spans="1:6">
      <c r="A46" s="10" t="s">
        <v>2610</v>
      </c>
      <c r="B46" s="10" t="s">
        <v>211</v>
      </c>
      <c r="C46" s="11">
        <v>18324</v>
      </c>
      <c r="D46" s="11">
        <v>8599</v>
      </c>
      <c r="E46" s="11">
        <v>9725</v>
      </c>
      <c r="F46" s="11">
        <v>176617</v>
      </c>
    </row>
    <row r="47" spans="1:6">
      <c r="A47" s="10" t="s">
        <v>2611</v>
      </c>
      <c r="B47" s="10" t="s">
        <v>183</v>
      </c>
      <c r="C47" s="11">
        <v>10303</v>
      </c>
      <c r="D47" s="11">
        <v>13523</v>
      </c>
      <c r="E47" s="11">
        <v>-3220</v>
      </c>
      <c r="F47" s="11">
        <v>173397</v>
      </c>
    </row>
    <row r="48" spans="1:6">
      <c r="A48" s="10" t="s">
        <v>2612</v>
      </c>
      <c r="B48" s="10" t="s">
        <v>40</v>
      </c>
      <c r="C48" s="11">
        <v>11284</v>
      </c>
      <c r="D48" s="11">
        <v>5071</v>
      </c>
      <c r="E48" s="11">
        <v>6213</v>
      </c>
      <c r="F48" s="11">
        <v>179610</v>
      </c>
    </row>
    <row r="49" spans="1:6">
      <c r="A49" s="10" t="s">
        <v>2613</v>
      </c>
      <c r="B49" s="10" t="s">
        <v>127</v>
      </c>
      <c r="C49" s="11">
        <v>9103</v>
      </c>
      <c r="D49" s="11">
        <v>7266</v>
      </c>
      <c r="E49" s="11">
        <v>1837</v>
      </c>
      <c r="F49" s="11">
        <v>181447</v>
      </c>
    </row>
    <row r="50" spans="1:6">
      <c r="A50" s="10" t="s">
        <v>2614</v>
      </c>
      <c r="B50" s="10" t="s">
        <v>211</v>
      </c>
      <c r="C50" s="11">
        <v>8443</v>
      </c>
      <c r="D50" s="11">
        <v>5802</v>
      </c>
      <c r="E50" s="11">
        <v>2641</v>
      </c>
      <c r="F50" s="11">
        <v>184088</v>
      </c>
    </row>
    <row r="51" spans="1:6">
      <c r="A51" s="10" t="s">
        <v>2615</v>
      </c>
      <c r="B51" s="10" t="s">
        <v>120</v>
      </c>
      <c r="C51" s="11">
        <v>19073</v>
      </c>
      <c r="D51" s="11">
        <v>13486</v>
      </c>
      <c r="E51" s="11">
        <v>5587</v>
      </c>
      <c r="F51" s="11">
        <v>189675</v>
      </c>
    </row>
    <row r="52" spans="1:6">
      <c r="A52" s="10" t="s">
        <v>2616</v>
      </c>
      <c r="B52" s="10" t="s">
        <v>127</v>
      </c>
      <c r="C52" s="11">
        <v>16247</v>
      </c>
      <c r="D52" s="11">
        <v>9397</v>
      </c>
      <c r="E52" s="11">
        <v>6850</v>
      </c>
      <c r="F52" s="11">
        <v>196525</v>
      </c>
    </row>
    <row r="53" spans="1:6">
      <c r="A53" s="10" t="s">
        <v>2617</v>
      </c>
      <c r="B53" s="10" t="s">
        <v>61</v>
      </c>
      <c r="C53" s="11">
        <v>14352</v>
      </c>
      <c r="D53" s="11">
        <v>9147</v>
      </c>
      <c r="E53" s="11">
        <v>5205</v>
      </c>
      <c r="F53" s="11">
        <v>201730</v>
      </c>
    </row>
    <row r="54" spans="1:6">
      <c r="A54" s="10" t="s">
        <v>2618</v>
      </c>
      <c r="B54" s="10" t="s">
        <v>127</v>
      </c>
      <c r="C54" s="11">
        <v>11334</v>
      </c>
      <c r="D54" s="11">
        <v>8352</v>
      </c>
      <c r="E54" s="11">
        <v>2982</v>
      </c>
      <c r="F54" s="11">
        <v>204712</v>
      </c>
    </row>
    <row r="55" spans="1:6">
      <c r="A55" s="10" t="s">
        <v>2619</v>
      </c>
      <c r="B55" s="10" t="s">
        <v>211</v>
      </c>
      <c r="C55" s="11">
        <v>14928</v>
      </c>
      <c r="D55" s="11">
        <v>12395</v>
      </c>
      <c r="E55" s="11">
        <v>2533</v>
      </c>
      <c r="F55" s="11">
        <v>207245</v>
      </c>
    </row>
    <row r="56" spans="1:6">
      <c r="A56" s="10" t="s">
        <v>2620</v>
      </c>
      <c r="B56" s="10" t="s">
        <v>40</v>
      </c>
      <c r="C56" s="11">
        <v>17441</v>
      </c>
      <c r="D56" s="11">
        <v>11242</v>
      </c>
      <c r="E56" s="11">
        <v>6199</v>
      </c>
      <c r="F56" s="11">
        <v>213444</v>
      </c>
    </row>
    <row r="57" spans="1:6">
      <c r="A57" s="10" t="s">
        <v>2621</v>
      </c>
      <c r="B57" s="10" t="s">
        <v>211</v>
      </c>
      <c r="C57" s="11">
        <v>16347</v>
      </c>
      <c r="D57" s="11">
        <v>7726</v>
      </c>
      <c r="E57" s="11">
        <v>8621</v>
      </c>
      <c r="F57" s="11">
        <v>222065</v>
      </c>
    </row>
    <row r="58" spans="1:6">
      <c r="A58" s="10" t="s">
        <v>2622</v>
      </c>
      <c r="B58" s="10" t="s">
        <v>183</v>
      </c>
      <c r="C58" s="11">
        <v>16851</v>
      </c>
      <c r="D58" s="11">
        <v>14916</v>
      </c>
      <c r="E58" s="11">
        <v>1935</v>
      </c>
      <c r="F58" s="11">
        <v>224000</v>
      </c>
    </row>
    <row r="59" spans="1:6">
      <c r="A59" s="10" t="s">
        <v>2623</v>
      </c>
      <c r="B59" s="10" t="s">
        <v>211</v>
      </c>
      <c r="C59" s="11">
        <v>16171</v>
      </c>
      <c r="D59" s="11">
        <v>6405</v>
      </c>
      <c r="E59" s="11">
        <v>9766</v>
      </c>
      <c r="F59" s="11">
        <v>233766</v>
      </c>
    </row>
    <row r="60" spans="1:6">
      <c r="A60" s="10" t="s">
        <v>2624</v>
      </c>
      <c r="B60" s="10" t="s">
        <v>40</v>
      </c>
      <c r="C60" s="11">
        <v>11388</v>
      </c>
      <c r="D60" s="11">
        <v>11245</v>
      </c>
      <c r="E60" s="11">
        <v>143</v>
      </c>
      <c r="F60" s="11">
        <v>233909</v>
      </c>
    </row>
    <row r="61" spans="1:6">
      <c r="A61" s="10" t="s">
        <v>2625</v>
      </c>
      <c r="B61" s="10" t="s">
        <v>61</v>
      </c>
      <c r="C61" s="11">
        <v>13497</v>
      </c>
      <c r="D61" s="11">
        <v>9148</v>
      </c>
      <c r="E61" s="11">
        <v>4349</v>
      </c>
      <c r="F61" s="11">
        <v>238258</v>
      </c>
    </row>
    <row r="62" spans="1:6">
      <c r="A62" s="10" t="s">
        <v>2626</v>
      </c>
      <c r="B62" s="10" t="s">
        <v>61</v>
      </c>
      <c r="C62" s="11">
        <v>12686</v>
      </c>
      <c r="D62" s="11">
        <v>12124</v>
      </c>
      <c r="E62" s="11">
        <v>562</v>
      </c>
      <c r="F62" s="11">
        <v>238820</v>
      </c>
    </row>
    <row r="63" spans="1:6">
      <c r="A63" s="10" t="s">
        <v>2627</v>
      </c>
      <c r="B63" s="10" t="s">
        <v>61</v>
      </c>
      <c r="C63" s="11">
        <v>10180</v>
      </c>
      <c r="D63" s="11">
        <v>5393</v>
      </c>
      <c r="E63" s="11">
        <v>4787</v>
      </c>
      <c r="F63" s="11">
        <v>243607</v>
      </c>
    </row>
    <row r="64" spans="1:6">
      <c r="A64" s="10" t="s">
        <v>2628</v>
      </c>
      <c r="B64" s="10" t="s">
        <v>120</v>
      </c>
      <c r="C64" s="11">
        <v>14069</v>
      </c>
      <c r="D64" s="11">
        <v>11869</v>
      </c>
      <c r="E64" s="11">
        <v>2200</v>
      </c>
      <c r="F64" s="11">
        <v>245807</v>
      </c>
    </row>
    <row r="65" spans="1:6">
      <c r="A65" s="10" t="s">
        <v>2629</v>
      </c>
      <c r="B65" s="10" t="s">
        <v>40</v>
      </c>
      <c r="C65" s="11">
        <v>17310</v>
      </c>
      <c r="D65" s="11">
        <v>5851</v>
      </c>
      <c r="E65" s="11">
        <v>11459</v>
      </c>
      <c r="F65" s="11">
        <v>257266</v>
      </c>
    </row>
    <row r="66" spans="1:6">
      <c r="A66" s="10" t="s">
        <v>2630</v>
      </c>
      <c r="B66" s="10" t="s">
        <v>120</v>
      </c>
      <c r="C66" s="11">
        <v>11076</v>
      </c>
      <c r="D66" s="11">
        <v>7385</v>
      </c>
      <c r="E66" s="11">
        <v>3691</v>
      </c>
      <c r="F66" s="11">
        <v>260957</v>
      </c>
    </row>
    <row r="67" spans="1:6">
      <c r="A67" s="10" t="s">
        <v>2631</v>
      </c>
      <c r="B67" s="10" t="s">
        <v>40</v>
      </c>
      <c r="C67" s="11">
        <v>18184</v>
      </c>
      <c r="D67" s="11">
        <v>11055</v>
      </c>
      <c r="E67" s="11">
        <v>7129</v>
      </c>
      <c r="F67" s="11">
        <v>268086</v>
      </c>
    </row>
    <row r="68" spans="1:6">
      <c r="A68" s="10" t="s">
        <v>2632</v>
      </c>
      <c r="B68" s="10" t="s">
        <v>120</v>
      </c>
      <c r="C68" s="11">
        <v>17239</v>
      </c>
      <c r="D68" s="11">
        <v>8525</v>
      </c>
      <c r="E68" s="11">
        <v>8714</v>
      </c>
      <c r="F68" s="11">
        <v>276800</v>
      </c>
    </row>
    <row r="69" spans="1:6">
      <c r="A69" s="10" t="s">
        <v>2633</v>
      </c>
      <c r="B69" s="10" t="s">
        <v>40</v>
      </c>
      <c r="C69" s="11">
        <v>8817</v>
      </c>
      <c r="D69" s="11">
        <v>5014</v>
      </c>
      <c r="E69" s="11">
        <v>3803</v>
      </c>
      <c r="F69" s="11">
        <v>280603</v>
      </c>
    </row>
    <row r="70" spans="1:6">
      <c r="A70" s="10" t="s">
        <v>2634</v>
      </c>
      <c r="B70" s="10" t="s">
        <v>120</v>
      </c>
      <c r="C70" s="11">
        <v>9774</v>
      </c>
      <c r="D70" s="11">
        <v>10436</v>
      </c>
      <c r="E70" s="11">
        <v>-662</v>
      </c>
      <c r="F70" s="11">
        <v>279941</v>
      </c>
    </row>
    <row r="71" spans="1:6">
      <c r="A71" s="10" t="s">
        <v>2635</v>
      </c>
      <c r="B71" s="10" t="s">
        <v>183</v>
      </c>
      <c r="C71" s="11">
        <v>14414</v>
      </c>
      <c r="D71" s="11">
        <v>6797</v>
      </c>
      <c r="E71" s="11">
        <v>7617</v>
      </c>
      <c r="F71" s="11">
        <v>287558</v>
      </c>
    </row>
    <row r="72" spans="1:6">
      <c r="A72" s="10" t="s">
        <v>2636</v>
      </c>
      <c r="B72" s="10" t="s">
        <v>211</v>
      </c>
      <c r="C72" s="11">
        <v>13652</v>
      </c>
      <c r="D72" s="11">
        <v>13693</v>
      </c>
      <c r="E72" s="11">
        <v>-41</v>
      </c>
      <c r="F72" s="11">
        <v>287517</v>
      </c>
    </row>
    <row r="73" spans="1:6">
      <c r="A73" s="10" t="s">
        <v>2637</v>
      </c>
      <c r="B73" s="10" t="s">
        <v>61</v>
      </c>
      <c r="C73" s="11">
        <v>19320</v>
      </c>
      <c r="D73" s="11">
        <v>5983</v>
      </c>
      <c r="E73" s="11">
        <v>13337</v>
      </c>
      <c r="F73" s="11">
        <v>300854</v>
      </c>
    </row>
    <row r="74" spans="1:6">
      <c r="A74" s="10" t="s">
        <v>2638</v>
      </c>
      <c r="B74" s="10" t="s">
        <v>61</v>
      </c>
      <c r="C74" s="11">
        <v>8799</v>
      </c>
      <c r="D74" s="11">
        <v>8551</v>
      </c>
      <c r="E74" s="11">
        <v>248</v>
      </c>
      <c r="F74" s="11">
        <v>301102</v>
      </c>
    </row>
    <row r="75" spans="1:6">
      <c r="A75" s="10" t="s">
        <v>2639</v>
      </c>
      <c r="B75" s="10" t="s">
        <v>211</v>
      </c>
      <c r="C75" s="11">
        <v>16348</v>
      </c>
      <c r="D75" s="11">
        <v>14454</v>
      </c>
      <c r="E75" s="11">
        <v>1894</v>
      </c>
      <c r="F75" s="11">
        <v>302996</v>
      </c>
    </row>
    <row r="76" spans="1:6">
      <c r="A76" s="10" t="s">
        <v>2640</v>
      </c>
      <c r="B76" s="10" t="s">
        <v>120</v>
      </c>
      <c r="C76" s="11">
        <v>19931</v>
      </c>
      <c r="D76" s="11">
        <v>5585</v>
      </c>
      <c r="E76" s="11">
        <v>14346</v>
      </c>
      <c r="F76" s="11">
        <v>317342</v>
      </c>
    </row>
    <row r="77" spans="1:6">
      <c r="A77" s="10" t="s">
        <v>2641</v>
      </c>
      <c r="B77" s="10" t="s">
        <v>40</v>
      </c>
      <c r="C77" s="11">
        <v>12182</v>
      </c>
      <c r="D77" s="11">
        <v>6116</v>
      </c>
      <c r="E77" s="11">
        <v>6066</v>
      </c>
      <c r="F77" s="11">
        <v>323408</v>
      </c>
    </row>
    <row r="78" spans="1:6">
      <c r="A78" s="10" t="s">
        <v>2642</v>
      </c>
      <c r="B78" s="10" t="s">
        <v>120</v>
      </c>
      <c r="C78" s="11">
        <v>12617</v>
      </c>
      <c r="D78" s="11">
        <v>6006</v>
      </c>
      <c r="E78" s="11">
        <v>6611</v>
      </c>
      <c r="F78" s="11">
        <v>330019</v>
      </c>
    </row>
    <row r="79" spans="1:6">
      <c r="A79" s="10" t="s">
        <v>2643</v>
      </c>
      <c r="B79" s="10" t="s">
        <v>120</v>
      </c>
      <c r="C79" s="11">
        <v>11964</v>
      </c>
      <c r="D79" s="11">
        <v>6046</v>
      </c>
      <c r="E79" s="11">
        <v>5918</v>
      </c>
      <c r="F79" s="11">
        <v>335937</v>
      </c>
    </row>
    <row r="80" spans="1:6">
      <c r="A80" s="10" t="s">
        <v>2644</v>
      </c>
      <c r="B80" s="10" t="s">
        <v>61</v>
      </c>
      <c r="C80" s="11">
        <v>14646</v>
      </c>
      <c r="D80" s="11">
        <v>11307</v>
      </c>
      <c r="E80" s="11">
        <v>3339</v>
      </c>
      <c r="F80" s="11">
        <v>339276</v>
      </c>
    </row>
    <row r="81" spans="1:6">
      <c r="A81" s="10" t="s">
        <v>2645</v>
      </c>
      <c r="B81" s="10" t="s">
        <v>211</v>
      </c>
      <c r="C81" s="11">
        <v>13569</v>
      </c>
      <c r="D81" s="11">
        <v>6242</v>
      </c>
      <c r="E81" s="11">
        <v>7327</v>
      </c>
      <c r="F81" s="11">
        <v>346603</v>
      </c>
    </row>
    <row r="82" spans="1:6">
      <c r="A82" s="10" t="s">
        <v>2646</v>
      </c>
      <c r="B82" s="10" t="s">
        <v>127</v>
      </c>
      <c r="C82" s="11">
        <v>11499</v>
      </c>
      <c r="D82" s="11">
        <v>10409</v>
      </c>
      <c r="E82" s="11">
        <v>1090</v>
      </c>
      <c r="F82" s="11">
        <v>347693</v>
      </c>
    </row>
    <row r="83" spans="1:6">
      <c r="A83" s="10" t="s">
        <v>2647</v>
      </c>
      <c r="B83" s="10" t="s">
        <v>120</v>
      </c>
      <c r="C83" s="11">
        <v>16559</v>
      </c>
      <c r="D83" s="11">
        <v>6688</v>
      </c>
      <c r="E83" s="11">
        <v>9871</v>
      </c>
      <c r="F83" s="11">
        <v>357564</v>
      </c>
    </row>
    <row r="84" spans="1:6">
      <c r="A84" s="10" t="s">
        <v>2648</v>
      </c>
      <c r="B84" s="10" t="s">
        <v>183</v>
      </c>
      <c r="C84" s="11">
        <v>16438</v>
      </c>
      <c r="D84" s="11">
        <v>8559</v>
      </c>
      <c r="E84" s="11">
        <v>7879</v>
      </c>
      <c r="F84" s="11">
        <v>365443</v>
      </c>
    </row>
    <row r="85" spans="1:6">
      <c r="A85" s="10" t="s">
        <v>2649</v>
      </c>
      <c r="B85" s="10" t="s">
        <v>120</v>
      </c>
      <c r="C85" s="11">
        <v>13083</v>
      </c>
      <c r="D85" s="11">
        <v>12505</v>
      </c>
      <c r="E85" s="11">
        <v>578</v>
      </c>
      <c r="F85" s="11">
        <v>366021</v>
      </c>
    </row>
    <row r="86" spans="1:6">
      <c r="A86" s="10" t="s">
        <v>2650</v>
      </c>
      <c r="B86" s="10" t="s">
        <v>40</v>
      </c>
      <c r="C86" s="11">
        <v>13771</v>
      </c>
      <c r="D86" s="11">
        <v>13285</v>
      </c>
      <c r="E86" s="11">
        <v>486</v>
      </c>
      <c r="F86" s="11">
        <v>366507</v>
      </c>
    </row>
    <row r="87" spans="1:6">
      <c r="A87" s="10" t="s">
        <v>2651</v>
      </c>
      <c r="B87" s="10" t="s">
        <v>61</v>
      </c>
      <c r="C87" s="11">
        <v>11229</v>
      </c>
      <c r="D87" s="11">
        <v>5689</v>
      </c>
      <c r="E87" s="11">
        <v>5540</v>
      </c>
      <c r="F87" s="11">
        <v>372047</v>
      </c>
    </row>
    <row r="88" spans="1:6">
      <c r="A88" s="10" t="s">
        <v>2652</v>
      </c>
      <c r="B88" s="10" t="s">
        <v>40</v>
      </c>
      <c r="C88" s="11">
        <v>18472</v>
      </c>
      <c r="D88" s="11">
        <v>5196</v>
      </c>
      <c r="E88" s="11">
        <v>13276</v>
      </c>
      <c r="F88" s="11">
        <v>385323</v>
      </c>
    </row>
    <row r="89" spans="1:6">
      <c r="A89" s="10" t="s">
        <v>2653</v>
      </c>
      <c r="B89" s="10" t="s">
        <v>120</v>
      </c>
      <c r="C89" s="11">
        <v>14607</v>
      </c>
      <c r="D89" s="11">
        <v>13459</v>
      </c>
      <c r="E89" s="11">
        <v>1148</v>
      </c>
      <c r="F89" s="11">
        <v>386471</v>
      </c>
    </row>
    <row r="90" spans="1:6">
      <c r="A90" s="10" t="s">
        <v>2654</v>
      </c>
      <c r="B90" s="10" t="s">
        <v>183</v>
      </c>
      <c r="C90" s="11">
        <v>14249</v>
      </c>
      <c r="D90" s="11">
        <v>9617</v>
      </c>
      <c r="E90" s="11">
        <v>4632</v>
      </c>
      <c r="F90" s="11">
        <v>391103</v>
      </c>
    </row>
    <row r="91" spans="1:6">
      <c r="A91" s="10" t="s">
        <v>2655</v>
      </c>
      <c r="B91" s="10" t="s">
        <v>183</v>
      </c>
      <c r="C91" s="11">
        <v>9802</v>
      </c>
      <c r="D91" s="11">
        <v>12979</v>
      </c>
      <c r="E91" s="11">
        <v>-3177</v>
      </c>
      <c r="F91" s="11">
        <v>387926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"/>
  <sheetViews>
    <sheetView workbookViewId="0"/>
  </sheetViews>
  <sheetFormatPr baseColWidth="10" defaultColWidth="8.83203125" defaultRowHeight="15"/>
  <cols>
    <col min="1" max="1" width="40" style="10" customWidth="1"/>
    <col min="2" max="13" width="11.1640625" style="11" customWidth="1"/>
    <col min="14" max="14" width="8.83203125" style="10" customWidth="1"/>
    <col min="15" max="16384" width="8.83203125" style="10"/>
  </cols>
  <sheetData>
    <row r="1" spans="1:13">
      <c r="A1" s="13" t="s">
        <v>2656</v>
      </c>
      <c r="B1" s="14" t="s">
        <v>2657</v>
      </c>
      <c r="C1" s="14" t="s">
        <v>2658</v>
      </c>
      <c r="D1" s="14" t="s">
        <v>2659</v>
      </c>
      <c r="E1" s="14" t="s">
        <v>2660</v>
      </c>
      <c r="F1" s="14" t="s">
        <v>2661</v>
      </c>
      <c r="G1" s="14" t="s">
        <v>2662</v>
      </c>
      <c r="H1" s="14" t="s">
        <v>2663</v>
      </c>
      <c r="I1" s="14" t="s">
        <v>2664</v>
      </c>
      <c r="J1" s="14" t="s">
        <v>2665</v>
      </c>
      <c r="K1" s="14" t="s">
        <v>2666</v>
      </c>
      <c r="L1" s="14" t="s">
        <v>2667</v>
      </c>
      <c r="M1" s="14" t="s">
        <v>2668</v>
      </c>
    </row>
    <row r="2" spans="1:13">
      <c r="A2" s="15" t="s">
        <v>2669</v>
      </c>
    </row>
    <row r="3" spans="1:13">
      <c r="A3" s="10" t="s">
        <v>2670</v>
      </c>
      <c r="B3" s="11">
        <v>132909</v>
      </c>
      <c r="C3" s="11">
        <v>115985</v>
      </c>
      <c r="D3" s="11">
        <v>147612</v>
      </c>
      <c r="E3" s="11">
        <v>140851</v>
      </c>
      <c r="F3" s="11">
        <v>141269</v>
      </c>
      <c r="G3" s="11">
        <v>131935</v>
      </c>
      <c r="H3" s="11">
        <v>100581</v>
      </c>
      <c r="I3" s="11">
        <v>120139</v>
      </c>
      <c r="J3" s="11">
        <v>116313</v>
      </c>
      <c r="K3" s="11">
        <v>101265</v>
      </c>
      <c r="L3" s="11">
        <v>128805</v>
      </c>
      <c r="M3" s="11">
        <v>100414</v>
      </c>
    </row>
    <row r="4" spans="1:13">
      <c r="A4" s="10" t="s">
        <v>2671</v>
      </c>
      <c r="B4" s="11">
        <v>59279</v>
      </c>
      <c r="C4" s="11">
        <v>58927</v>
      </c>
      <c r="D4" s="11">
        <v>75424</v>
      </c>
      <c r="E4" s="11">
        <v>85595</v>
      </c>
      <c r="F4" s="11">
        <v>74691</v>
      </c>
      <c r="G4" s="11">
        <v>71570</v>
      </c>
      <c r="H4" s="11">
        <v>57526</v>
      </c>
      <c r="I4" s="11">
        <v>61497</v>
      </c>
      <c r="J4" s="11">
        <v>58071</v>
      </c>
      <c r="K4" s="11">
        <v>64546</v>
      </c>
      <c r="L4" s="11">
        <v>83385</v>
      </c>
      <c r="M4" s="11">
        <v>48320</v>
      </c>
    </row>
    <row r="5" spans="1:13">
      <c r="A5" s="10" t="s">
        <v>2672</v>
      </c>
      <c r="B5" s="11">
        <v>73630</v>
      </c>
      <c r="C5" s="11">
        <v>57058</v>
      </c>
      <c r="D5" s="11">
        <v>72188</v>
      </c>
      <c r="E5" s="11">
        <v>55256</v>
      </c>
      <c r="F5" s="11">
        <v>66578</v>
      </c>
      <c r="G5" s="11">
        <v>60365</v>
      </c>
      <c r="H5" s="11">
        <v>43055</v>
      </c>
      <c r="I5" s="11">
        <v>58642</v>
      </c>
      <c r="J5" s="11">
        <v>58242</v>
      </c>
      <c r="K5" s="11">
        <v>36719</v>
      </c>
      <c r="L5" s="11">
        <v>45420</v>
      </c>
      <c r="M5" s="11">
        <v>52094</v>
      </c>
    </row>
    <row r="6" spans="1:13">
      <c r="A6" s="10" t="s">
        <v>2673</v>
      </c>
      <c r="B6" s="11">
        <v>26136</v>
      </c>
      <c r="C6" s="11">
        <v>38032</v>
      </c>
      <c r="D6" s="11">
        <v>39733</v>
      </c>
      <c r="E6" s="11">
        <v>37621</v>
      </c>
      <c r="F6" s="11">
        <v>39962</v>
      </c>
      <c r="G6" s="11">
        <v>20022</v>
      </c>
      <c r="H6" s="11">
        <v>35197</v>
      </c>
      <c r="I6" s="11">
        <v>29549</v>
      </c>
      <c r="J6" s="11">
        <v>39031</v>
      </c>
      <c r="K6" s="11">
        <v>39127</v>
      </c>
      <c r="L6" s="11">
        <v>27924</v>
      </c>
      <c r="M6" s="11">
        <v>30419</v>
      </c>
    </row>
    <row r="7" spans="1:13">
      <c r="A7" s="10" t="s">
        <v>2674</v>
      </c>
      <c r="B7" s="11">
        <v>47494</v>
      </c>
      <c r="C7" s="11">
        <v>19026</v>
      </c>
      <c r="D7" s="11">
        <v>32455</v>
      </c>
      <c r="E7" s="11">
        <v>17635</v>
      </c>
      <c r="F7" s="11">
        <v>26616</v>
      </c>
      <c r="G7" s="11">
        <v>40343</v>
      </c>
      <c r="H7" s="11">
        <v>7858</v>
      </c>
      <c r="I7" s="11">
        <v>29093</v>
      </c>
      <c r="J7" s="11">
        <v>19211</v>
      </c>
      <c r="K7" s="11">
        <v>-2408</v>
      </c>
      <c r="L7" s="11">
        <v>17496</v>
      </c>
      <c r="M7" s="11">
        <v>21675</v>
      </c>
    </row>
    <row r="9" spans="1:13">
      <c r="A9" s="15" t="s">
        <v>2675</v>
      </c>
    </row>
    <row r="10" spans="1:13">
      <c r="A10" s="10" t="s">
        <v>2676</v>
      </c>
      <c r="B10" s="11">
        <v>147494</v>
      </c>
      <c r="C10" s="11">
        <v>166520</v>
      </c>
      <c r="D10" s="11">
        <v>198975</v>
      </c>
      <c r="E10" s="11">
        <v>216610</v>
      </c>
      <c r="F10" s="11">
        <v>243226</v>
      </c>
      <c r="G10" s="11">
        <v>283569</v>
      </c>
      <c r="H10" s="11">
        <v>291427</v>
      </c>
      <c r="I10" s="11">
        <v>320520</v>
      </c>
      <c r="J10" s="11">
        <v>339731</v>
      </c>
      <c r="K10" s="11">
        <v>337323</v>
      </c>
      <c r="L10" s="11">
        <v>354819</v>
      </c>
      <c r="M10" s="11">
        <v>376494</v>
      </c>
    </row>
    <row r="11" spans="1:13">
      <c r="A11" s="10" t="s">
        <v>2677</v>
      </c>
      <c r="B11" s="11">
        <v>14266</v>
      </c>
      <c r="C11" s="11">
        <v>13772</v>
      </c>
      <c r="D11" s="11">
        <v>6739</v>
      </c>
      <c r="E11" s="11">
        <v>7221</v>
      </c>
      <c r="F11" s="11">
        <v>10299</v>
      </c>
      <c r="G11" s="11">
        <v>10593</v>
      </c>
      <c r="H11" s="11">
        <v>15198</v>
      </c>
      <c r="I11" s="11">
        <v>12808</v>
      </c>
      <c r="J11" s="11">
        <v>12868</v>
      </c>
      <c r="K11" s="11">
        <v>12616</v>
      </c>
      <c r="L11" s="11">
        <v>7495</v>
      </c>
      <c r="M11" s="11">
        <v>12107</v>
      </c>
    </row>
    <row r="12" spans="1:13">
      <c r="A12" s="10" t="s">
        <v>2678</v>
      </c>
      <c r="B12" s="11">
        <v>161760</v>
      </c>
      <c r="C12" s="11">
        <v>180292</v>
      </c>
      <c r="D12" s="11">
        <v>205714</v>
      </c>
      <c r="E12" s="11">
        <v>223831</v>
      </c>
      <c r="F12" s="11">
        <v>253525</v>
      </c>
      <c r="G12" s="11">
        <v>294162</v>
      </c>
      <c r="H12" s="11">
        <v>306625</v>
      </c>
      <c r="I12" s="11">
        <v>333328</v>
      </c>
      <c r="J12" s="11">
        <v>352599</v>
      </c>
      <c r="K12" s="11">
        <v>349939</v>
      </c>
      <c r="L12" s="11">
        <v>362314</v>
      </c>
      <c r="M12" s="11">
        <v>388601</v>
      </c>
    </row>
    <row r="13" spans="1:13">
      <c r="A13" s="10" t="s">
        <v>2679</v>
      </c>
      <c r="B13" s="11">
        <v>51149</v>
      </c>
      <c r="C13" s="11">
        <v>69535</v>
      </c>
      <c r="D13" s="11">
        <v>62506</v>
      </c>
      <c r="E13" s="11">
        <v>54915</v>
      </c>
      <c r="F13" s="11">
        <v>49423</v>
      </c>
      <c r="G13" s="11">
        <v>31634</v>
      </c>
      <c r="H13" s="11">
        <v>65982</v>
      </c>
      <c r="I13" s="11">
        <v>42318</v>
      </c>
      <c r="J13" s="11">
        <v>66506</v>
      </c>
      <c r="K13" s="11">
        <v>54206</v>
      </c>
      <c r="L13" s="11">
        <v>78631</v>
      </c>
      <c r="M13" s="11">
        <v>64878</v>
      </c>
    </row>
    <row r="14" spans="1:13">
      <c r="A14" s="10" t="s">
        <v>2680</v>
      </c>
      <c r="B14" s="11">
        <v>110611</v>
      </c>
      <c r="C14" s="11">
        <v>110757</v>
      </c>
      <c r="D14" s="11">
        <v>143208</v>
      </c>
      <c r="E14" s="11">
        <v>168916</v>
      </c>
      <c r="F14" s="11">
        <v>204102</v>
      </c>
      <c r="G14" s="11">
        <v>262528</v>
      </c>
      <c r="H14" s="11">
        <v>240643</v>
      </c>
      <c r="I14" s="11">
        <v>291010</v>
      </c>
      <c r="J14" s="11">
        <v>286093</v>
      </c>
      <c r="K14" s="11">
        <v>295733</v>
      </c>
      <c r="L14" s="11">
        <v>283683</v>
      </c>
      <c r="M14" s="11">
        <v>323723</v>
      </c>
    </row>
    <row r="16" spans="1:13">
      <c r="A16" s="15" t="s">
        <v>2681</v>
      </c>
    </row>
    <row r="17" spans="1:13">
      <c r="A17" s="10" t="s">
        <v>2682</v>
      </c>
      <c r="B17" s="11">
        <v>47494</v>
      </c>
      <c r="C17" s="11">
        <v>19026</v>
      </c>
      <c r="D17" s="11">
        <v>32455</v>
      </c>
      <c r="E17" s="11">
        <v>17635</v>
      </c>
      <c r="F17" s="11">
        <v>26616</v>
      </c>
      <c r="G17" s="11">
        <v>40343</v>
      </c>
      <c r="H17" s="11">
        <v>7858</v>
      </c>
      <c r="I17" s="11">
        <v>29093</v>
      </c>
      <c r="J17" s="11">
        <v>19211</v>
      </c>
      <c r="K17" s="11">
        <v>-2408</v>
      </c>
      <c r="L17" s="11">
        <v>17496</v>
      </c>
      <c r="M17" s="11">
        <v>21675</v>
      </c>
    </row>
    <row r="18" spans="1:13">
      <c r="A18" s="10" t="s">
        <v>2683</v>
      </c>
      <c r="B18" s="11">
        <v>-10807</v>
      </c>
      <c r="C18" s="11">
        <v>-20390</v>
      </c>
      <c r="D18" s="11">
        <v>-10960</v>
      </c>
      <c r="E18" s="11">
        <v>-12373</v>
      </c>
      <c r="F18" s="11">
        <v>-33284</v>
      </c>
      <c r="G18" s="11">
        <v>-19532</v>
      </c>
      <c r="H18" s="11">
        <v>-14089</v>
      </c>
      <c r="I18" s="11">
        <v>-35336</v>
      </c>
      <c r="J18" s="11">
        <v>-24444</v>
      </c>
      <c r="K18" s="11">
        <v>-13583</v>
      </c>
      <c r="L18" s="11">
        <v>-39227</v>
      </c>
      <c r="M18" s="11">
        <v>-35582</v>
      </c>
    </row>
    <row r="19" spans="1:13">
      <c r="A19" s="10" t="s">
        <v>2684</v>
      </c>
      <c r="B19" s="11">
        <v>30794</v>
      </c>
      <c r="C19" s="11">
        <v>23209</v>
      </c>
      <c r="D19" s="11">
        <v>43287</v>
      </c>
      <c r="E19" s="11">
        <v>4703</v>
      </c>
      <c r="F19" s="11">
        <v>-10829</v>
      </c>
      <c r="G19" s="11">
        <v>-1772</v>
      </c>
      <c r="H19" s="11">
        <v>26200</v>
      </c>
      <c r="I19" s="11">
        <v>31967</v>
      </c>
      <c r="J19" s="11">
        <v>25995</v>
      </c>
      <c r="K19" s="11">
        <v>-7835</v>
      </c>
      <c r="L19" s="11">
        <v>49845</v>
      </c>
      <c r="M19" s="11">
        <v>37855</v>
      </c>
    </row>
    <row r="20" spans="1:13">
      <c r="A20" s="10" t="s">
        <v>2685</v>
      </c>
      <c r="B20" s="11">
        <v>67481</v>
      </c>
      <c r="C20" s="11">
        <v>21845</v>
      </c>
      <c r="D20" s="11">
        <v>64782</v>
      </c>
      <c r="E20" s="11">
        <v>9965</v>
      </c>
      <c r="F20" s="11">
        <v>-17497</v>
      </c>
      <c r="G20" s="11">
        <v>19039</v>
      </c>
      <c r="H20" s="11">
        <v>19969</v>
      </c>
      <c r="I20" s="11">
        <v>25724</v>
      </c>
      <c r="J20" s="11">
        <v>20762</v>
      </c>
      <c r="K20" s="11">
        <v>-23826</v>
      </c>
      <c r="L20" s="11">
        <v>28114</v>
      </c>
      <c r="M20" s="11">
        <v>23948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1"/>
  <sheetViews>
    <sheetView workbookViewId="0"/>
  </sheetViews>
  <sheetFormatPr baseColWidth="10" defaultColWidth="8.83203125" defaultRowHeight="15"/>
  <cols>
    <col min="1" max="1" width="10.83203125" style="10" customWidth="1"/>
    <col min="2" max="2" width="8.83203125" style="10" customWidth="1"/>
    <col min="3" max="3" width="14.33203125" style="10" customWidth="1"/>
    <col min="4" max="4" width="10.1640625" style="11" customWidth="1"/>
    <col min="5" max="6" width="10.83203125" style="10" customWidth="1"/>
    <col min="7" max="7" width="8.83203125" style="10" customWidth="1"/>
    <col min="8" max="16384" width="8.83203125" style="10"/>
  </cols>
  <sheetData>
    <row r="1" spans="1:6">
      <c r="A1" s="8" t="s">
        <v>1</v>
      </c>
      <c r="B1" s="8" t="s">
        <v>2686</v>
      </c>
      <c r="C1" s="8" t="s">
        <v>2687</v>
      </c>
      <c r="D1" s="9" t="s">
        <v>2688</v>
      </c>
      <c r="E1" s="8" t="s">
        <v>1609</v>
      </c>
      <c r="F1" s="8" t="s">
        <v>2689</v>
      </c>
    </row>
    <row r="2" spans="1:6">
      <c r="A2" s="10" t="s">
        <v>7</v>
      </c>
      <c r="B2" s="10" t="s">
        <v>2657</v>
      </c>
      <c r="C2" s="10">
        <v>66</v>
      </c>
      <c r="D2" s="11">
        <v>7151</v>
      </c>
      <c r="E2" s="10" t="s">
        <v>9</v>
      </c>
      <c r="F2" s="10">
        <v>61</v>
      </c>
    </row>
    <row r="3" spans="1:6">
      <c r="A3" s="10" t="s">
        <v>7</v>
      </c>
      <c r="B3" s="10" t="s">
        <v>2658</v>
      </c>
      <c r="C3" s="10">
        <v>95</v>
      </c>
      <c r="D3" s="11">
        <v>6365</v>
      </c>
      <c r="E3" s="10" t="s">
        <v>9</v>
      </c>
      <c r="F3" s="10">
        <v>93</v>
      </c>
    </row>
    <row r="4" spans="1:6">
      <c r="A4" s="10" t="s">
        <v>7</v>
      </c>
      <c r="B4" s="10" t="s">
        <v>2659</v>
      </c>
      <c r="C4" s="10">
        <v>60</v>
      </c>
      <c r="D4" s="11">
        <v>5920</v>
      </c>
      <c r="E4" s="10" t="s">
        <v>9</v>
      </c>
      <c r="F4" s="10">
        <v>43</v>
      </c>
    </row>
    <row r="5" spans="1:6">
      <c r="A5" s="10" t="s">
        <v>7</v>
      </c>
      <c r="B5" s="10" t="s">
        <v>2660</v>
      </c>
      <c r="C5" s="10">
        <v>74</v>
      </c>
      <c r="D5" s="11">
        <v>11795</v>
      </c>
      <c r="E5" s="10" t="s">
        <v>9</v>
      </c>
      <c r="F5" s="10">
        <v>48</v>
      </c>
    </row>
    <row r="6" spans="1:6">
      <c r="A6" s="10" t="s">
        <v>7</v>
      </c>
      <c r="B6" s="10" t="s">
        <v>2661</v>
      </c>
      <c r="C6" s="10">
        <v>52</v>
      </c>
      <c r="D6" s="11">
        <v>13374</v>
      </c>
      <c r="E6" s="10" t="s">
        <v>12</v>
      </c>
      <c r="F6" s="10">
        <v>46</v>
      </c>
    </row>
    <row r="7" spans="1:6">
      <c r="A7" s="10" t="s">
        <v>7</v>
      </c>
      <c r="B7" s="10" t="s">
        <v>2662</v>
      </c>
      <c r="C7" s="10">
        <v>81</v>
      </c>
      <c r="D7" s="11">
        <v>22665</v>
      </c>
      <c r="E7" s="10" t="s">
        <v>9</v>
      </c>
      <c r="F7" s="10">
        <v>9</v>
      </c>
    </row>
    <row r="8" spans="1:6">
      <c r="A8" s="10" t="s">
        <v>7</v>
      </c>
      <c r="B8" s="10" t="s">
        <v>2663</v>
      </c>
      <c r="C8" s="10">
        <v>77</v>
      </c>
      <c r="D8" s="11">
        <v>16395</v>
      </c>
      <c r="E8" s="10" t="s">
        <v>9</v>
      </c>
      <c r="F8" s="10">
        <v>55</v>
      </c>
    </row>
    <row r="9" spans="1:6">
      <c r="A9" s="10" t="s">
        <v>7</v>
      </c>
      <c r="B9" s="10" t="s">
        <v>2664</v>
      </c>
      <c r="C9" s="10">
        <v>60</v>
      </c>
      <c r="D9" s="11">
        <v>19409</v>
      </c>
      <c r="E9" s="10" t="s">
        <v>9</v>
      </c>
      <c r="F9" s="10">
        <v>91</v>
      </c>
    </row>
    <row r="10" spans="1:6">
      <c r="A10" s="10" t="s">
        <v>7</v>
      </c>
      <c r="B10" s="10" t="s">
        <v>2665</v>
      </c>
      <c r="C10" s="10">
        <v>49</v>
      </c>
      <c r="D10" s="11">
        <v>22872</v>
      </c>
      <c r="E10" s="10" t="s">
        <v>12</v>
      </c>
      <c r="F10" s="10">
        <v>48</v>
      </c>
    </row>
    <row r="11" spans="1:6">
      <c r="A11" s="10" t="s">
        <v>7</v>
      </c>
      <c r="B11" s="10" t="s">
        <v>2666</v>
      </c>
      <c r="C11" s="10">
        <v>55</v>
      </c>
      <c r="D11" s="11">
        <v>16951</v>
      </c>
      <c r="E11" s="10" t="s">
        <v>12</v>
      </c>
      <c r="F11" s="10">
        <v>31</v>
      </c>
    </row>
    <row r="12" spans="1:6">
      <c r="A12" s="10" t="s">
        <v>7</v>
      </c>
      <c r="B12" s="10" t="s">
        <v>2667</v>
      </c>
      <c r="C12" s="10">
        <v>55</v>
      </c>
      <c r="D12" s="11">
        <v>23956</v>
      </c>
      <c r="E12" s="10" t="s">
        <v>12</v>
      </c>
      <c r="F12" s="10">
        <v>84</v>
      </c>
    </row>
    <row r="13" spans="1:6">
      <c r="A13" s="10" t="s">
        <v>7</v>
      </c>
      <c r="B13" s="10" t="s">
        <v>2668</v>
      </c>
      <c r="C13" s="10">
        <v>77</v>
      </c>
      <c r="D13" s="11">
        <v>21684</v>
      </c>
      <c r="E13" s="10" t="s">
        <v>9</v>
      </c>
      <c r="F13" s="10">
        <v>21</v>
      </c>
    </row>
    <row r="14" spans="1:6">
      <c r="A14" s="10" t="s">
        <v>97</v>
      </c>
      <c r="B14" s="10" t="s">
        <v>2657</v>
      </c>
      <c r="C14" s="10">
        <v>58</v>
      </c>
      <c r="D14" s="11">
        <v>10217</v>
      </c>
      <c r="E14" s="10" t="s">
        <v>12</v>
      </c>
      <c r="F14" s="10">
        <v>50</v>
      </c>
    </row>
    <row r="15" spans="1:6">
      <c r="A15" s="10" t="s">
        <v>97</v>
      </c>
      <c r="B15" s="10" t="s">
        <v>2658</v>
      </c>
      <c r="C15" s="10">
        <v>65</v>
      </c>
      <c r="D15" s="11">
        <v>9653</v>
      </c>
      <c r="E15" s="10" t="s">
        <v>9</v>
      </c>
      <c r="F15" s="10">
        <v>13</v>
      </c>
    </row>
    <row r="16" spans="1:6">
      <c r="A16" s="10" t="s">
        <v>97</v>
      </c>
      <c r="B16" s="10" t="s">
        <v>2659</v>
      </c>
      <c r="C16" s="10">
        <v>69</v>
      </c>
      <c r="D16" s="11">
        <v>20793</v>
      </c>
      <c r="E16" s="10" t="s">
        <v>9</v>
      </c>
      <c r="F16" s="10">
        <v>43</v>
      </c>
    </row>
    <row r="17" spans="1:6">
      <c r="A17" s="10" t="s">
        <v>97</v>
      </c>
      <c r="B17" s="10" t="s">
        <v>2660</v>
      </c>
      <c r="C17" s="10">
        <v>75</v>
      </c>
      <c r="D17" s="11">
        <v>6419</v>
      </c>
      <c r="E17" s="10" t="s">
        <v>9</v>
      </c>
      <c r="F17" s="10">
        <v>9</v>
      </c>
    </row>
    <row r="18" spans="1:6">
      <c r="A18" s="10" t="s">
        <v>97</v>
      </c>
      <c r="B18" s="10" t="s">
        <v>2661</v>
      </c>
      <c r="C18" s="10">
        <v>83</v>
      </c>
      <c r="D18" s="11">
        <v>15821</v>
      </c>
      <c r="E18" s="10" t="s">
        <v>9</v>
      </c>
      <c r="F18" s="10">
        <v>70</v>
      </c>
    </row>
    <row r="19" spans="1:6">
      <c r="A19" s="10" t="s">
        <v>97</v>
      </c>
      <c r="B19" s="10" t="s">
        <v>2662</v>
      </c>
      <c r="C19" s="10">
        <v>92</v>
      </c>
      <c r="D19" s="11">
        <v>13771</v>
      </c>
      <c r="E19" s="10" t="s">
        <v>9</v>
      </c>
      <c r="F19" s="10">
        <v>55</v>
      </c>
    </row>
    <row r="20" spans="1:6">
      <c r="A20" s="10" t="s">
        <v>97</v>
      </c>
      <c r="B20" s="10" t="s">
        <v>2663</v>
      </c>
      <c r="C20" s="10">
        <v>67</v>
      </c>
      <c r="D20" s="11">
        <v>22958</v>
      </c>
      <c r="E20" s="10" t="s">
        <v>9</v>
      </c>
      <c r="F20" s="10">
        <v>63</v>
      </c>
    </row>
    <row r="21" spans="1:6">
      <c r="A21" s="10" t="s">
        <v>97</v>
      </c>
      <c r="B21" s="10" t="s">
        <v>2664</v>
      </c>
      <c r="C21" s="10">
        <v>78</v>
      </c>
      <c r="D21" s="11">
        <v>11816</v>
      </c>
      <c r="E21" s="10" t="s">
        <v>9</v>
      </c>
      <c r="F21" s="10">
        <v>1</v>
      </c>
    </row>
    <row r="22" spans="1:6">
      <c r="A22" s="10" t="s">
        <v>97</v>
      </c>
      <c r="B22" s="10" t="s">
        <v>2665</v>
      </c>
      <c r="C22" s="10">
        <v>92</v>
      </c>
      <c r="D22" s="11">
        <v>11632</v>
      </c>
      <c r="E22" s="10" t="s">
        <v>9</v>
      </c>
      <c r="F22" s="10">
        <v>1</v>
      </c>
    </row>
    <row r="23" spans="1:6">
      <c r="A23" s="10" t="s">
        <v>97</v>
      </c>
      <c r="B23" s="10" t="s">
        <v>2666</v>
      </c>
      <c r="C23" s="10">
        <v>49</v>
      </c>
      <c r="D23" s="11">
        <v>21889</v>
      </c>
      <c r="E23" s="10" t="s">
        <v>12</v>
      </c>
      <c r="F23" s="10">
        <v>44</v>
      </c>
    </row>
    <row r="24" spans="1:6">
      <c r="A24" s="10" t="s">
        <v>97</v>
      </c>
      <c r="B24" s="10" t="s">
        <v>2667</v>
      </c>
      <c r="C24" s="10">
        <v>53</v>
      </c>
      <c r="D24" s="11">
        <v>10163</v>
      </c>
      <c r="E24" s="10" t="s">
        <v>12</v>
      </c>
      <c r="F24" s="10">
        <v>60</v>
      </c>
    </row>
    <row r="25" spans="1:6">
      <c r="A25" s="10" t="s">
        <v>97</v>
      </c>
      <c r="B25" s="10" t="s">
        <v>2668</v>
      </c>
      <c r="C25" s="10">
        <v>51</v>
      </c>
      <c r="D25" s="11">
        <v>20695</v>
      </c>
      <c r="E25" s="10" t="s">
        <v>12</v>
      </c>
      <c r="F25" s="10">
        <v>97</v>
      </c>
    </row>
    <row r="26" spans="1:6">
      <c r="A26" s="10" t="s">
        <v>116</v>
      </c>
      <c r="B26" s="10" t="s">
        <v>2657</v>
      </c>
      <c r="C26" s="10">
        <v>64</v>
      </c>
      <c r="D26" s="11">
        <v>19090</v>
      </c>
      <c r="E26" s="10" t="s">
        <v>9</v>
      </c>
      <c r="F26" s="10">
        <v>76</v>
      </c>
    </row>
    <row r="27" spans="1:6">
      <c r="A27" s="10" t="s">
        <v>116</v>
      </c>
      <c r="B27" s="10" t="s">
        <v>2658</v>
      </c>
      <c r="C27" s="10">
        <v>75</v>
      </c>
      <c r="D27" s="11">
        <v>12273</v>
      </c>
      <c r="E27" s="10" t="s">
        <v>9</v>
      </c>
      <c r="F27" s="10">
        <v>33</v>
      </c>
    </row>
    <row r="28" spans="1:6">
      <c r="A28" s="10" t="s">
        <v>116</v>
      </c>
      <c r="B28" s="10" t="s">
        <v>2659</v>
      </c>
      <c r="C28" s="10">
        <v>60</v>
      </c>
      <c r="D28" s="11">
        <v>7281</v>
      </c>
      <c r="E28" s="10" t="s">
        <v>9</v>
      </c>
      <c r="F28" s="10">
        <v>82</v>
      </c>
    </row>
    <row r="29" spans="1:6">
      <c r="A29" s="10" t="s">
        <v>116</v>
      </c>
      <c r="B29" s="10" t="s">
        <v>2660</v>
      </c>
      <c r="C29" s="10">
        <v>63</v>
      </c>
      <c r="D29" s="11">
        <v>7006</v>
      </c>
      <c r="E29" s="10" t="s">
        <v>9</v>
      </c>
      <c r="F29" s="10">
        <v>22</v>
      </c>
    </row>
    <row r="30" spans="1:6">
      <c r="A30" s="10" t="s">
        <v>116</v>
      </c>
      <c r="B30" s="10" t="s">
        <v>2661</v>
      </c>
      <c r="C30" s="10">
        <v>60</v>
      </c>
      <c r="D30" s="11">
        <v>9121</v>
      </c>
      <c r="E30" s="10" t="s">
        <v>9</v>
      </c>
      <c r="F30" s="10">
        <v>67</v>
      </c>
    </row>
    <row r="31" spans="1:6">
      <c r="A31" s="10" t="s">
        <v>116</v>
      </c>
      <c r="B31" s="10" t="s">
        <v>2662</v>
      </c>
      <c r="C31" s="10">
        <v>63</v>
      </c>
      <c r="D31" s="11">
        <v>14824</v>
      </c>
      <c r="E31" s="10" t="s">
        <v>9</v>
      </c>
      <c r="F31" s="10">
        <v>55</v>
      </c>
    </row>
    <row r="32" spans="1:6">
      <c r="A32" s="10" t="s">
        <v>116</v>
      </c>
      <c r="B32" s="10" t="s">
        <v>2663</v>
      </c>
      <c r="C32" s="10">
        <v>46</v>
      </c>
      <c r="D32" s="11">
        <v>12816</v>
      </c>
      <c r="E32" s="10" t="s">
        <v>12</v>
      </c>
      <c r="F32" s="10">
        <v>1</v>
      </c>
    </row>
    <row r="33" spans="1:6">
      <c r="A33" s="10" t="s">
        <v>116</v>
      </c>
      <c r="B33" s="10" t="s">
        <v>2664</v>
      </c>
      <c r="C33" s="10">
        <v>91</v>
      </c>
      <c r="D33" s="11">
        <v>22837</v>
      </c>
      <c r="E33" s="10" t="s">
        <v>9</v>
      </c>
      <c r="F33" s="10">
        <v>60</v>
      </c>
    </row>
    <row r="34" spans="1:6">
      <c r="A34" s="10" t="s">
        <v>116</v>
      </c>
      <c r="B34" s="10" t="s">
        <v>2665</v>
      </c>
      <c r="C34" s="10">
        <v>92</v>
      </c>
      <c r="D34" s="11">
        <v>11240</v>
      </c>
      <c r="E34" s="10" t="s">
        <v>9</v>
      </c>
      <c r="F34" s="10">
        <v>1</v>
      </c>
    </row>
    <row r="35" spans="1:6">
      <c r="A35" s="10" t="s">
        <v>116</v>
      </c>
      <c r="B35" s="10" t="s">
        <v>2666</v>
      </c>
      <c r="C35" s="10">
        <v>74</v>
      </c>
      <c r="D35" s="11">
        <v>23491</v>
      </c>
      <c r="E35" s="10" t="s">
        <v>9</v>
      </c>
      <c r="F35" s="10">
        <v>61</v>
      </c>
    </row>
    <row r="36" spans="1:6">
      <c r="A36" s="10" t="s">
        <v>116</v>
      </c>
      <c r="B36" s="10" t="s">
        <v>2667</v>
      </c>
      <c r="C36" s="10">
        <v>48</v>
      </c>
      <c r="D36" s="11">
        <v>5261</v>
      </c>
      <c r="E36" s="10" t="s">
        <v>12</v>
      </c>
      <c r="F36" s="10">
        <v>82</v>
      </c>
    </row>
    <row r="37" spans="1:6">
      <c r="A37" s="10" t="s">
        <v>116</v>
      </c>
      <c r="B37" s="10" t="s">
        <v>2668</v>
      </c>
      <c r="C37" s="10">
        <v>69</v>
      </c>
      <c r="D37" s="11">
        <v>12332</v>
      </c>
      <c r="E37" s="10" t="s">
        <v>9</v>
      </c>
      <c r="F37" s="10">
        <v>72</v>
      </c>
    </row>
    <row r="38" spans="1:6">
      <c r="A38" s="10" t="s">
        <v>94</v>
      </c>
      <c r="B38" s="10" t="s">
        <v>2657</v>
      </c>
      <c r="C38" s="10">
        <v>95</v>
      </c>
      <c r="D38" s="11">
        <v>10469</v>
      </c>
      <c r="E38" s="10" t="s">
        <v>9</v>
      </c>
      <c r="F38" s="10">
        <v>62</v>
      </c>
    </row>
    <row r="39" spans="1:6">
      <c r="A39" s="10" t="s">
        <v>94</v>
      </c>
      <c r="B39" s="10" t="s">
        <v>2658</v>
      </c>
      <c r="C39" s="10">
        <v>90</v>
      </c>
      <c r="D39" s="11">
        <v>20568</v>
      </c>
      <c r="E39" s="10" t="s">
        <v>9</v>
      </c>
      <c r="F39" s="10">
        <v>61</v>
      </c>
    </row>
    <row r="40" spans="1:6">
      <c r="A40" s="10" t="s">
        <v>94</v>
      </c>
      <c r="B40" s="10" t="s">
        <v>2659</v>
      </c>
      <c r="C40" s="10">
        <v>69</v>
      </c>
      <c r="D40" s="11">
        <v>8799</v>
      </c>
      <c r="E40" s="10" t="s">
        <v>9</v>
      </c>
      <c r="F40" s="10">
        <v>16</v>
      </c>
    </row>
    <row r="41" spans="1:6">
      <c r="A41" s="10" t="s">
        <v>94</v>
      </c>
      <c r="B41" s="10" t="s">
        <v>2660</v>
      </c>
      <c r="C41" s="10">
        <v>96</v>
      </c>
      <c r="D41" s="11">
        <v>21425</v>
      </c>
      <c r="E41" s="10" t="s">
        <v>9</v>
      </c>
      <c r="F41" s="10">
        <v>38</v>
      </c>
    </row>
    <row r="42" spans="1:6">
      <c r="A42" s="10" t="s">
        <v>94</v>
      </c>
      <c r="B42" s="10" t="s">
        <v>2661</v>
      </c>
      <c r="C42" s="10">
        <v>48</v>
      </c>
      <c r="D42" s="11">
        <v>15454</v>
      </c>
      <c r="E42" s="10" t="s">
        <v>12</v>
      </c>
      <c r="F42" s="10">
        <v>17</v>
      </c>
    </row>
    <row r="43" spans="1:6">
      <c r="A43" s="10" t="s">
        <v>94</v>
      </c>
      <c r="B43" s="10" t="s">
        <v>2662</v>
      </c>
      <c r="C43" s="10">
        <v>84</v>
      </c>
      <c r="D43" s="11">
        <v>20752</v>
      </c>
      <c r="E43" s="10" t="s">
        <v>9</v>
      </c>
      <c r="F43" s="10">
        <v>84</v>
      </c>
    </row>
    <row r="44" spans="1:6">
      <c r="A44" s="10" t="s">
        <v>94</v>
      </c>
      <c r="B44" s="10" t="s">
        <v>2663</v>
      </c>
      <c r="C44" s="10">
        <v>72</v>
      </c>
      <c r="D44" s="11">
        <v>17777</v>
      </c>
      <c r="E44" s="10" t="s">
        <v>9</v>
      </c>
      <c r="F44" s="10">
        <v>26</v>
      </c>
    </row>
    <row r="45" spans="1:6">
      <c r="A45" s="10" t="s">
        <v>94</v>
      </c>
      <c r="B45" s="10" t="s">
        <v>2664</v>
      </c>
      <c r="C45" s="10">
        <v>40</v>
      </c>
      <c r="D45" s="11">
        <v>24744</v>
      </c>
      <c r="E45" s="10" t="s">
        <v>12</v>
      </c>
      <c r="F45" s="10">
        <v>8</v>
      </c>
    </row>
    <row r="46" spans="1:6">
      <c r="A46" s="10" t="s">
        <v>94</v>
      </c>
      <c r="B46" s="10" t="s">
        <v>2665</v>
      </c>
      <c r="C46" s="10">
        <v>40</v>
      </c>
      <c r="D46" s="11">
        <v>19502</v>
      </c>
      <c r="E46" s="10" t="s">
        <v>12</v>
      </c>
      <c r="F46" s="10">
        <v>11</v>
      </c>
    </row>
    <row r="47" spans="1:6">
      <c r="A47" s="10" t="s">
        <v>94</v>
      </c>
      <c r="B47" s="10" t="s">
        <v>2666</v>
      </c>
      <c r="C47" s="10">
        <v>49</v>
      </c>
      <c r="D47" s="11">
        <v>7398</v>
      </c>
      <c r="E47" s="10" t="s">
        <v>12</v>
      </c>
      <c r="F47" s="10">
        <v>7</v>
      </c>
    </row>
    <row r="48" spans="1:6">
      <c r="A48" s="10" t="s">
        <v>94</v>
      </c>
      <c r="B48" s="10" t="s">
        <v>2667</v>
      </c>
      <c r="C48" s="10">
        <v>92</v>
      </c>
      <c r="D48" s="11">
        <v>9638</v>
      </c>
      <c r="E48" s="10" t="s">
        <v>9</v>
      </c>
      <c r="F48" s="10">
        <v>92</v>
      </c>
    </row>
    <row r="49" spans="1:6">
      <c r="A49" s="10" t="s">
        <v>94</v>
      </c>
      <c r="B49" s="10" t="s">
        <v>2668</v>
      </c>
      <c r="C49" s="10">
        <v>94</v>
      </c>
      <c r="D49" s="11">
        <v>14131</v>
      </c>
      <c r="E49" s="10" t="s">
        <v>9</v>
      </c>
      <c r="F49" s="10">
        <v>19</v>
      </c>
    </row>
    <row r="50" spans="1:6">
      <c r="A50" s="10" t="s">
        <v>57</v>
      </c>
      <c r="B50" s="10" t="s">
        <v>2657</v>
      </c>
      <c r="C50" s="10">
        <v>52</v>
      </c>
      <c r="D50" s="11">
        <v>14673</v>
      </c>
      <c r="E50" s="10" t="s">
        <v>12</v>
      </c>
      <c r="F50" s="10">
        <v>87</v>
      </c>
    </row>
    <row r="51" spans="1:6">
      <c r="A51" s="10" t="s">
        <v>57</v>
      </c>
      <c r="B51" s="10" t="s">
        <v>2658</v>
      </c>
      <c r="C51" s="10">
        <v>58</v>
      </c>
      <c r="D51" s="11">
        <v>21018</v>
      </c>
      <c r="E51" s="10" t="s">
        <v>12</v>
      </c>
      <c r="F51" s="10">
        <v>28</v>
      </c>
    </row>
    <row r="52" spans="1:6">
      <c r="A52" s="10" t="s">
        <v>57</v>
      </c>
      <c r="B52" s="10" t="s">
        <v>2659</v>
      </c>
      <c r="C52" s="10">
        <v>96</v>
      </c>
      <c r="D52" s="11">
        <v>6698</v>
      </c>
      <c r="E52" s="10" t="s">
        <v>9</v>
      </c>
      <c r="F52" s="10">
        <v>45</v>
      </c>
    </row>
    <row r="53" spans="1:6">
      <c r="A53" s="10" t="s">
        <v>57</v>
      </c>
      <c r="B53" s="10" t="s">
        <v>2660</v>
      </c>
      <c r="C53" s="10">
        <v>87</v>
      </c>
      <c r="D53" s="11">
        <v>20840</v>
      </c>
      <c r="E53" s="10" t="s">
        <v>9</v>
      </c>
      <c r="F53" s="10">
        <v>89</v>
      </c>
    </row>
    <row r="54" spans="1:6">
      <c r="A54" s="10" t="s">
        <v>57</v>
      </c>
      <c r="B54" s="10" t="s">
        <v>2661</v>
      </c>
      <c r="C54" s="10">
        <v>82</v>
      </c>
      <c r="D54" s="11">
        <v>19648</v>
      </c>
      <c r="E54" s="10" t="s">
        <v>9</v>
      </c>
      <c r="F54" s="10">
        <v>61</v>
      </c>
    </row>
    <row r="55" spans="1:6">
      <c r="A55" s="10" t="s">
        <v>57</v>
      </c>
      <c r="B55" s="10" t="s">
        <v>2662</v>
      </c>
      <c r="C55" s="10">
        <v>46</v>
      </c>
      <c r="D55" s="11">
        <v>18998</v>
      </c>
      <c r="E55" s="10" t="s">
        <v>12</v>
      </c>
      <c r="F55" s="10">
        <v>16</v>
      </c>
    </row>
    <row r="56" spans="1:6">
      <c r="A56" s="10" t="s">
        <v>57</v>
      </c>
      <c r="B56" s="10" t="s">
        <v>2663</v>
      </c>
      <c r="C56" s="10">
        <v>83</v>
      </c>
      <c r="D56" s="11">
        <v>23993</v>
      </c>
      <c r="E56" s="10" t="s">
        <v>9</v>
      </c>
      <c r="F56" s="10">
        <v>75</v>
      </c>
    </row>
    <row r="57" spans="1:6">
      <c r="A57" s="10" t="s">
        <v>57</v>
      </c>
      <c r="B57" s="10" t="s">
        <v>2664</v>
      </c>
      <c r="C57" s="10">
        <v>80</v>
      </c>
      <c r="D57" s="11">
        <v>20556</v>
      </c>
      <c r="E57" s="10" t="s">
        <v>9</v>
      </c>
      <c r="F57" s="10">
        <v>14</v>
      </c>
    </row>
    <row r="58" spans="1:6">
      <c r="A58" s="10" t="s">
        <v>57</v>
      </c>
      <c r="B58" s="10" t="s">
        <v>2665</v>
      </c>
      <c r="C58" s="10">
        <v>64</v>
      </c>
      <c r="D58" s="11">
        <v>16952</v>
      </c>
      <c r="E58" s="10" t="s">
        <v>9</v>
      </c>
      <c r="F58" s="10">
        <v>91</v>
      </c>
    </row>
    <row r="59" spans="1:6">
      <c r="A59" s="10" t="s">
        <v>57</v>
      </c>
      <c r="B59" s="10" t="s">
        <v>2666</v>
      </c>
      <c r="C59" s="10">
        <v>79</v>
      </c>
      <c r="D59" s="11">
        <v>19237</v>
      </c>
      <c r="E59" s="10" t="s">
        <v>9</v>
      </c>
      <c r="F59" s="10">
        <v>45</v>
      </c>
    </row>
    <row r="60" spans="1:6">
      <c r="A60" s="10" t="s">
        <v>57</v>
      </c>
      <c r="B60" s="10" t="s">
        <v>2667</v>
      </c>
      <c r="C60" s="10">
        <v>89</v>
      </c>
      <c r="D60" s="11">
        <v>18066</v>
      </c>
      <c r="E60" s="10" t="s">
        <v>9</v>
      </c>
      <c r="F60" s="10">
        <v>52</v>
      </c>
    </row>
    <row r="61" spans="1:6">
      <c r="A61" s="10" t="s">
        <v>57</v>
      </c>
      <c r="B61" s="10" t="s">
        <v>2668</v>
      </c>
      <c r="C61" s="10">
        <v>89</v>
      </c>
      <c r="D61" s="11">
        <v>19917</v>
      </c>
      <c r="E61" s="10" t="s">
        <v>9</v>
      </c>
      <c r="F61" s="10">
        <v>53</v>
      </c>
    </row>
    <row r="62" spans="1:6">
      <c r="A62" s="10" t="s">
        <v>273</v>
      </c>
      <c r="B62" s="10" t="s">
        <v>2657</v>
      </c>
      <c r="C62" s="10">
        <v>58</v>
      </c>
      <c r="D62" s="11">
        <v>6333</v>
      </c>
      <c r="E62" s="10" t="s">
        <v>12</v>
      </c>
      <c r="F62" s="10">
        <v>78</v>
      </c>
    </row>
    <row r="63" spans="1:6">
      <c r="A63" s="10" t="s">
        <v>273</v>
      </c>
      <c r="B63" s="10" t="s">
        <v>2658</v>
      </c>
      <c r="C63" s="10">
        <v>79</v>
      </c>
      <c r="D63" s="11">
        <v>17374</v>
      </c>
      <c r="E63" s="10" t="s">
        <v>9</v>
      </c>
      <c r="F63" s="10">
        <v>68</v>
      </c>
    </row>
    <row r="64" spans="1:6">
      <c r="A64" s="10" t="s">
        <v>273</v>
      </c>
      <c r="B64" s="10" t="s">
        <v>2659</v>
      </c>
      <c r="C64" s="10">
        <v>94</v>
      </c>
      <c r="D64" s="11">
        <v>12685</v>
      </c>
      <c r="E64" s="10" t="s">
        <v>9</v>
      </c>
      <c r="F64" s="10">
        <v>25</v>
      </c>
    </row>
    <row r="65" spans="1:6">
      <c r="A65" s="10" t="s">
        <v>273</v>
      </c>
      <c r="B65" s="10" t="s">
        <v>2660</v>
      </c>
      <c r="C65" s="10">
        <v>58</v>
      </c>
      <c r="D65" s="11">
        <v>13716</v>
      </c>
      <c r="E65" s="10" t="s">
        <v>12</v>
      </c>
      <c r="F65" s="10">
        <v>3</v>
      </c>
    </row>
    <row r="66" spans="1:6">
      <c r="A66" s="10" t="s">
        <v>273</v>
      </c>
      <c r="B66" s="10" t="s">
        <v>2661</v>
      </c>
      <c r="C66" s="10">
        <v>41</v>
      </c>
      <c r="D66" s="11">
        <v>17014</v>
      </c>
      <c r="E66" s="10" t="s">
        <v>12</v>
      </c>
      <c r="F66" s="10">
        <v>20</v>
      </c>
    </row>
    <row r="67" spans="1:6">
      <c r="A67" s="10" t="s">
        <v>273</v>
      </c>
      <c r="B67" s="10" t="s">
        <v>2662</v>
      </c>
      <c r="C67" s="10">
        <v>50</v>
      </c>
      <c r="D67" s="11">
        <v>14225</v>
      </c>
      <c r="E67" s="10" t="s">
        <v>12</v>
      </c>
      <c r="F67" s="10">
        <v>18</v>
      </c>
    </row>
    <row r="68" spans="1:6">
      <c r="A68" s="10" t="s">
        <v>273</v>
      </c>
      <c r="B68" s="10" t="s">
        <v>2663</v>
      </c>
      <c r="C68" s="10">
        <v>83</v>
      </c>
      <c r="D68" s="11">
        <v>17447</v>
      </c>
      <c r="E68" s="10" t="s">
        <v>9</v>
      </c>
      <c r="F68" s="10">
        <v>88</v>
      </c>
    </row>
    <row r="69" spans="1:6">
      <c r="A69" s="10" t="s">
        <v>273</v>
      </c>
      <c r="B69" s="10" t="s">
        <v>2664</v>
      </c>
      <c r="C69" s="10">
        <v>85</v>
      </c>
      <c r="D69" s="11">
        <v>16944</v>
      </c>
      <c r="E69" s="10" t="s">
        <v>9</v>
      </c>
      <c r="F69" s="10">
        <v>26</v>
      </c>
    </row>
    <row r="70" spans="1:6">
      <c r="A70" s="10" t="s">
        <v>273</v>
      </c>
      <c r="B70" s="10" t="s">
        <v>2665</v>
      </c>
      <c r="C70" s="10">
        <v>89</v>
      </c>
      <c r="D70" s="11">
        <v>20037</v>
      </c>
      <c r="E70" s="10" t="s">
        <v>9</v>
      </c>
      <c r="F70" s="10">
        <v>80</v>
      </c>
    </row>
    <row r="71" spans="1:6">
      <c r="A71" s="10" t="s">
        <v>273</v>
      </c>
      <c r="B71" s="10" t="s">
        <v>2666</v>
      </c>
      <c r="C71" s="10">
        <v>52</v>
      </c>
      <c r="D71" s="11">
        <v>10973</v>
      </c>
      <c r="E71" s="10" t="s">
        <v>12</v>
      </c>
      <c r="F71" s="10">
        <v>17</v>
      </c>
    </row>
    <row r="72" spans="1:6">
      <c r="A72" s="10" t="s">
        <v>273</v>
      </c>
      <c r="B72" s="10" t="s">
        <v>2667</v>
      </c>
      <c r="C72" s="10">
        <v>93</v>
      </c>
      <c r="D72" s="11">
        <v>7891</v>
      </c>
      <c r="E72" s="10" t="s">
        <v>9</v>
      </c>
      <c r="F72" s="10">
        <v>75</v>
      </c>
    </row>
    <row r="73" spans="1:6">
      <c r="A73" s="10" t="s">
        <v>273</v>
      </c>
      <c r="B73" s="10" t="s">
        <v>2668</v>
      </c>
      <c r="C73" s="10">
        <v>44</v>
      </c>
      <c r="D73" s="11">
        <v>13466</v>
      </c>
      <c r="E73" s="10" t="s">
        <v>12</v>
      </c>
      <c r="F73" s="10">
        <v>32</v>
      </c>
    </row>
    <row r="74" spans="1:6">
      <c r="A74" s="10" t="s">
        <v>197</v>
      </c>
      <c r="B74" s="10" t="s">
        <v>2657</v>
      </c>
      <c r="C74" s="10">
        <v>79</v>
      </c>
      <c r="D74" s="11">
        <v>5435</v>
      </c>
      <c r="E74" s="10" t="s">
        <v>9</v>
      </c>
      <c r="F74" s="10">
        <v>59</v>
      </c>
    </row>
    <row r="75" spans="1:6">
      <c r="A75" s="10" t="s">
        <v>197</v>
      </c>
      <c r="B75" s="10" t="s">
        <v>2658</v>
      </c>
      <c r="C75" s="10">
        <v>41</v>
      </c>
      <c r="D75" s="11">
        <v>16856</v>
      </c>
      <c r="E75" s="10" t="s">
        <v>12</v>
      </c>
      <c r="F75" s="10">
        <v>89</v>
      </c>
    </row>
    <row r="76" spans="1:6">
      <c r="A76" s="10" t="s">
        <v>197</v>
      </c>
      <c r="B76" s="10" t="s">
        <v>2659</v>
      </c>
      <c r="C76" s="10">
        <v>58</v>
      </c>
      <c r="D76" s="11">
        <v>20670</v>
      </c>
      <c r="E76" s="10" t="s">
        <v>12</v>
      </c>
      <c r="F76" s="10">
        <v>86</v>
      </c>
    </row>
    <row r="77" spans="1:6">
      <c r="A77" s="10" t="s">
        <v>197</v>
      </c>
      <c r="B77" s="10" t="s">
        <v>2660</v>
      </c>
      <c r="C77" s="10">
        <v>55</v>
      </c>
      <c r="D77" s="11">
        <v>18806</v>
      </c>
      <c r="E77" s="10" t="s">
        <v>12</v>
      </c>
      <c r="F77" s="10">
        <v>7</v>
      </c>
    </row>
    <row r="78" spans="1:6">
      <c r="A78" s="10" t="s">
        <v>197</v>
      </c>
      <c r="B78" s="10" t="s">
        <v>2661</v>
      </c>
      <c r="C78" s="10">
        <v>88</v>
      </c>
      <c r="D78" s="11">
        <v>8736</v>
      </c>
      <c r="E78" s="10" t="s">
        <v>9</v>
      </c>
      <c r="F78" s="10">
        <v>43</v>
      </c>
    </row>
    <row r="79" spans="1:6">
      <c r="A79" s="10" t="s">
        <v>197</v>
      </c>
      <c r="B79" s="10" t="s">
        <v>2662</v>
      </c>
      <c r="C79" s="10">
        <v>71</v>
      </c>
      <c r="D79" s="11">
        <v>24226</v>
      </c>
      <c r="E79" s="10" t="s">
        <v>9</v>
      </c>
      <c r="F79" s="10">
        <v>15</v>
      </c>
    </row>
    <row r="80" spans="1:6">
      <c r="A80" s="10" t="s">
        <v>197</v>
      </c>
      <c r="B80" s="10" t="s">
        <v>2663</v>
      </c>
      <c r="C80" s="10">
        <v>45</v>
      </c>
      <c r="D80" s="11">
        <v>15772</v>
      </c>
      <c r="E80" s="10" t="s">
        <v>12</v>
      </c>
      <c r="F80" s="10">
        <v>5</v>
      </c>
    </row>
    <row r="81" spans="1:6">
      <c r="A81" s="10" t="s">
        <v>197</v>
      </c>
      <c r="B81" s="10" t="s">
        <v>2664</v>
      </c>
      <c r="C81" s="10">
        <v>87</v>
      </c>
      <c r="D81" s="11">
        <v>8151</v>
      </c>
      <c r="E81" s="10" t="s">
        <v>9</v>
      </c>
      <c r="F81" s="10">
        <v>6</v>
      </c>
    </row>
    <row r="82" spans="1:6">
      <c r="A82" s="10" t="s">
        <v>197</v>
      </c>
      <c r="B82" s="10" t="s">
        <v>2665</v>
      </c>
      <c r="C82" s="10">
        <v>44</v>
      </c>
      <c r="D82" s="11">
        <v>18007</v>
      </c>
      <c r="E82" s="10" t="s">
        <v>12</v>
      </c>
      <c r="F82" s="10">
        <v>91</v>
      </c>
    </row>
    <row r="83" spans="1:6">
      <c r="A83" s="10" t="s">
        <v>197</v>
      </c>
      <c r="B83" s="10" t="s">
        <v>2666</v>
      </c>
      <c r="C83" s="10">
        <v>93</v>
      </c>
      <c r="D83" s="11">
        <v>9960</v>
      </c>
      <c r="E83" s="10" t="s">
        <v>9</v>
      </c>
      <c r="F83" s="10">
        <v>54</v>
      </c>
    </row>
    <row r="84" spans="1:6">
      <c r="A84" s="10" t="s">
        <v>197</v>
      </c>
      <c r="B84" s="10" t="s">
        <v>2667</v>
      </c>
      <c r="C84" s="10">
        <v>40</v>
      </c>
      <c r="D84" s="11">
        <v>6006</v>
      </c>
      <c r="E84" s="10" t="s">
        <v>12</v>
      </c>
      <c r="F84" s="10">
        <v>65</v>
      </c>
    </row>
    <row r="85" spans="1:6">
      <c r="A85" s="10" t="s">
        <v>197</v>
      </c>
      <c r="B85" s="10" t="s">
        <v>2668</v>
      </c>
      <c r="C85" s="10">
        <v>42</v>
      </c>
      <c r="D85" s="11">
        <v>9408</v>
      </c>
      <c r="E85" s="10" t="s">
        <v>12</v>
      </c>
      <c r="F85" s="10">
        <v>52</v>
      </c>
    </row>
    <row r="86" spans="1:6">
      <c r="A86" s="10" t="s">
        <v>43</v>
      </c>
      <c r="B86" s="10" t="s">
        <v>2657</v>
      </c>
      <c r="C86" s="10">
        <v>62</v>
      </c>
      <c r="D86" s="11">
        <v>23367</v>
      </c>
      <c r="E86" s="10" t="s">
        <v>9</v>
      </c>
      <c r="F86" s="10">
        <v>74</v>
      </c>
    </row>
    <row r="87" spans="1:6">
      <c r="A87" s="10" t="s">
        <v>43</v>
      </c>
      <c r="B87" s="10" t="s">
        <v>2658</v>
      </c>
      <c r="C87" s="10">
        <v>85</v>
      </c>
      <c r="D87" s="11">
        <v>11846</v>
      </c>
      <c r="E87" s="10" t="s">
        <v>9</v>
      </c>
      <c r="F87" s="10">
        <v>86</v>
      </c>
    </row>
    <row r="88" spans="1:6">
      <c r="A88" s="10" t="s">
        <v>43</v>
      </c>
      <c r="B88" s="10" t="s">
        <v>2659</v>
      </c>
      <c r="C88" s="10">
        <v>56</v>
      </c>
      <c r="D88" s="11">
        <v>20359</v>
      </c>
      <c r="E88" s="10" t="s">
        <v>12</v>
      </c>
      <c r="F88" s="10">
        <v>44</v>
      </c>
    </row>
    <row r="89" spans="1:6">
      <c r="A89" s="10" t="s">
        <v>43</v>
      </c>
      <c r="B89" s="10" t="s">
        <v>2660</v>
      </c>
      <c r="C89" s="10">
        <v>78</v>
      </c>
      <c r="D89" s="11">
        <v>19932</v>
      </c>
      <c r="E89" s="10" t="s">
        <v>9</v>
      </c>
      <c r="F89" s="10">
        <v>72</v>
      </c>
    </row>
    <row r="90" spans="1:6">
      <c r="A90" s="10" t="s">
        <v>43</v>
      </c>
      <c r="B90" s="10" t="s">
        <v>2661</v>
      </c>
      <c r="C90" s="10">
        <v>98</v>
      </c>
      <c r="D90" s="11">
        <v>11661</v>
      </c>
      <c r="E90" s="10" t="s">
        <v>9</v>
      </c>
      <c r="F90" s="10">
        <v>29</v>
      </c>
    </row>
    <row r="91" spans="1:6">
      <c r="A91" s="10" t="s">
        <v>43</v>
      </c>
      <c r="B91" s="10" t="s">
        <v>2662</v>
      </c>
      <c r="C91" s="10">
        <v>60</v>
      </c>
      <c r="D91" s="11">
        <v>14470</v>
      </c>
      <c r="E91" s="10" t="s">
        <v>9</v>
      </c>
      <c r="F91" s="10">
        <v>65</v>
      </c>
    </row>
    <row r="92" spans="1:6">
      <c r="A92" s="10" t="s">
        <v>43</v>
      </c>
      <c r="B92" s="10" t="s">
        <v>2663</v>
      </c>
      <c r="C92" s="10">
        <v>72</v>
      </c>
      <c r="D92" s="11">
        <v>11783</v>
      </c>
      <c r="E92" s="10" t="s">
        <v>9</v>
      </c>
      <c r="F92" s="10">
        <v>46</v>
      </c>
    </row>
    <row r="93" spans="1:6">
      <c r="A93" s="10" t="s">
        <v>43</v>
      </c>
      <c r="B93" s="10" t="s">
        <v>2664</v>
      </c>
      <c r="C93" s="10">
        <v>71</v>
      </c>
      <c r="D93" s="11">
        <v>7924</v>
      </c>
      <c r="E93" s="10" t="s">
        <v>9</v>
      </c>
      <c r="F93" s="10">
        <v>77</v>
      </c>
    </row>
    <row r="94" spans="1:6">
      <c r="A94" s="10" t="s">
        <v>43</v>
      </c>
      <c r="B94" s="10" t="s">
        <v>2665</v>
      </c>
      <c r="C94" s="10">
        <v>51</v>
      </c>
      <c r="D94" s="11">
        <v>8532</v>
      </c>
      <c r="E94" s="10" t="s">
        <v>12</v>
      </c>
      <c r="F94" s="10">
        <v>37</v>
      </c>
    </row>
    <row r="95" spans="1:6">
      <c r="A95" s="10" t="s">
        <v>43</v>
      </c>
      <c r="B95" s="10" t="s">
        <v>2666</v>
      </c>
      <c r="C95" s="10">
        <v>76</v>
      </c>
      <c r="D95" s="11">
        <v>18202</v>
      </c>
      <c r="E95" s="10" t="s">
        <v>9</v>
      </c>
      <c r="F95" s="10">
        <v>61</v>
      </c>
    </row>
    <row r="96" spans="1:6">
      <c r="A96" s="10" t="s">
        <v>43</v>
      </c>
      <c r="B96" s="10" t="s">
        <v>2667</v>
      </c>
      <c r="C96" s="10">
        <v>76</v>
      </c>
      <c r="D96" s="11">
        <v>7991</v>
      </c>
      <c r="E96" s="10" t="s">
        <v>9</v>
      </c>
      <c r="F96" s="10">
        <v>33</v>
      </c>
    </row>
    <row r="97" spans="1:6">
      <c r="A97" s="10" t="s">
        <v>43</v>
      </c>
      <c r="B97" s="10" t="s">
        <v>2668</v>
      </c>
      <c r="C97" s="10">
        <v>64</v>
      </c>
      <c r="D97" s="11">
        <v>12945</v>
      </c>
      <c r="E97" s="10" t="s">
        <v>9</v>
      </c>
      <c r="F97" s="10">
        <v>91</v>
      </c>
    </row>
    <row r="98" spans="1:6">
      <c r="A98" s="10" t="s">
        <v>114</v>
      </c>
      <c r="B98" s="10" t="s">
        <v>2657</v>
      </c>
      <c r="C98" s="10">
        <v>72</v>
      </c>
      <c r="D98" s="11">
        <v>18538</v>
      </c>
      <c r="E98" s="10" t="s">
        <v>9</v>
      </c>
      <c r="F98" s="10">
        <v>82</v>
      </c>
    </row>
    <row r="99" spans="1:6">
      <c r="A99" s="10" t="s">
        <v>114</v>
      </c>
      <c r="B99" s="10" t="s">
        <v>2658</v>
      </c>
      <c r="C99" s="10">
        <v>64</v>
      </c>
      <c r="D99" s="11">
        <v>14294</v>
      </c>
      <c r="E99" s="10" t="s">
        <v>9</v>
      </c>
      <c r="F99" s="10">
        <v>87</v>
      </c>
    </row>
    <row r="100" spans="1:6">
      <c r="A100" s="10" t="s">
        <v>114</v>
      </c>
      <c r="B100" s="10" t="s">
        <v>2659</v>
      </c>
      <c r="C100" s="10">
        <v>93</v>
      </c>
      <c r="D100" s="11">
        <v>12866</v>
      </c>
      <c r="E100" s="10" t="s">
        <v>9</v>
      </c>
      <c r="F100" s="10">
        <v>20</v>
      </c>
    </row>
    <row r="101" spans="1:6">
      <c r="A101" s="10" t="s">
        <v>114</v>
      </c>
      <c r="B101" s="10" t="s">
        <v>2660</v>
      </c>
      <c r="C101" s="10">
        <v>41</v>
      </c>
      <c r="D101" s="11">
        <v>11804</v>
      </c>
      <c r="E101" s="10" t="s">
        <v>12</v>
      </c>
      <c r="F101" s="10">
        <v>12</v>
      </c>
    </row>
    <row r="102" spans="1:6">
      <c r="A102" s="10" t="s">
        <v>114</v>
      </c>
      <c r="B102" s="10" t="s">
        <v>2661</v>
      </c>
      <c r="C102" s="10">
        <v>100</v>
      </c>
      <c r="D102" s="11">
        <v>21215</v>
      </c>
      <c r="E102" s="10" t="s">
        <v>9</v>
      </c>
      <c r="F102" s="10">
        <v>89</v>
      </c>
    </row>
    <row r="103" spans="1:6">
      <c r="A103" s="10" t="s">
        <v>114</v>
      </c>
      <c r="B103" s="10" t="s">
        <v>2662</v>
      </c>
      <c r="C103" s="10">
        <v>48</v>
      </c>
      <c r="D103" s="11">
        <v>18358</v>
      </c>
      <c r="E103" s="10" t="s">
        <v>12</v>
      </c>
      <c r="F103" s="10">
        <v>55</v>
      </c>
    </row>
    <row r="104" spans="1:6">
      <c r="A104" s="10" t="s">
        <v>114</v>
      </c>
      <c r="B104" s="10" t="s">
        <v>2663</v>
      </c>
      <c r="C104" s="10">
        <v>63</v>
      </c>
      <c r="D104" s="11">
        <v>9792</v>
      </c>
      <c r="E104" s="10" t="s">
        <v>9</v>
      </c>
      <c r="F104" s="10">
        <v>100</v>
      </c>
    </row>
    <row r="105" spans="1:6">
      <c r="A105" s="10" t="s">
        <v>114</v>
      </c>
      <c r="B105" s="10" t="s">
        <v>2664</v>
      </c>
      <c r="C105" s="10">
        <v>73</v>
      </c>
      <c r="D105" s="11">
        <v>9652</v>
      </c>
      <c r="E105" s="10" t="s">
        <v>9</v>
      </c>
      <c r="F105" s="10">
        <v>40</v>
      </c>
    </row>
    <row r="106" spans="1:6">
      <c r="A106" s="10" t="s">
        <v>114</v>
      </c>
      <c r="B106" s="10" t="s">
        <v>2665</v>
      </c>
      <c r="C106" s="10">
        <v>65</v>
      </c>
      <c r="D106" s="11">
        <v>22652</v>
      </c>
      <c r="E106" s="10" t="s">
        <v>9</v>
      </c>
      <c r="F106" s="10">
        <v>43</v>
      </c>
    </row>
    <row r="107" spans="1:6">
      <c r="A107" s="10" t="s">
        <v>114</v>
      </c>
      <c r="B107" s="10" t="s">
        <v>2666</v>
      </c>
      <c r="C107" s="10">
        <v>56</v>
      </c>
      <c r="D107" s="11">
        <v>24406</v>
      </c>
      <c r="E107" s="10" t="s">
        <v>12</v>
      </c>
      <c r="F107" s="10">
        <v>22</v>
      </c>
    </row>
    <row r="108" spans="1:6">
      <c r="A108" s="10" t="s">
        <v>114</v>
      </c>
      <c r="B108" s="10" t="s">
        <v>2667</v>
      </c>
      <c r="C108" s="10">
        <v>86</v>
      </c>
      <c r="D108" s="11">
        <v>21320</v>
      </c>
      <c r="E108" s="10" t="s">
        <v>9</v>
      </c>
      <c r="F108" s="10">
        <v>86</v>
      </c>
    </row>
    <row r="109" spans="1:6">
      <c r="A109" s="10" t="s">
        <v>114</v>
      </c>
      <c r="B109" s="10" t="s">
        <v>2668</v>
      </c>
      <c r="C109" s="10">
        <v>48</v>
      </c>
      <c r="D109" s="11">
        <v>14505</v>
      </c>
      <c r="E109" s="10" t="s">
        <v>12</v>
      </c>
      <c r="F109" s="10">
        <v>1</v>
      </c>
    </row>
    <row r="110" spans="1:6">
      <c r="A110" s="10" t="s">
        <v>188</v>
      </c>
      <c r="B110" s="10" t="s">
        <v>2657</v>
      </c>
      <c r="C110" s="10">
        <v>42</v>
      </c>
      <c r="D110" s="11">
        <v>6126</v>
      </c>
      <c r="E110" s="10" t="s">
        <v>12</v>
      </c>
      <c r="F110" s="10">
        <v>89</v>
      </c>
    </row>
    <row r="111" spans="1:6">
      <c r="A111" s="10" t="s">
        <v>188</v>
      </c>
      <c r="B111" s="10" t="s">
        <v>2658</v>
      </c>
      <c r="C111" s="10">
        <v>96</v>
      </c>
      <c r="D111" s="11">
        <v>9628</v>
      </c>
      <c r="E111" s="10" t="s">
        <v>9</v>
      </c>
      <c r="F111" s="10">
        <v>3</v>
      </c>
    </row>
    <row r="112" spans="1:6">
      <c r="A112" s="10" t="s">
        <v>188</v>
      </c>
      <c r="B112" s="10" t="s">
        <v>2659</v>
      </c>
      <c r="C112" s="10">
        <v>74</v>
      </c>
      <c r="D112" s="11">
        <v>17816</v>
      </c>
      <c r="E112" s="10" t="s">
        <v>9</v>
      </c>
      <c r="F112" s="10">
        <v>86</v>
      </c>
    </row>
    <row r="113" spans="1:6">
      <c r="A113" s="10" t="s">
        <v>188</v>
      </c>
      <c r="B113" s="10" t="s">
        <v>2660</v>
      </c>
      <c r="C113" s="10">
        <v>43</v>
      </c>
      <c r="D113" s="11">
        <v>7829</v>
      </c>
      <c r="E113" s="10" t="s">
        <v>12</v>
      </c>
      <c r="F113" s="10">
        <v>39</v>
      </c>
    </row>
    <row r="114" spans="1:6">
      <c r="A114" s="10" t="s">
        <v>188</v>
      </c>
      <c r="B114" s="10" t="s">
        <v>2661</v>
      </c>
      <c r="C114" s="10">
        <v>82</v>
      </c>
      <c r="D114" s="11">
        <v>17353</v>
      </c>
      <c r="E114" s="10" t="s">
        <v>9</v>
      </c>
      <c r="F114" s="10">
        <v>3</v>
      </c>
    </row>
    <row r="115" spans="1:6">
      <c r="A115" s="10" t="s">
        <v>188</v>
      </c>
      <c r="B115" s="10" t="s">
        <v>2662</v>
      </c>
      <c r="C115" s="10">
        <v>60</v>
      </c>
      <c r="D115" s="11">
        <v>7818</v>
      </c>
      <c r="E115" s="10" t="s">
        <v>9</v>
      </c>
      <c r="F115" s="10">
        <v>76</v>
      </c>
    </row>
    <row r="116" spans="1:6">
      <c r="A116" s="10" t="s">
        <v>188</v>
      </c>
      <c r="B116" s="10" t="s">
        <v>2663</v>
      </c>
      <c r="C116" s="10">
        <v>41</v>
      </c>
      <c r="D116" s="11">
        <v>23332</v>
      </c>
      <c r="E116" s="10" t="s">
        <v>12</v>
      </c>
      <c r="F116" s="10">
        <v>99</v>
      </c>
    </row>
    <row r="117" spans="1:6">
      <c r="A117" s="10" t="s">
        <v>188</v>
      </c>
      <c r="B117" s="10" t="s">
        <v>2664</v>
      </c>
      <c r="C117" s="10">
        <v>61</v>
      </c>
      <c r="D117" s="11">
        <v>14168</v>
      </c>
      <c r="E117" s="10" t="s">
        <v>9</v>
      </c>
      <c r="F117" s="10">
        <v>27</v>
      </c>
    </row>
    <row r="118" spans="1:6">
      <c r="A118" s="10" t="s">
        <v>188</v>
      </c>
      <c r="B118" s="10" t="s">
        <v>2665</v>
      </c>
      <c r="C118" s="10">
        <v>92</v>
      </c>
      <c r="D118" s="11">
        <v>9693</v>
      </c>
      <c r="E118" s="10" t="s">
        <v>9</v>
      </c>
      <c r="F118" s="10">
        <v>64</v>
      </c>
    </row>
    <row r="119" spans="1:6">
      <c r="A119" s="10" t="s">
        <v>188</v>
      </c>
      <c r="B119" s="10" t="s">
        <v>2666</v>
      </c>
      <c r="C119" s="10">
        <v>96</v>
      </c>
      <c r="D119" s="11">
        <v>8753</v>
      </c>
      <c r="E119" s="10" t="s">
        <v>9</v>
      </c>
      <c r="F119" s="10">
        <v>52</v>
      </c>
    </row>
    <row r="120" spans="1:6">
      <c r="A120" s="10" t="s">
        <v>188</v>
      </c>
      <c r="B120" s="10" t="s">
        <v>2667</v>
      </c>
      <c r="C120" s="10">
        <v>81</v>
      </c>
      <c r="D120" s="11">
        <v>11649</v>
      </c>
      <c r="E120" s="10" t="s">
        <v>9</v>
      </c>
      <c r="F120" s="10">
        <v>94</v>
      </c>
    </row>
    <row r="121" spans="1:6">
      <c r="A121" s="10" t="s">
        <v>188</v>
      </c>
      <c r="B121" s="10" t="s">
        <v>2668</v>
      </c>
      <c r="C121" s="10">
        <v>43</v>
      </c>
      <c r="D121" s="11">
        <v>11492</v>
      </c>
      <c r="E121" s="10" t="s">
        <v>12</v>
      </c>
      <c r="F121" s="10">
        <v>31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/>
  </sheetViews>
  <sheetFormatPr baseColWidth="10" defaultColWidth="8.83203125" defaultRowHeight="15"/>
  <cols>
    <col min="1" max="1" width="8.83203125" style="10" customWidth="1"/>
    <col min="2" max="3" width="10.5" style="10" customWidth="1"/>
    <col min="4" max="4" width="8.5" style="10" customWidth="1"/>
    <col min="5" max="5" width="11.5" style="10" customWidth="1"/>
    <col min="6" max="6" width="14.5" style="10" customWidth="1"/>
    <col min="7" max="7" width="8.83203125" style="10" customWidth="1"/>
    <col min="8" max="16384" width="8.83203125" style="10"/>
  </cols>
  <sheetData>
    <row r="1" spans="1:6">
      <c r="A1" s="8" t="s">
        <v>2686</v>
      </c>
      <c r="B1" s="8" t="s">
        <v>2690</v>
      </c>
      <c r="C1" s="8" t="s">
        <v>2691</v>
      </c>
      <c r="D1" s="8" t="s">
        <v>2692</v>
      </c>
      <c r="E1" s="8" t="s">
        <v>2693</v>
      </c>
      <c r="F1" s="8" t="s">
        <v>2694</v>
      </c>
    </row>
    <row r="2" spans="1:6">
      <c r="A2" s="10" t="s">
        <v>2657</v>
      </c>
      <c r="B2" s="10">
        <v>100</v>
      </c>
      <c r="C2" s="10">
        <v>92</v>
      </c>
      <c r="D2" s="10">
        <v>0.92</v>
      </c>
      <c r="E2" s="10">
        <v>0.27</v>
      </c>
      <c r="F2" s="10" t="s">
        <v>1261</v>
      </c>
    </row>
    <row r="3" spans="1:6">
      <c r="A3" s="10" t="s">
        <v>2658</v>
      </c>
      <c r="B3" s="10">
        <v>104</v>
      </c>
      <c r="C3" s="10">
        <v>88</v>
      </c>
      <c r="D3" s="10">
        <v>0.85</v>
      </c>
      <c r="E3" s="10">
        <v>0.25</v>
      </c>
      <c r="F3" s="10" t="s">
        <v>1261</v>
      </c>
    </row>
    <row r="4" spans="1:6">
      <c r="A4" s="10" t="s">
        <v>2659</v>
      </c>
      <c r="B4" s="10">
        <v>80</v>
      </c>
      <c r="C4" s="10">
        <v>57</v>
      </c>
      <c r="D4" s="10">
        <v>0.71</v>
      </c>
      <c r="E4" s="10">
        <v>0.11</v>
      </c>
      <c r="F4" s="10" t="s">
        <v>362</v>
      </c>
    </row>
    <row r="5" spans="1:6">
      <c r="A5" s="10" t="s">
        <v>2660</v>
      </c>
      <c r="B5" s="10">
        <v>82</v>
      </c>
      <c r="C5" s="10">
        <v>69</v>
      </c>
      <c r="D5" s="10">
        <v>0.84</v>
      </c>
      <c r="E5" s="10">
        <v>0.21</v>
      </c>
      <c r="F5" s="10" t="s">
        <v>362</v>
      </c>
    </row>
    <row r="6" spans="1:6">
      <c r="A6" s="10" t="s">
        <v>2661</v>
      </c>
      <c r="B6" s="10">
        <v>117</v>
      </c>
      <c r="C6" s="10">
        <v>88</v>
      </c>
      <c r="D6" s="10">
        <v>0.75</v>
      </c>
      <c r="E6" s="10">
        <v>0.21</v>
      </c>
      <c r="F6" s="10" t="s">
        <v>362</v>
      </c>
    </row>
    <row r="7" spans="1:6">
      <c r="A7" s="10" t="s">
        <v>2662</v>
      </c>
      <c r="B7" s="10">
        <v>87</v>
      </c>
      <c r="C7" s="10">
        <v>76</v>
      </c>
      <c r="D7" s="10">
        <v>0.87</v>
      </c>
      <c r="E7" s="10">
        <v>0.26</v>
      </c>
      <c r="F7" s="10" t="s">
        <v>1258</v>
      </c>
    </row>
    <row r="8" spans="1:6">
      <c r="A8" s="10" t="s">
        <v>2663</v>
      </c>
      <c r="B8" s="10">
        <v>114</v>
      </c>
      <c r="C8" s="10">
        <v>107</v>
      </c>
      <c r="D8" s="10">
        <v>0.94</v>
      </c>
      <c r="E8" s="10">
        <v>0.13</v>
      </c>
      <c r="F8" s="10" t="s">
        <v>362</v>
      </c>
    </row>
    <row r="9" spans="1:6">
      <c r="A9" s="10" t="s">
        <v>2664</v>
      </c>
      <c r="B9" s="10">
        <v>94</v>
      </c>
      <c r="C9" s="10">
        <v>73</v>
      </c>
      <c r="D9" s="10">
        <v>0.78</v>
      </c>
      <c r="E9" s="10">
        <v>0.28999999999999998</v>
      </c>
      <c r="F9" s="10" t="s">
        <v>1261</v>
      </c>
    </row>
    <row r="10" spans="1:6">
      <c r="A10" s="10" t="s">
        <v>2665</v>
      </c>
      <c r="B10" s="10">
        <v>101</v>
      </c>
      <c r="C10" s="10">
        <v>84</v>
      </c>
      <c r="D10" s="10">
        <v>0.83</v>
      </c>
      <c r="E10" s="10">
        <v>0.28999999999999998</v>
      </c>
      <c r="F10" s="10" t="s">
        <v>1261</v>
      </c>
    </row>
    <row r="11" spans="1:6">
      <c r="A11" s="10" t="s">
        <v>2666</v>
      </c>
      <c r="B11" s="10">
        <v>119</v>
      </c>
      <c r="C11" s="10">
        <v>103</v>
      </c>
      <c r="D11" s="10">
        <v>0.87</v>
      </c>
      <c r="E11" s="10">
        <v>0.22</v>
      </c>
      <c r="F11" s="10" t="s">
        <v>1261</v>
      </c>
    </row>
    <row r="12" spans="1:6">
      <c r="A12" s="10" t="s">
        <v>2667</v>
      </c>
      <c r="B12" s="10">
        <v>83</v>
      </c>
      <c r="C12" s="10">
        <v>77</v>
      </c>
      <c r="D12" s="10">
        <v>0.93</v>
      </c>
      <c r="E12" s="10">
        <v>0.24</v>
      </c>
      <c r="F12" s="10" t="s">
        <v>362</v>
      </c>
    </row>
    <row r="13" spans="1:6">
      <c r="A13" s="10" t="s">
        <v>2668</v>
      </c>
      <c r="B13" s="10">
        <v>108</v>
      </c>
      <c r="C13" s="10">
        <v>86</v>
      </c>
      <c r="D13" s="10">
        <v>0.8</v>
      </c>
      <c r="E13" s="10">
        <v>0.12</v>
      </c>
      <c r="F13" s="10" t="s">
        <v>1258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baseColWidth="10" defaultColWidth="8.83203125" defaultRowHeight="15"/>
  <cols>
    <col min="1" max="1" width="9.1640625" customWidth="1"/>
    <col min="2" max="2" width="17" customWidth="1"/>
    <col min="3" max="3" width="45" customWidth="1"/>
    <col min="4" max="4" width="9.5" customWidth="1"/>
    <col min="5" max="5" width="30.33203125" customWidth="1"/>
  </cols>
  <sheetData>
    <row r="1" spans="1:5" ht="15" customHeight="1">
      <c r="A1" s="3" t="s">
        <v>2695</v>
      </c>
      <c r="B1" s="3" t="s">
        <v>2696</v>
      </c>
      <c r="C1" s="3" t="s">
        <v>2697</v>
      </c>
      <c r="D1" s="3" t="s">
        <v>2698</v>
      </c>
      <c r="E1" s="3" t="s">
        <v>2699</v>
      </c>
    </row>
    <row r="2" spans="1:5">
      <c r="A2" t="s">
        <v>2700</v>
      </c>
      <c r="B2" t="s">
        <v>1</v>
      </c>
      <c r="C2" t="s">
        <v>2701</v>
      </c>
      <c r="D2" t="s">
        <v>2702</v>
      </c>
      <c r="E2" t="s">
        <v>2703</v>
      </c>
    </row>
    <row r="3" spans="1:5">
      <c r="A3" t="s">
        <v>2700</v>
      </c>
      <c r="B3" t="s">
        <v>309</v>
      </c>
      <c r="C3" t="s">
        <v>2704</v>
      </c>
      <c r="D3" t="s">
        <v>1902</v>
      </c>
      <c r="E3" t="s">
        <v>2705</v>
      </c>
    </row>
    <row r="4" spans="1:5">
      <c r="A4" t="s">
        <v>2690</v>
      </c>
      <c r="B4" t="s">
        <v>1252</v>
      </c>
      <c r="C4" t="s">
        <v>2706</v>
      </c>
      <c r="D4" t="s">
        <v>2707</v>
      </c>
      <c r="E4" t="s">
        <v>2708</v>
      </c>
    </row>
    <row r="5" spans="1:5">
      <c r="A5" t="s">
        <v>2690</v>
      </c>
      <c r="B5" t="s">
        <v>1255</v>
      </c>
      <c r="C5" t="s">
        <v>2709</v>
      </c>
      <c r="D5" t="s">
        <v>2710</v>
      </c>
      <c r="E5" t="s">
        <v>2711</v>
      </c>
    </row>
    <row r="6" spans="1:5">
      <c r="A6" t="s">
        <v>2712</v>
      </c>
      <c r="B6" t="s">
        <v>1608</v>
      </c>
      <c r="C6" t="s">
        <v>2713</v>
      </c>
      <c r="D6" t="s">
        <v>2710</v>
      </c>
      <c r="E6" t="s">
        <v>2714</v>
      </c>
    </row>
    <row r="7" spans="1:5">
      <c r="A7" t="s">
        <v>2712</v>
      </c>
      <c r="B7" t="s">
        <v>1609</v>
      </c>
      <c r="C7" t="s">
        <v>2715</v>
      </c>
      <c r="D7" t="s">
        <v>2710</v>
      </c>
      <c r="E7" t="s">
        <v>2716</v>
      </c>
    </row>
    <row r="8" spans="1:5">
      <c r="A8" t="s">
        <v>2717</v>
      </c>
      <c r="B8" t="s">
        <v>2274</v>
      </c>
      <c r="C8" t="s">
        <v>2718</v>
      </c>
      <c r="D8" t="s">
        <v>2710</v>
      </c>
      <c r="E8" t="s">
        <v>2719</v>
      </c>
    </row>
    <row r="9" spans="1:5">
      <c r="A9" t="s">
        <v>2720</v>
      </c>
      <c r="B9" t="s">
        <v>361</v>
      </c>
      <c r="C9" t="s">
        <v>2721</v>
      </c>
      <c r="D9" t="s">
        <v>1902</v>
      </c>
      <c r="E9" t="s">
        <v>2722</v>
      </c>
    </row>
    <row r="10" spans="1:5">
      <c r="A10" t="s">
        <v>2723</v>
      </c>
      <c r="B10" t="s">
        <v>5</v>
      </c>
      <c r="C10" t="s">
        <v>2724</v>
      </c>
      <c r="D10" t="s">
        <v>1902</v>
      </c>
      <c r="E10" t="s">
        <v>2725</v>
      </c>
    </row>
    <row r="11" spans="1:5">
      <c r="A11" t="s">
        <v>2726</v>
      </c>
      <c r="B11" t="s">
        <v>1904</v>
      </c>
      <c r="C11" t="s">
        <v>2727</v>
      </c>
      <c r="D11" t="s">
        <v>1902</v>
      </c>
      <c r="E11" t="s">
        <v>2728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/>
  </sheetViews>
  <sheetFormatPr baseColWidth="10" defaultColWidth="8.83203125" defaultRowHeight="15"/>
  <cols>
    <col min="1" max="1" width="18.83203125" customWidth="1"/>
    <col min="2" max="2" width="80.83203125" customWidth="1"/>
  </cols>
  <sheetData>
    <row r="1" spans="1:2" ht="15" customHeight="1">
      <c r="A1" s="3" t="s">
        <v>2729</v>
      </c>
      <c r="B1" s="3" t="s">
        <v>2730</v>
      </c>
    </row>
    <row r="2" spans="1:2">
      <c r="A2" t="s">
        <v>2731</v>
      </c>
      <c r="B2" t="s">
        <v>2732</v>
      </c>
    </row>
    <row r="3" spans="1:2">
      <c r="A3" t="s">
        <v>2733</v>
      </c>
      <c r="B3" t="s">
        <v>2734</v>
      </c>
    </row>
    <row r="4" spans="1:2">
      <c r="A4" t="s">
        <v>2735</v>
      </c>
      <c r="B4" t="s">
        <v>2736</v>
      </c>
    </row>
    <row r="5" spans="1:2">
      <c r="A5" t="s">
        <v>2737</v>
      </c>
      <c r="B5" t="s">
        <v>2738</v>
      </c>
    </row>
    <row r="6" spans="1:2">
      <c r="A6" t="s">
        <v>2739</v>
      </c>
      <c r="B6" t="s">
        <v>2740</v>
      </c>
    </row>
    <row r="7" spans="1:2">
      <c r="A7" t="s">
        <v>2741</v>
      </c>
      <c r="B7" t="s">
        <v>2742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"/>
  <sheetViews>
    <sheetView workbookViewId="0"/>
  </sheetViews>
  <sheetFormatPr baseColWidth="10" defaultColWidth="8.83203125" defaultRowHeight="15"/>
  <cols>
    <col min="1" max="1" width="14.33203125" customWidth="1"/>
    <col min="2" max="2" width="40" customWidth="1"/>
    <col min="3" max="3" width="33.6640625" customWidth="1"/>
    <col min="4" max="4" width="52.83203125" customWidth="1"/>
  </cols>
  <sheetData>
    <row r="1" spans="1:4" ht="15" customHeight="1">
      <c r="A1" s="3" t="s">
        <v>2743</v>
      </c>
      <c r="B1" s="3" t="s">
        <v>2744</v>
      </c>
      <c r="C1" s="3" t="s">
        <v>2745</v>
      </c>
      <c r="D1" s="3" t="s">
        <v>2746</v>
      </c>
    </row>
    <row r="2" spans="1:4">
      <c r="A2" t="s">
        <v>2747</v>
      </c>
      <c r="B2" t="s">
        <v>2748</v>
      </c>
      <c r="C2" t="s">
        <v>2749</v>
      </c>
      <c r="D2" t="s">
        <v>2750</v>
      </c>
    </row>
    <row r="3" spans="1:4">
      <c r="A3" t="s">
        <v>2751</v>
      </c>
      <c r="B3" t="s">
        <v>2752</v>
      </c>
      <c r="C3" t="s">
        <v>2753</v>
      </c>
      <c r="D3" t="s">
        <v>2754</v>
      </c>
    </row>
    <row r="4" spans="1:4">
      <c r="A4" t="s">
        <v>2755</v>
      </c>
      <c r="B4" t="s">
        <v>2756</v>
      </c>
      <c r="C4" t="s">
        <v>2757</v>
      </c>
      <c r="D4" t="s">
        <v>2758</v>
      </c>
    </row>
    <row r="5" spans="1:4">
      <c r="A5" t="s">
        <v>2759</v>
      </c>
      <c r="B5" t="s">
        <v>2760</v>
      </c>
      <c r="C5" t="s">
        <v>2761</v>
      </c>
      <c r="D5" t="s">
        <v>2762</v>
      </c>
    </row>
    <row r="6" spans="1:4">
      <c r="A6" t="s">
        <v>2763</v>
      </c>
      <c r="B6" t="s">
        <v>2764</v>
      </c>
      <c r="C6" t="s">
        <v>2765</v>
      </c>
      <c r="D6" t="s">
        <v>2766</v>
      </c>
    </row>
    <row r="7" spans="1:4">
      <c r="A7" t="s">
        <v>2767</v>
      </c>
      <c r="B7" t="s">
        <v>2768</v>
      </c>
      <c r="C7" t="s">
        <v>2769</v>
      </c>
      <c r="D7" t="s">
        <v>2770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workbookViewId="0"/>
  </sheetViews>
  <sheetFormatPr baseColWidth="10" defaultColWidth="8.83203125" defaultRowHeight="15"/>
  <cols>
    <col min="1" max="1" width="26" customWidth="1"/>
    <col min="2" max="2" width="82.5" customWidth="1"/>
  </cols>
  <sheetData>
    <row r="1" spans="1:2" ht="15" customHeight="1">
      <c r="A1" s="3" t="s">
        <v>2771</v>
      </c>
      <c r="B1" s="3" t="s">
        <v>2772</v>
      </c>
    </row>
    <row r="2" spans="1:2">
      <c r="A2" t="s">
        <v>2773</v>
      </c>
      <c r="B2" t="s">
        <v>2774</v>
      </c>
    </row>
    <row r="3" spans="1:2">
      <c r="A3" t="s">
        <v>2775</v>
      </c>
      <c r="B3" t="s">
        <v>2776</v>
      </c>
    </row>
    <row r="4" spans="1:2">
      <c r="A4" t="s">
        <v>2777</v>
      </c>
      <c r="B4" t="s">
        <v>2778</v>
      </c>
    </row>
    <row r="5" spans="1:2">
      <c r="A5" t="s">
        <v>2779</v>
      </c>
      <c r="B5" t="s">
        <v>2780</v>
      </c>
    </row>
    <row r="6" spans="1:2">
      <c r="A6" t="s">
        <v>2781</v>
      </c>
      <c r="B6" t="s">
        <v>2782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>
      <selection activeCell="A20" sqref="A20:F20"/>
    </sheetView>
  </sheetViews>
  <sheetFormatPr baseColWidth="10" defaultColWidth="8.83203125" defaultRowHeight="15"/>
  <cols>
    <col min="1" max="1" width="22" customWidth="1"/>
    <col min="2" max="2" width="28" customWidth="1"/>
    <col min="3" max="3" width="32" customWidth="1"/>
    <col min="4" max="4" width="36" customWidth="1"/>
    <col min="5" max="5" width="24" customWidth="1"/>
    <col min="6" max="6" width="14" customWidth="1"/>
  </cols>
  <sheetData>
    <row r="1" spans="1:6" ht="18" customHeight="1">
      <c r="A1" s="34" t="s">
        <v>2783</v>
      </c>
      <c r="B1" s="31"/>
      <c r="C1" s="31"/>
      <c r="D1" s="31"/>
      <c r="E1" s="31"/>
      <c r="F1" s="31"/>
    </row>
    <row r="3" spans="1:6" ht="16" customHeight="1">
      <c r="A3" s="18" t="s">
        <v>2784</v>
      </c>
      <c r="B3" s="18" t="s">
        <v>2785</v>
      </c>
      <c r="C3" s="18" t="s">
        <v>2786</v>
      </c>
      <c r="D3" s="18" t="s">
        <v>2787</v>
      </c>
      <c r="E3" s="18" t="s">
        <v>2788</v>
      </c>
      <c r="F3" s="18" t="s">
        <v>313</v>
      </c>
    </row>
    <row r="4" spans="1:6" ht="45" customHeight="1">
      <c r="A4" s="19" t="s">
        <v>2789</v>
      </c>
      <c r="B4" s="19" t="s">
        <v>2790</v>
      </c>
      <c r="C4" s="19" t="s">
        <v>2791</v>
      </c>
      <c r="D4" s="19" t="s">
        <v>2792</v>
      </c>
      <c r="E4" s="19" t="s">
        <v>2793</v>
      </c>
      <c r="F4" s="19" t="s">
        <v>2794</v>
      </c>
    </row>
    <row r="5" spans="1:6" ht="30" customHeight="1">
      <c r="A5" s="19" t="s">
        <v>2795</v>
      </c>
      <c r="B5" s="19" t="s">
        <v>2796</v>
      </c>
      <c r="C5" s="19" t="s">
        <v>2797</v>
      </c>
      <c r="D5" s="19" t="s">
        <v>2798</v>
      </c>
      <c r="E5" s="19" t="s">
        <v>2799</v>
      </c>
      <c r="F5" s="19" t="s">
        <v>2794</v>
      </c>
    </row>
    <row r="6" spans="1:6" ht="30" customHeight="1">
      <c r="A6" s="19" t="s">
        <v>2800</v>
      </c>
      <c r="B6" s="19" t="s">
        <v>2801</v>
      </c>
      <c r="C6" s="19" t="s">
        <v>2802</v>
      </c>
      <c r="D6" s="19" t="s">
        <v>2803</v>
      </c>
      <c r="E6" s="19" t="s">
        <v>2804</v>
      </c>
      <c r="F6" s="19" t="s">
        <v>2794</v>
      </c>
    </row>
    <row r="7" spans="1:6" ht="30" customHeight="1">
      <c r="A7" s="19" t="s">
        <v>2805</v>
      </c>
      <c r="B7" s="19" t="s">
        <v>2806</v>
      </c>
      <c r="C7" s="19" t="s">
        <v>2807</v>
      </c>
      <c r="D7" s="19" t="s">
        <v>2808</v>
      </c>
      <c r="E7" s="19" t="s">
        <v>2809</v>
      </c>
      <c r="F7" s="19" t="s">
        <v>2794</v>
      </c>
    </row>
    <row r="8" spans="1:6" ht="30" customHeight="1">
      <c r="A8" s="19" t="s">
        <v>2810</v>
      </c>
      <c r="B8" s="19" t="s">
        <v>2811</v>
      </c>
      <c r="C8" s="19" t="s">
        <v>2812</v>
      </c>
      <c r="D8" s="19" t="s">
        <v>2813</v>
      </c>
      <c r="E8" s="19" t="s">
        <v>2814</v>
      </c>
      <c r="F8" s="19" t="s">
        <v>2815</v>
      </c>
    </row>
    <row r="10" spans="1:6" ht="15" customHeight="1">
      <c r="A10" s="35" t="s">
        <v>2816</v>
      </c>
      <c r="B10" s="31"/>
      <c r="C10" s="31"/>
      <c r="D10" s="31"/>
      <c r="E10" s="31"/>
      <c r="F10" s="31"/>
    </row>
    <row r="12" spans="1:6" ht="16" customHeight="1">
      <c r="A12" s="21" t="s">
        <v>2817</v>
      </c>
      <c r="B12" s="21"/>
      <c r="C12" s="21"/>
      <c r="D12" s="21"/>
      <c r="E12" s="21"/>
      <c r="F12" s="21"/>
    </row>
    <row r="13" spans="1:6" ht="15" customHeight="1">
      <c r="A13" s="20" t="s">
        <v>2818</v>
      </c>
      <c r="B13" s="20"/>
      <c r="C13" s="20"/>
      <c r="D13" s="20"/>
      <c r="E13" s="20"/>
      <c r="F13" s="20"/>
    </row>
    <row r="14" spans="1:6" ht="16" customHeight="1">
      <c r="A14" s="22" t="s">
        <v>2819</v>
      </c>
      <c r="B14" s="22" t="s">
        <v>2712</v>
      </c>
      <c r="C14" s="22" t="s">
        <v>2717</v>
      </c>
      <c r="D14" s="22" t="s">
        <v>2726</v>
      </c>
      <c r="E14" s="22" t="s">
        <v>2690</v>
      </c>
      <c r="F14" s="22" t="s">
        <v>2723</v>
      </c>
    </row>
    <row r="15" spans="1:6" ht="15" customHeight="1">
      <c r="A15" s="20"/>
      <c r="B15" s="20"/>
      <c r="C15" s="20"/>
      <c r="D15" s="20"/>
      <c r="E15" s="20" t="s">
        <v>2820</v>
      </c>
      <c r="F15" s="20"/>
    </row>
    <row r="16" spans="1:6" ht="15" customHeight="1">
      <c r="A16" s="20"/>
      <c r="B16" s="20"/>
      <c r="C16" s="20"/>
      <c r="D16" s="20"/>
      <c r="E16" s="20" t="s">
        <v>2821</v>
      </c>
      <c r="F16" s="20"/>
    </row>
    <row r="17" spans="1:6">
      <c r="A17" s="32" t="s">
        <v>2822</v>
      </c>
      <c r="B17" s="31"/>
      <c r="C17" s="31"/>
      <c r="D17" s="31"/>
      <c r="E17" s="31"/>
      <c r="F17" s="31"/>
    </row>
    <row r="18" spans="1:6">
      <c r="A18" s="31"/>
      <c r="B18" s="31"/>
      <c r="C18" s="31"/>
      <c r="D18" s="31"/>
      <c r="E18" s="31"/>
      <c r="F18" s="31"/>
    </row>
    <row r="20" spans="1:6" ht="15" customHeight="1">
      <c r="A20" s="33" t="s">
        <v>2823</v>
      </c>
      <c r="B20" s="31"/>
      <c r="C20" s="31"/>
      <c r="D20" s="31"/>
      <c r="E20" s="31"/>
      <c r="F20" s="31"/>
    </row>
  </sheetData>
  <mergeCells count="4">
    <mergeCell ref="A17:F18"/>
    <mergeCell ref="A20:F20"/>
    <mergeCell ref="A1:F1"/>
    <mergeCell ref="A10:F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42"/>
  <sheetViews>
    <sheetView showGridLines="0" tabSelected="1" workbookViewId="0">
      <pane ySplit="2" topLeftCell="A35" activePane="bottomLeft" state="frozen"/>
      <selection pane="bottomLeft" sqref="A1:H1"/>
    </sheetView>
  </sheetViews>
  <sheetFormatPr baseColWidth="10" defaultColWidth="8.83203125" defaultRowHeight="15"/>
  <cols>
    <col min="1" max="1" width="13" customWidth="1"/>
    <col min="2" max="2" width="20" customWidth="1"/>
    <col min="3" max="3" width="12" customWidth="1"/>
    <col min="4" max="4" width="10" customWidth="1"/>
    <col min="5" max="8" width="18" customWidth="1"/>
  </cols>
  <sheetData>
    <row r="1" spans="1:8" ht="28" customHeight="1">
      <c r="A1" s="30" t="s">
        <v>2824</v>
      </c>
      <c r="B1" s="31"/>
      <c r="C1" s="31"/>
      <c r="D1" s="31"/>
      <c r="E1" s="31"/>
      <c r="F1" s="31"/>
      <c r="G1" s="31"/>
      <c r="H1" s="31"/>
    </row>
    <row r="2" spans="1:8" ht="64">
      <c r="A2" s="23" t="s">
        <v>1</v>
      </c>
      <c r="B2" s="23" t="s">
        <v>309</v>
      </c>
      <c r="C2" s="23" t="s">
        <v>2825</v>
      </c>
      <c r="D2" s="23" t="s">
        <v>2686</v>
      </c>
      <c r="E2" s="23" t="s">
        <v>2826</v>
      </c>
      <c r="F2" s="23" t="s">
        <v>2827</v>
      </c>
      <c r="G2" s="23" t="s">
        <v>2828</v>
      </c>
      <c r="H2" s="23" t="s">
        <v>2829</v>
      </c>
    </row>
    <row r="3" spans="1:8">
      <c r="A3" s="24" t="s">
        <v>7</v>
      </c>
      <c r="B3" s="24" t="s">
        <v>318</v>
      </c>
      <c r="C3" s="25">
        <v>45658</v>
      </c>
      <c r="D3" s="24" t="s">
        <v>2657</v>
      </c>
      <c r="E3" s="26">
        <v>0</v>
      </c>
      <c r="F3" s="26">
        <v>7151</v>
      </c>
      <c r="G3" s="26">
        <v>-7151</v>
      </c>
      <c r="H3" s="26">
        <v>-7151</v>
      </c>
    </row>
    <row r="4" spans="1:8">
      <c r="A4" s="24" t="s">
        <v>7</v>
      </c>
      <c r="B4" s="24" t="s">
        <v>318</v>
      </c>
      <c r="C4" s="25">
        <v>45689</v>
      </c>
      <c r="D4" s="24" t="s">
        <v>2658</v>
      </c>
      <c r="E4" s="26">
        <v>0</v>
      </c>
      <c r="F4" s="26">
        <v>6365</v>
      </c>
      <c r="G4" s="26">
        <v>-6365</v>
      </c>
      <c r="H4" s="26">
        <v>-13516</v>
      </c>
    </row>
    <row r="5" spans="1:8">
      <c r="A5" s="24" t="s">
        <v>7</v>
      </c>
      <c r="B5" s="24" t="s">
        <v>318</v>
      </c>
      <c r="C5" s="25">
        <v>45717</v>
      </c>
      <c r="D5" s="24" t="s">
        <v>2659</v>
      </c>
      <c r="E5" s="26">
        <v>0</v>
      </c>
      <c r="F5" s="26">
        <v>5920</v>
      </c>
      <c r="G5" s="26">
        <v>-5920</v>
      </c>
      <c r="H5" s="26">
        <v>-19436</v>
      </c>
    </row>
    <row r="6" spans="1:8">
      <c r="A6" s="24" t="s">
        <v>7</v>
      </c>
      <c r="B6" s="24" t="s">
        <v>318</v>
      </c>
      <c r="C6" s="25">
        <v>45748</v>
      </c>
      <c r="D6" s="24" t="s">
        <v>2660</v>
      </c>
      <c r="E6" s="26">
        <v>0</v>
      </c>
      <c r="F6" s="26">
        <v>11795</v>
      </c>
      <c r="G6" s="26">
        <v>-11795</v>
      </c>
      <c r="H6" s="26">
        <v>-31231</v>
      </c>
    </row>
    <row r="7" spans="1:8">
      <c r="A7" s="24" t="s">
        <v>7</v>
      </c>
      <c r="B7" s="24" t="s">
        <v>318</v>
      </c>
      <c r="C7" s="25">
        <v>45778</v>
      </c>
      <c r="D7" s="24" t="s">
        <v>2661</v>
      </c>
      <c r="E7" s="26">
        <v>0</v>
      </c>
      <c r="F7" s="26">
        <v>13374</v>
      </c>
      <c r="G7" s="26">
        <v>-13374</v>
      </c>
      <c r="H7" s="26">
        <v>-44605</v>
      </c>
    </row>
    <row r="8" spans="1:8">
      <c r="A8" s="24" t="s">
        <v>7</v>
      </c>
      <c r="B8" s="24" t="s">
        <v>318</v>
      </c>
      <c r="C8" s="25">
        <v>45809</v>
      </c>
      <c r="D8" s="24" t="s">
        <v>2662</v>
      </c>
      <c r="E8" s="26">
        <v>0</v>
      </c>
      <c r="F8" s="26">
        <v>22665</v>
      </c>
      <c r="G8" s="26">
        <v>-22665</v>
      </c>
      <c r="H8" s="26">
        <v>-67270</v>
      </c>
    </row>
    <row r="9" spans="1:8">
      <c r="A9" s="24" t="s">
        <v>7</v>
      </c>
      <c r="B9" s="24" t="s">
        <v>318</v>
      </c>
      <c r="C9" s="25">
        <v>45839</v>
      </c>
      <c r="D9" s="24" t="s">
        <v>2663</v>
      </c>
      <c r="E9" s="26">
        <v>0</v>
      </c>
      <c r="F9" s="26">
        <v>16395</v>
      </c>
      <c r="G9" s="26">
        <v>-16395</v>
      </c>
      <c r="H9" s="26">
        <v>-83665</v>
      </c>
    </row>
    <row r="10" spans="1:8">
      <c r="A10" s="24" t="s">
        <v>7</v>
      </c>
      <c r="B10" s="24" t="s">
        <v>318</v>
      </c>
      <c r="C10" s="25">
        <v>45870</v>
      </c>
      <c r="D10" s="24" t="s">
        <v>2664</v>
      </c>
      <c r="E10" s="26">
        <v>0</v>
      </c>
      <c r="F10" s="26">
        <v>19409</v>
      </c>
      <c r="G10" s="26">
        <v>-19409</v>
      </c>
      <c r="H10" s="26">
        <v>-103074</v>
      </c>
    </row>
    <row r="11" spans="1:8">
      <c r="A11" s="24" t="s">
        <v>7</v>
      </c>
      <c r="B11" s="24" t="s">
        <v>318</v>
      </c>
      <c r="C11" s="25">
        <v>45901</v>
      </c>
      <c r="D11" s="24" t="s">
        <v>2665</v>
      </c>
      <c r="E11" s="26">
        <v>0</v>
      </c>
      <c r="F11" s="26">
        <v>22872</v>
      </c>
      <c r="G11" s="26">
        <v>-22872</v>
      </c>
      <c r="H11" s="26">
        <v>-125946</v>
      </c>
    </row>
    <row r="12" spans="1:8">
      <c r="A12" s="24" t="s">
        <v>7</v>
      </c>
      <c r="B12" s="24" t="s">
        <v>318</v>
      </c>
      <c r="C12" s="25">
        <v>45931</v>
      </c>
      <c r="D12" s="24" t="s">
        <v>2666</v>
      </c>
      <c r="E12" s="26">
        <v>0</v>
      </c>
      <c r="F12" s="26">
        <v>16951</v>
      </c>
      <c r="G12" s="26">
        <v>-16951</v>
      </c>
      <c r="H12" s="26">
        <v>-142897</v>
      </c>
    </row>
    <row r="13" spans="1:8">
      <c r="A13" s="24" t="s">
        <v>7</v>
      </c>
      <c r="B13" s="24" t="s">
        <v>318</v>
      </c>
      <c r="C13" s="25">
        <v>45962</v>
      </c>
      <c r="D13" s="24" t="s">
        <v>2667</v>
      </c>
      <c r="E13" s="26">
        <v>0</v>
      </c>
      <c r="F13" s="26">
        <v>103447.71</v>
      </c>
      <c r="G13" s="26">
        <v>-103447.71</v>
      </c>
      <c r="H13" s="26">
        <v>-246344.71</v>
      </c>
    </row>
    <row r="14" spans="1:8">
      <c r="A14" s="24" t="s">
        <v>7</v>
      </c>
      <c r="B14" s="24" t="s">
        <v>318</v>
      </c>
      <c r="C14" s="25">
        <v>45992</v>
      </c>
      <c r="D14" s="24" t="s">
        <v>2668</v>
      </c>
      <c r="E14" s="26">
        <v>0</v>
      </c>
      <c r="F14" s="26">
        <v>135519.94</v>
      </c>
      <c r="G14" s="26">
        <v>-135519.94</v>
      </c>
      <c r="H14" s="26">
        <v>-381864.65</v>
      </c>
    </row>
    <row r="15" spans="1:8">
      <c r="A15" s="24" t="s">
        <v>97</v>
      </c>
      <c r="B15" s="24" t="s">
        <v>324</v>
      </c>
      <c r="C15" s="25">
        <v>45658</v>
      </c>
      <c r="D15" s="24" t="s">
        <v>2657</v>
      </c>
      <c r="E15" s="26">
        <v>0</v>
      </c>
      <c r="F15" s="26">
        <v>10217</v>
      </c>
      <c r="G15" s="26">
        <v>-10217</v>
      </c>
      <c r="H15" s="26">
        <v>-10217</v>
      </c>
    </row>
    <row r="16" spans="1:8">
      <c r="A16" s="24" t="s">
        <v>97</v>
      </c>
      <c r="B16" s="24" t="s">
        <v>324</v>
      </c>
      <c r="C16" s="25">
        <v>45689</v>
      </c>
      <c r="D16" s="24" t="s">
        <v>2658</v>
      </c>
      <c r="E16" s="26">
        <v>0</v>
      </c>
      <c r="F16" s="26">
        <v>9653</v>
      </c>
      <c r="G16" s="26">
        <v>-9653</v>
      </c>
      <c r="H16" s="26">
        <v>-19870</v>
      </c>
    </row>
    <row r="17" spans="1:8">
      <c r="A17" s="24" t="s">
        <v>97</v>
      </c>
      <c r="B17" s="24" t="s">
        <v>324</v>
      </c>
      <c r="C17" s="25">
        <v>45717</v>
      </c>
      <c r="D17" s="24" t="s">
        <v>2659</v>
      </c>
      <c r="E17" s="26">
        <v>0</v>
      </c>
      <c r="F17" s="26">
        <v>20793</v>
      </c>
      <c r="G17" s="26">
        <v>-20793</v>
      </c>
      <c r="H17" s="26">
        <v>-40663</v>
      </c>
    </row>
    <row r="18" spans="1:8">
      <c r="A18" s="24" t="s">
        <v>97</v>
      </c>
      <c r="B18" s="24" t="s">
        <v>324</v>
      </c>
      <c r="C18" s="25">
        <v>45748</v>
      </c>
      <c r="D18" s="24" t="s">
        <v>2660</v>
      </c>
      <c r="E18" s="26">
        <v>0</v>
      </c>
      <c r="F18" s="26">
        <v>6419</v>
      </c>
      <c r="G18" s="26">
        <v>-6419</v>
      </c>
      <c r="H18" s="26">
        <v>-47082</v>
      </c>
    </row>
    <row r="19" spans="1:8">
      <c r="A19" s="24" t="s">
        <v>97</v>
      </c>
      <c r="B19" s="24" t="s">
        <v>324</v>
      </c>
      <c r="C19" s="25">
        <v>45778</v>
      </c>
      <c r="D19" s="24" t="s">
        <v>2661</v>
      </c>
      <c r="E19" s="26">
        <v>0</v>
      </c>
      <c r="F19" s="26">
        <v>15821</v>
      </c>
      <c r="G19" s="26">
        <v>-15821</v>
      </c>
      <c r="H19" s="26">
        <v>-62903</v>
      </c>
    </row>
    <row r="20" spans="1:8">
      <c r="A20" s="24" t="s">
        <v>97</v>
      </c>
      <c r="B20" s="24" t="s">
        <v>324</v>
      </c>
      <c r="C20" s="25">
        <v>45809</v>
      </c>
      <c r="D20" s="24" t="s">
        <v>2662</v>
      </c>
      <c r="E20" s="26">
        <v>0</v>
      </c>
      <c r="F20" s="26">
        <v>13771</v>
      </c>
      <c r="G20" s="26">
        <v>-13771</v>
      </c>
      <c r="H20" s="26">
        <v>-76674</v>
      </c>
    </row>
    <row r="21" spans="1:8">
      <c r="A21" s="24" t="s">
        <v>97</v>
      </c>
      <c r="B21" s="24" t="s">
        <v>324</v>
      </c>
      <c r="C21" s="25">
        <v>45839</v>
      </c>
      <c r="D21" s="24" t="s">
        <v>2663</v>
      </c>
      <c r="E21" s="26">
        <v>0</v>
      </c>
      <c r="F21" s="26">
        <v>22958</v>
      </c>
      <c r="G21" s="26">
        <v>-22958</v>
      </c>
      <c r="H21" s="26">
        <v>-99632</v>
      </c>
    </row>
    <row r="22" spans="1:8">
      <c r="A22" s="24" t="s">
        <v>97</v>
      </c>
      <c r="B22" s="24" t="s">
        <v>324</v>
      </c>
      <c r="C22" s="25">
        <v>45870</v>
      </c>
      <c r="D22" s="24" t="s">
        <v>2664</v>
      </c>
      <c r="E22" s="26">
        <v>0</v>
      </c>
      <c r="F22" s="26">
        <v>97674.38</v>
      </c>
      <c r="G22" s="26">
        <v>-97674.38</v>
      </c>
      <c r="H22" s="26">
        <v>-197306.38</v>
      </c>
    </row>
    <row r="23" spans="1:8">
      <c r="A23" s="24" t="s">
        <v>97</v>
      </c>
      <c r="B23" s="24" t="s">
        <v>324</v>
      </c>
      <c r="C23" s="25">
        <v>45901</v>
      </c>
      <c r="D23" s="24" t="s">
        <v>2665</v>
      </c>
      <c r="E23" s="26">
        <v>0</v>
      </c>
      <c r="F23" s="26">
        <v>11632</v>
      </c>
      <c r="G23" s="26">
        <v>-11632</v>
      </c>
      <c r="H23" s="26">
        <v>-208938.38</v>
      </c>
    </row>
    <row r="24" spans="1:8">
      <c r="A24" s="24" t="s">
        <v>97</v>
      </c>
      <c r="B24" s="24" t="s">
        <v>324</v>
      </c>
      <c r="C24" s="25">
        <v>45931</v>
      </c>
      <c r="D24" s="24" t="s">
        <v>2666</v>
      </c>
      <c r="E24" s="26">
        <v>0</v>
      </c>
      <c r="F24" s="26">
        <v>21889</v>
      </c>
      <c r="G24" s="26">
        <v>-21889</v>
      </c>
      <c r="H24" s="26">
        <v>-230827.38</v>
      </c>
    </row>
    <row r="25" spans="1:8">
      <c r="A25" s="24" t="s">
        <v>97</v>
      </c>
      <c r="B25" s="24" t="s">
        <v>324</v>
      </c>
      <c r="C25" s="25">
        <v>45962</v>
      </c>
      <c r="D25" s="24" t="s">
        <v>2667</v>
      </c>
      <c r="E25" s="26">
        <v>0</v>
      </c>
      <c r="F25" s="26">
        <v>10163</v>
      </c>
      <c r="G25" s="26">
        <v>-10163</v>
      </c>
      <c r="H25" s="26">
        <v>-240990.38</v>
      </c>
    </row>
    <row r="26" spans="1:8">
      <c r="A26" s="24" t="s">
        <v>97</v>
      </c>
      <c r="B26" s="24" t="s">
        <v>324</v>
      </c>
      <c r="C26" s="25">
        <v>45992</v>
      </c>
      <c r="D26" s="24" t="s">
        <v>2668</v>
      </c>
      <c r="E26" s="26">
        <v>0</v>
      </c>
      <c r="F26" s="26">
        <v>71235.05</v>
      </c>
      <c r="G26" s="26">
        <v>-71235.05</v>
      </c>
      <c r="H26" s="26">
        <v>-312225.43</v>
      </c>
    </row>
    <row r="27" spans="1:8">
      <c r="A27" s="24" t="s">
        <v>116</v>
      </c>
      <c r="B27" s="24" t="s">
        <v>329</v>
      </c>
      <c r="C27" s="25">
        <v>45658</v>
      </c>
      <c r="D27" s="24" t="s">
        <v>2657</v>
      </c>
      <c r="E27" s="26">
        <v>0</v>
      </c>
      <c r="F27" s="26">
        <v>19090</v>
      </c>
      <c r="G27" s="26">
        <v>-19090</v>
      </c>
      <c r="H27" s="26">
        <v>-19090</v>
      </c>
    </row>
    <row r="28" spans="1:8">
      <c r="A28" s="24" t="s">
        <v>116</v>
      </c>
      <c r="B28" s="24" t="s">
        <v>329</v>
      </c>
      <c r="C28" s="25">
        <v>45689</v>
      </c>
      <c r="D28" s="24" t="s">
        <v>2658</v>
      </c>
      <c r="E28" s="26">
        <v>0</v>
      </c>
      <c r="F28" s="26">
        <v>12273</v>
      </c>
      <c r="G28" s="26">
        <v>-12273</v>
      </c>
      <c r="H28" s="26">
        <v>-31363</v>
      </c>
    </row>
    <row r="29" spans="1:8">
      <c r="A29" s="24" t="s">
        <v>116</v>
      </c>
      <c r="B29" s="24" t="s">
        <v>329</v>
      </c>
      <c r="C29" s="25">
        <v>45717</v>
      </c>
      <c r="D29" s="24" t="s">
        <v>2659</v>
      </c>
      <c r="E29" s="26">
        <v>0</v>
      </c>
      <c r="F29" s="26">
        <v>7281</v>
      </c>
      <c r="G29" s="26">
        <v>-7281</v>
      </c>
      <c r="H29" s="26">
        <v>-38644</v>
      </c>
    </row>
    <row r="30" spans="1:8">
      <c r="A30" s="24" t="s">
        <v>116</v>
      </c>
      <c r="B30" s="24" t="s">
        <v>329</v>
      </c>
      <c r="C30" s="25">
        <v>45748</v>
      </c>
      <c r="D30" s="24" t="s">
        <v>2660</v>
      </c>
      <c r="E30" s="26">
        <v>0</v>
      </c>
      <c r="F30" s="26">
        <v>7006</v>
      </c>
      <c r="G30" s="26">
        <v>-7006</v>
      </c>
      <c r="H30" s="26">
        <v>-45650</v>
      </c>
    </row>
    <row r="31" spans="1:8">
      <c r="A31" s="24" t="s">
        <v>116</v>
      </c>
      <c r="B31" s="24" t="s">
        <v>329</v>
      </c>
      <c r="C31" s="25">
        <v>45778</v>
      </c>
      <c r="D31" s="24" t="s">
        <v>2661</v>
      </c>
      <c r="E31" s="26">
        <v>0</v>
      </c>
      <c r="F31" s="26">
        <v>9121</v>
      </c>
      <c r="G31" s="26">
        <v>-9121</v>
      </c>
      <c r="H31" s="26">
        <v>-54771</v>
      </c>
    </row>
    <row r="32" spans="1:8">
      <c r="A32" s="24" t="s">
        <v>116</v>
      </c>
      <c r="B32" s="24" t="s">
        <v>329</v>
      </c>
      <c r="C32" s="25">
        <v>45809</v>
      </c>
      <c r="D32" s="24" t="s">
        <v>2662</v>
      </c>
      <c r="E32" s="26">
        <v>0</v>
      </c>
      <c r="F32" s="26">
        <v>14824</v>
      </c>
      <c r="G32" s="26">
        <v>-14824</v>
      </c>
      <c r="H32" s="26">
        <v>-69595</v>
      </c>
    </row>
    <row r="33" spans="1:8">
      <c r="A33" s="24" t="s">
        <v>116</v>
      </c>
      <c r="B33" s="24" t="s">
        <v>329</v>
      </c>
      <c r="C33" s="25">
        <v>45839</v>
      </c>
      <c r="D33" s="24" t="s">
        <v>2663</v>
      </c>
      <c r="E33" s="26">
        <v>0</v>
      </c>
      <c r="F33" s="26">
        <v>40618.36</v>
      </c>
      <c r="G33" s="26">
        <v>-40618.36</v>
      </c>
      <c r="H33" s="26">
        <v>-110213.36</v>
      </c>
    </row>
    <row r="34" spans="1:8">
      <c r="A34" s="24" t="s">
        <v>116</v>
      </c>
      <c r="B34" s="24" t="s">
        <v>329</v>
      </c>
      <c r="C34" s="25">
        <v>45870</v>
      </c>
      <c r="D34" s="24" t="s">
        <v>2664</v>
      </c>
      <c r="E34" s="26">
        <v>0</v>
      </c>
      <c r="F34" s="26">
        <v>22837</v>
      </c>
      <c r="G34" s="26">
        <v>-22837</v>
      </c>
      <c r="H34" s="26">
        <v>-133050.35999999999</v>
      </c>
    </row>
    <row r="35" spans="1:8">
      <c r="A35" s="24" t="s">
        <v>116</v>
      </c>
      <c r="B35" s="24" t="s">
        <v>329</v>
      </c>
      <c r="C35" s="25">
        <v>45901</v>
      </c>
      <c r="D35" s="24" t="s">
        <v>2665</v>
      </c>
      <c r="E35" s="26">
        <v>0</v>
      </c>
      <c r="F35" s="26">
        <v>11240</v>
      </c>
      <c r="G35" s="26">
        <v>-11240</v>
      </c>
      <c r="H35" s="26">
        <v>-144290.35999999999</v>
      </c>
    </row>
    <row r="36" spans="1:8">
      <c r="A36" s="24" t="s">
        <v>116</v>
      </c>
      <c r="B36" s="24" t="s">
        <v>329</v>
      </c>
      <c r="C36" s="25">
        <v>45931</v>
      </c>
      <c r="D36" s="24" t="s">
        <v>2666</v>
      </c>
      <c r="E36" s="26">
        <v>0</v>
      </c>
      <c r="F36" s="26">
        <v>137583.71</v>
      </c>
      <c r="G36" s="26">
        <v>-137583.71</v>
      </c>
      <c r="H36" s="26">
        <v>-281874.07</v>
      </c>
    </row>
    <row r="37" spans="1:8">
      <c r="A37" s="24" t="s">
        <v>116</v>
      </c>
      <c r="B37" s="24" t="s">
        <v>329</v>
      </c>
      <c r="C37" s="25">
        <v>45962</v>
      </c>
      <c r="D37" s="24" t="s">
        <v>2667</v>
      </c>
      <c r="E37" s="26">
        <v>0</v>
      </c>
      <c r="F37" s="26">
        <v>5261</v>
      </c>
      <c r="G37" s="26">
        <v>-5261</v>
      </c>
      <c r="H37" s="26">
        <v>-287135.07</v>
      </c>
    </row>
    <row r="38" spans="1:8">
      <c r="A38" s="24" t="s">
        <v>116</v>
      </c>
      <c r="B38" s="24" t="s">
        <v>329</v>
      </c>
      <c r="C38" s="25">
        <v>45992</v>
      </c>
      <c r="D38" s="24" t="s">
        <v>2668</v>
      </c>
      <c r="E38" s="26">
        <v>0</v>
      </c>
      <c r="F38" s="26">
        <v>39637.870000000003</v>
      </c>
      <c r="G38" s="26">
        <v>-39637.870000000003</v>
      </c>
      <c r="H38" s="26">
        <v>-326772.94</v>
      </c>
    </row>
    <row r="39" spans="1:8">
      <c r="A39" s="24" t="s">
        <v>94</v>
      </c>
      <c r="B39" s="24" t="s">
        <v>318</v>
      </c>
      <c r="C39" s="25">
        <v>45658</v>
      </c>
      <c r="D39" s="24" t="s">
        <v>2657</v>
      </c>
      <c r="E39" s="26">
        <v>0</v>
      </c>
      <c r="F39" s="26">
        <v>10469</v>
      </c>
      <c r="G39" s="26">
        <v>-10469</v>
      </c>
      <c r="H39" s="26">
        <v>-10469</v>
      </c>
    </row>
    <row r="40" spans="1:8">
      <c r="A40" s="24" t="s">
        <v>94</v>
      </c>
      <c r="B40" s="24" t="s">
        <v>318</v>
      </c>
      <c r="C40" s="25">
        <v>45689</v>
      </c>
      <c r="D40" s="24" t="s">
        <v>2658</v>
      </c>
      <c r="E40" s="26">
        <v>0</v>
      </c>
      <c r="F40" s="26">
        <v>20568</v>
      </c>
      <c r="G40" s="26">
        <v>-20568</v>
      </c>
      <c r="H40" s="26">
        <v>-31037</v>
      </c>
    </row>
    <row r="41" spans="1:8">
      <c r="A41" s="24" t="s">
        <v>94</v>
      </c>
      <c r="B41" s="24" t="s">
        <v>318</v>
      </c>
      <c r="C41" s="25">
        <v>45717</v>
      </c>
      <c r="D41" s="24" t="s">
        <v>2659</v>
      </c>
      <c r="E41" s="26">
        <v>0</v>
      </c>
      <c r="F41" s="26">
        <v>8799</v>
      </c>
      <c r="G41" s="26">
        <v>-8799</v>
      </c>
      <c r="H41" s="26">
        <v>-39836</v>
      </c>
    </row>
    <row r="42" spans="1:8">
      <c r="A42" s="24" t="s">
        <v>94</v>
      </c>
      <c r="B42" s="24" t="s">
        <v>318</v>
      </c>
      <c r="C42" s="25">
        <v>45748</v>
      </c>
      <c r="D42" s="24" t="s">
        <v>2660</v>
      </c>
      <c r="E42" s="26">
        <v>0</v>
      </c>
      <c r="F42" s="26">
        <v>21425</v>
      </c>
      <c r="G42" s="26">
        <v>-21425</v>
      </c>
      <c r="H42" s="26">
        <v>-61261</v>
      </c>
    </row>
    <row r="43" spans="1:8">
      <c r="A43" s="24" t="s">
        <v>94</v>
      </c>
      <c r="B43" s="24" t="s">
        <v>318</v>
      </c>
      <c r="C43" s="25">
        <v>45778</v>
      </c>
      <c r="D43" s="24" t="s">
        <v>2661</v>
      </c>
      <c r="E43" s="26">
        <v>0</v>
      </c>
      <c r="F43" s="26">
        <v>15454</v>
      </c>
      <c r="G43" s="26">
        <v>-15454</v>
      </c>
      <c r="H43" s="26">
        <v>-76715</v>
      </c>
    </row>
    <row r="44" spans="1:8">
      <c r="A44" s="24" t="s">
        <v>94</v>
      </c>
      <c r="B44" s="24" t="s">
        <v>318</v>
      </c>
      <c r="C44" s="25">
        <v>45809</v>
      </c>
      <c r="D44" s="24" t="s">
        <v>2662</v>
      </c>
      <c r="E44" s="26">
        <v>0</v>
      </c>
      <c r="F44" s="26">
        <v>20752</v>
      </c>
      <c r="G44" s="26">
        <v>-20752</v>
      </c>
      <c r="H44" s="26">
        <v>-97467</v>
      </c>
    </row>
    <row r="45" spans="1:8">
      <c r="A45" s="24" t="s">
        <v>94</v>
      </c>
      <c r="B45" s="24" t="s">
        <v>318</v>
      </c>
      <c r="C45" s="25">
        <v>45839</v>
      </c>
      <c r="D45" s="24" t="s">
        <v>2663</v>
      </c>
      <c r="E45" s="26">
        <v>0</v>
      </c>
      <c r="F45" s="26">
        <v>17777</v>
      </c>
      <c r="G45" s="26">
        <v>-17777</v>
      </c>
      <c r="H45" s="26">
        <v>-115244</v>
      </c>
    </row>
    <row r="46" spans="1:8">
      <c r="A46" s="24" t="s">
        <v>94</v>
      </c>
      <c r="B46" s="24" t="s">
        <v>318</v>
      </c>
      <c r="C46" s="25">
        <v>45870</v>
      </c>
      <c r="D46" s="24" t="s">
        <v>2664</v>
      </c>
      <c r="E46" s="26">
        <v>0</v>
      </c>
      <c r="F46" s="26">
        <v>24744</v>
      </c>
      <c r="G46" s="26">
        <v>-24744</v>
      </c>
      <c r="H46" s="26">
        <v>-139988</v>
      </c>
    </row>
    <row r="47" spans="1:8">
      <c r="A47" s="24" t="s">
        <v>94</v>
      </c>
      <c r="B47" s="24" t="s">
        <v>318</v>
      </c>
      <c r="C47" s="25">
        <v>45901</v>
      </c>
      <c r="D47" s="24" t="s">
        <v>2665</v>
      </c>
      <c r="E47" s="26">
        <v>0</v>
      </c>
      <c r="F47" s="26">
        <v>19502</v>
      </c>
      <c r="G47" s="26">
        <v>-19502</v>
      </c>
      <c r="H47" s="26">
        <v>-159490</v>
      </c>
    </row>
    <row r="48" spans="1:8">
      <c r="A48" s="24" t="s">
        <v>94</v>
      </c>
      <c r="B48" s="24" t="s">
        <v>318</v>
      </c>
      <c r="C48" s="25">
        <v>45931</v>
      </c>
      <c r="D48" s="24" t="s">
        <v>2666</v>
      </c>
      <c r="E48" s="26">
        <v>0</v>
      </c>
      <c r="F48" s="26">
        <v>7398</v>
      </c>
      <c r="G48" s="26">
        <v>-7398</v>
      </c>
      <c r="H48" s="26">
        <v>-166888</v>
      </c>
    </row>
    <row r="49" spans="1:8">
      <c r="A49" s="24" t="s">
        <v>94</v>
      </c>
      <c r="B49" s="24" t="s">
        <v>318</v>
      </c>
      <c r="C49" s="25">
        <v>45962</v>
      </c>
      <c r="D49" s="24" t="s">
        <v>2667</v>
      </c>
      <c r="E49" s="26">
        <v>0</v>
      </c>
      <c r="F49" s="26">
        <v>115378.3</v>
      </c>
      <c r="G49" s="26">
        <v>-115378.3</v>
      </c>
      <c r="H49" s="26">
        <v>-282266.3</v>
      </c>
    </row>
    <row r="50" spans="1:8">
      <c r="A50" s="24" t="s">
        <v>94</v>
      </c>
      <c r="B50" s="24" t="s">
        <v>318</v>
      </c>
      <c r="C50" s="25">
        <v>45992</v>
      </c>
      <c r="D50" s="24" t="s">
        <v>2668</v>
      </c>
      <c r="E50" s="26">
        <v>0</v>
      </c>
      <c r="F50" s="26">
        <v>14131</v>
      </c>
      <c r="G50" s="26">
        <v>-14131</v>
      </c>
      <c r="H50" s="26">
        <v>-296397.3</v>
      </c>
    </row>
    <row r="51" spans="1:8">
      <c r="A51" s="24" t="s">
        <v>57</v>
      </c>
      <c r="B51" s="24" t="s">
        <v>329</v>
      </c>
      <c r="C51" s="25">
        <v>45658</v>
      </c>
      <c r="D51" s="24" t="s">
        <v>2657</v>
      </c>
      <c r="E51" s="26">
        <v>0</v>
      </c>
      <c r="F51" s="26">
        <v>14673</v>
      </c>
      <c r="G51" s="26">
        <v>-14673</v>
      </c>
      <c r="H51" s="26">
        <v>-14673</v>
      </c>
    </row>
    <row r="52" spans="1:8">
      <c r="A52" s="24" t="s">
        <v>57</v>
      </c>
      <c r="B52" s="24" t="s">
        <v>329</v>
      </c>
      <c r="C52" s="25">
        <v>45689</v>
      </c>
      <c r="D52" s="24" t="s">
        <v>2658</v>
      </c>
      <c r="E52" s="26">
        <v>0</v>
      </c>
      <c r="F52" s="26">
        <v>21018</v>
      </c>
      <c r="G52" s="26">
        <v>-21018</v>
      </c>
      <c r="H52" s="26">
        <v>-35691</v>
      </c>
    </row>
    <row r="53" spans="1:8">
      <c r="A53" s="24" t="s">
        <v>57</v>
      </c>
      <c r="B53" s="24" t="s">
        <v>329</v>
      </c>
      <c r="C53" s="25">
        <v>45717</v>
      </c>
      <c r="D53" s="24" t="s">
        <v>2659</v>
      </c>
      <c r="E53" s="26">
        <v>0</v>
      </c>
      <c r="F53" s="26">
        <v>6698</v>
      </c>
      <c r="G53" s="26">
        <v>-6698</v>
      </c>
      <c r="H53" s="26">
        <v>-42389</v>
      </c>
    </row>
    <row r="54" spans="1:8">
      <c r="A54" s="24" t="s">
        <v>57</v>
      </c>
      <c r="B54" s="24" t="s">
        <v>329</v>
      </c>
      <c r="C54" s="25">
        <v>45748</v>
      </c>
      <c r="D54" s="24" t="s">
        <v>2660</v>
      </c>
      <c r="E54" s="26">
        <v>0</v>
      </c>
      <c r="F54" s="26">
        <v>20840</v>
      </c>
      <c r="G54" s="26">
        <v>-20840</v>
      </c>
      <c r="H54" s="26">
        <v>-63229</v>
      </c>
    </row>
    <row r="55" spans="1:8">
      <c r="A55" s="24" t="s">
        <v>57</v>
      </c>
      <c r="B55" s="24" t="s">
        <v>329</v>
      </c>
      <c r="C55" s="25">
        <v>45778</v>
      </c>
      <c r="D55" s="24" t="s">
        <v>2661</v>
      </c>
      <c r="E55" s="26">
        <v>0</v>
      </c>
      <c r="F55" s="26">
        <v>19648</v>
      </c>
      <c r="G55" s="26">
        <v>-19648</v>
      </c>
      <c r="H55" s="26">
        <v>-82877</v>
      </c>
    </row>
    <row r="56" spans="1:8">
      <c r="A56" s="24" t="s">
        <v>57</v>
      </c>
      <c r="B56" s="24" t="s">
        <v>329</v>
      </c>
      <c r="C56" s="25">
        <v>45809</v>
      </c>
      <c r="D56" s="24" t="s">
        <v>2662</v>
      </c>
      <c r="E56" s="26">
        <v>0</v>
      </c>
      <c r="F56" s="26">
        <v>18998</v>
      </c>
      <c r="G56" s="26">
        <v>-18998</v>
      </c>
      <c r="H56" s="26">
        <v>-101875</v>
      </c>
    </row>
    <row r="57" spans="1:8">
      <c r="A57" s="24" t="s">
        <v>57</v>
      </c>
      <c r="B57" s="24" t="s">
        <v>329</v>
      </c>
      <c r="C57" s="25">
        <v>45839</v>
      </c>
      <c r="D57" s="24" t="s">
        <v>2663</v>
      </c>
      <c r="E57" s="26">
        <v>0</v>
      </c>
      <c r="F57" s="26">
        <v>23993</v>
      </c>
      <c r="G57" s="26">
        <v>-23993</v>
      </c>
      <c r="H57" s="26">
        <v>-125868</v>
      </c>
    </row>
    <row r="58" spans="1:8">
      <c r="A58" s="24" t="s">
        <v>57</v>
      </c>
      <c r="B58" s="24" t="s">
        <v>329</v>
      </c>
      <c r="C58" s="25">
        <v>45870</v>
      </c>
      <c r="D58" s="24" t="s">
        <v>2664</v>
      </c>
      <c r="E58" s="26">
        <v>0</v>
      </c>
      <c r="F58" s="26">
        <v>20556</v>
      </c>
      <c r="G58" s="26">
        <v>-20556</v>
      </c>
      <c r="H58" s="26">
        <v>-146424</v>
      </c>
    </row>
    <row r="59" spans="1:8">
      <c r="A59" s="24" t="s">
        <v>57</v>
      </c>
      <c r="B59" s="24" t="s">
        <v>329</v>
      </c>
      <c r="C59" s="25">
        <v>45901</v>
      </c>
      <c r="D59" s="24" t="s">
        <v>2665</v>
      </c>
      <c r="E59" s="26">
        <v>0</v>
      </c>
      <c r="F59" s="26">
        <v>118774.02</v>
      </c>
      <c r="G59" s="26">
        <v>-118774.02</v>
      </c>
      <c r="H59" s="26">
        <v>-265198.02</v>
      </c>
    </row>
    <row r="60" spans="1:8">
      <c r="A60" s="24" t="s">
        <v>57</v>
      </c>
      <c r="B60" s="24" t="s">
        <v>329</v>
      </c>
      <c r="C60" s="25">
        <v>45931</v>
      </c>
      <c r="D60" s="24" t="s">
        <v>2666</v>
      </c>
      <c r="E60" s="26">
        <v>0</v>
      </c>
      <c r="F60" s="26">
        <v>19237</v>
      </c>
      <c r="G60" s="26">
        <v>-19237</v>
      </c>
      <c r="H60" s="26">
        <v>-284435.02</v>
      </c>
    </row>
    <row r="61" spans="1:8">
      <c r="A61" s="24" t="s">
        <v>57</v>
      </c>
      <c r="B61" s="24" t="s">
        <v>329</v>
      </c>
      <c r="C61" s="25">
        <v>45962</v>
      </c>
      <c r="D61" s="24" t="s">
        <v>2667</v>
      </c>
      <c r="E61" s="26">
        <v>0</v>
      </c>
      <c r="F61" s="26">
        <v>133129.01999999999</v>
      </c>
      <c r="G61" s="26">
        <v>-133129.01999999999</v>
      </c>
      <c r="H61" s="26">
        <v>-417564.04</v>
      </c>
    </row>
    <row r="62" spans="1:8">
      <c r="A62" s="24" t="s">
        <v>57</v>
      </c>
      <c r="B62" s="24" t="s">
        <v>329</v>
      </c>
      <c r="C62" s="25">
        <v>45992</v>
      </c>
      <c r="D62" s="24" t="s">
        <v>2668</v>
      </c>
      <c r="E62" s="26">
        <v>0</v>
      </c>
      <c r="F62" s="26">
        <v>102907.71</v>
      </c>
      <c r="G62" s="26">
        <v>-102907.71</v>
      </c>
      <c r="H62" s="26">
        <v>-520471.75000000012</v>
      </c>
    </row>
    <row r="63" spans="1:8">
      <c r="A63" s="24" t="s">
        <v>273</v>
      </c>
      <c r="B63" s="24" t="s">
        <v>337</v>
      </c>
      <c r="C63" s="25">
        <v>45658</v>
      </c>
      <c r="D63" s="24" t="s">
        <v>2657</v>
      </c>
      <c r="E63" s="26">
        <v>0</v>
      </c>
      <c r="F63" s="26">
        <v>6333</v>
      </c>
      <c r="G63" s="26">
        <v>-6333</v>
      </c>
      <c r="H63" s="26">
        <v>-6333</v>
      </c>
    </row>
    <row r="64" spans="1:8">
      <c r="A64" s="24" t="s">
        <v>273</v>
      </c>
      <c r="B64" s="24" t="s">
        <v>337</v>
      </c>
      <c r="C64" s="25">
        <v>45689</v>
      </c>
      <c r="D64" s="24" t="s">
        <v>2658</v>
      </c>
      <c r="E64" s="26">
        <v>0</v>
      </c>
      <c r="F64" s="26">
        <v>17374</v>
      </c>
      <c r="G64" s="26">
        <v>-17374</v>
      </c>
      <c r="H64" s="26">
        <v>-23707</v>
      </c>
    </row>
    <row r="65" spans="1:8">
      <c r="A65" s="24" t="s">
        <v>273</v>
      </c>
      <c r="B65" s="24" t="s">
        <v>337</v>
      </c>
      <c r="C65" s="25">
        <v>45717</v>
      </c>
      <c r="D65" s="24" t="s">
        <v>2659</v>
      </c>
      <c r="E65" s="26">
        <v>0</v>
      </c>
      <c r="F65" s="26">
        <v>12685</v>
      </c>
      <c r="G65" s="26">
        <v>-12685</v>
      </c>
      <c r="H65" s="26">
        <v>-36392</v>
      </c>
    </row>
    <row r="66" spans="1:8">
      <c r="A66" s="24" t="s">
        <v>273</v>
      </c>
      <c r="B66" s="24" t="s">
        <v>337</v>
      </c>
      <c r="C66" s="25">
        <v>45748</v>
      </c>
      <c r="D66" s="24" t="s">
        <v>2660</v>
      </c>
      <c r="E66" s="26">
        <v>0</v>
      </c>
      <c r="F66" s="26">
        <v>13716</v>
      </c>
      <c r="G66" s="26">
        <v>-13716</v>
      </c>
      <c r="H66" s="26">
        <v>-50108</v>
      </c>
    </row>
    <row r="67" spans="1:8">
      <c r="A67" s="24" t="s">
        <v>273</v>
      </c>
      <c r="B67" s="24" t="s">
        <v>337</v>
      </c>
      <c r="C67" s="25">
        <v>45778</v>
      </c>
      <c r="D67" s="24" t="s">
        <v>2661</v>
      </c>
      <c r="E67" s="26">
        <v>0</v>
      </c>
      <c r="F67" s="26">
        <v>17014</v>
      </c>
      <c r="G67" s="26">
        <v>-17014</v>
      </c>
      <c r="H67" s="26">
        <v>-67122</v>
      </c>
    </row>
    <row r="68" spans="1:8">
      <c r="A68" s="24" t="s">
        <v>273</v>
      </c>
      <c r="B68" s="24" t="s">
        <v>337</v>
      </c>
      <c r="C68" s="25">
        <v>45809</v>
      </c>
      <c r="D68" s="24" t="s">
        <v>2662</v>
      </c>
      <c r="E68" s="26">
        <v>0</v>
      </c>
      <c r="F68" s="26">
        <v>14225</v>
      </c>
      <c r="G68" s="26">
        <v>-14225</v>
      </c>
      <c r="H68" s="26">
        <v>-81347</v>
      </c>
    </row>
    <row r="69" spans="1:8">
      <c r="A69" s="24" t="s">
        <v>273</v>
      </c>
      <c r="B69" s="24" t="s">
        <v>337</v>
      </c>
      <c r="C69" s="25">
        <v>45839</v>
      </c>
      <c r="D69" s="24" t="s">
        <v>2663</v>
      </c>
      <c r="E69" s="26">
        <v>0</v>
      </c>
      <c r="F69" s="26">
        <v>17447</v>
      </c>
      <c r="G69" s="26">
        <v>-17447</v>
      </c>
      <c r="H69" s="26">
        <v>-98794</v>
      </c>
    </row>
    <row r="70" spans="1:8">
      <c r="A70" s="24" t="s">
        <v>273</v>
      </c>
      <c r="B70" s="24" t="s">
        <v>337</v>
      </c>
      <c r="C70" s="25">
        <v>45870</v>
      </c>
      <c r="D70" s="24" t="s">
        <v>2664</v>
      </c>
      <c r="E70" s="26">
        <v>0</v>
      </c>
      <c r="F70" s="26">
        <v>56808.03</v>
      </c>
      <c r="G70" s="26">
        <v>-56808.03</v>
      </c>
      <c r="H70" s="26">
        <v>-155602.03</v>
      </c>
    </row>
    <row r="71" spans="1:8">
      <c r="A71" s="24" t="s">
        <v>273</v>
      </c>
      <c r="B71" s="24" t="s">
        <v>337</v>
      </c>
      <c r="C71" s="25">
        <v>45901</v>
      </c>
      <c r="D71" s="24" t="s">
        <v>2665</v>
      </c>
      <c r="E71" s="26">
        <v>0</v>
      </c>
      <c r="F71" s="26">
        <v>20037</v>
      </c>
      <c r="G71" s="26">
        <v>-20037</v>
      </c>
      <c r="H71" s="26">
        <v>-175639.03</v>
      </c>
    </row>
    <row r="72" spans="1:8">
      <c r="A72" s="24" t="s">
        <v>273</v>
      </c>
      <c r="B72" s="24" t="s">
        <v>337</v>
      </c>
      <c r="C72" s="25">
        <v>45931</v>
      </c>
      <c r="D72" s="24" t="s">
        <v>2666</v>
      </c>
      <c r="E72" s="26">
        <v>0</v>
      </c>
      <c r="F72" s="26">
        <v>67632.03</v>
      </c>
      <c r="G72" s="26">
        <v>-67632.03</v>
      </c>
      <c r="H72" s="26">
        <v>-243271.06</v>
      </c>
    </row>
    <row r="73" spans="1:8">
      <c r="A73" s="24" t="s">
        <v>273</v>
      </c>
      <c r="B73" s="24" t="s">
        <v>337</v>
      </c>
      <c r="C73" s="25">
        <v>45962</v>
      </c>
      <c r="D73" s="24" t="s">
        <v>2667</v>
      </c>
      <c r="E73" s="26">
        <v>0</v>
      </c>
      <c r="F73" s="26">
        <v>81305.95</v>
      </c>
      <c r="G73" s="26">
        <v>-81305.95</v>
      </c>
      <c r="H73" s="26">
        <v>-324577.01</v>
      </c>
    </row>
    <row r="74" spans="1:8">
      <c r="A74" s="24" t="s">
        <v>273</v>
      </c>
      <c r="B74" s="24" t="s">
        <v>337</v>
      </c>
      <c r="C74" s="25">
        <v>45992</v>
      </c>
      <c r="D74" s="24" t="s">
        <v>2668</v>
      </c>
      <c r="E74" s="26">
        <v>0</v>
      </c>
      <c r="F74" s="26">
        <v>13466</v>
      </c>
      <c r="G74" s="26">
        <v>-13466</v>
      </c>
      <c r="H74" s="26">
        <v>-338043.01</v>
      </c>
    </row>
    <row r="75" spans="1:8">
      <c r="A75" s="24" t="s">
        <v>197</v>
      </c>
      <c r="B75" s="24" t="s">
        <v>337</v>
      </c>
      <c r="C75" s="25">
        <v>45658</v>
      </c>
      <c r="D75" s="24" t="s">
        <v>2657</v>
      </c>
      <c r="E75" s="26">
        <v>0</v>
      </c>
      <c r="F75" s="26">
        <v>5435</v>
      </c>
      <c r="G75" s="26">
        <v>-5435</v>
      </c>
      <c r="H75" s="26">
        <v>-5435</v>
      </c>
    </row>
    <row r="76" spans="1:8">
      <c r="A76" s="24" t="s">
        <v>197</v>
      </c>
      <c r="B76" s="24" t="s">
        <v>337</v>
      </c>
      <c r="C76" s="25">
        <v>45689</v>
      </c>
      <c r="D76" s="24" t="s">
        <v>2658</v>
      </c>
      <c r="E76" s="26">
        <v>0</v>
      </c>
      <c r="F76" s="26">
        <v>16856</v>
      </c>
      <c r="G76" s="26">
        <v>-16856</v>
      </c>
      <c r="H76" s="26">
        <v>-22291</v>
      </c>
    </row>
    <row r="77" spans="1:8">
      <c r="A77" s="24" t="s">
        <v>197</v>
      </c>
      <c r="B77" s="24" t="s">
        <v>337</v>
      </c>
      <c r="C77" s="25">
        <v>45717</v>
      </c>
      <c r="D77" s="24" t="s">
        <v>2659</v>
      </c>
      <c r="E77" s="26">
        <v>0</v>
      </c>
      <c r="F77" s="26">
        <v>20670</v>
      </c>
      <c r="G77" s="26">
        <v>-20670</v>
      </c>
      <c r="H77" s="26">
        <v>-42961</v>
      </c>
    </row>
    <row r="78" spans="1:8">
      <c r="A78" s="24" t="s">
        <v>197</v>
      </c>
      <c r="B78" s="24" t="s">
        <v>337</v>
      </c>
      <c r="C78" s="25">
        <v>45748</v>
      </c>
      <c r="D78" s="24" t="s">
        <v>2660</v>
      </c>
      <c r="E78" s="26">
        <v>0</v>
      </c>
      <c r="F78" s="26">
        <v>18806</v>
      </c>
      <c r="G78" s="26">
        <v>-18806</v>
      </c>
      <c r="H78" s="26">
        <v>-61767</v>
      </c>
    </row>
    <row r="79" spans="1:8">
      <c r="A79" s="24" t="s">
        <v>197</v>
      </c>
      <c r="B79" s="24" t="s">
        <v>337</v>
      </c>
      <c r="C79" s="25">
        <v>45778</v>
      </c>
      <c r="D79" s="24" t="s">
        <v>2661</v>
      </c>
      <c r="E79" s="26">
        <v>0</v>
      </c>
      <c r="F79" s="26">
        <v>8736</v>
      </c>
      <c r="G79" s="26">
        <v>-8736</v>
      </c>
      <c r="H79" s="26">
        <v>-70503</v>
      </c>
    </row>
    <row r="80" spans="1:8">
      <c r="A80" s="24" t="s">
        <v>197</v>
      </c>
      <c r="B80" s="24" t="s">
        <v>337</v>
      </c>
      <c r="C80" s="25">
        <v>45809</v>
      </c>
      <c r="D80" s="24" t="s">
        <v>2662</v>
      </c>
      <c r="E80" s="26">
        <v>0</v>
      </c>
      <c r="F80" s="26">
        <v>24226</v>
      </c>
      <c r="G80" s="26">
        <v>-24226</v>
      </c>
      <c r="H80" s="26">
        <v>-94729</v>
      </c>
    </row>
    <row r="81" spans="1:8">
      <c r="A81" s="24" t="s">
        <v>197</v>
      </c>
      <c r="B81" s="24" t="s">
        <v>337</v>
      </c>
      <c r="C81" s="25">
        <v>45839</v>
      </c>
      <c r="D81" s="24" t="s">
        <v>2663</v>
      </c>
      <c r="E81" s="26">
        <v>0</v>
      </c>
      <c r="F81" s="26">
        <v>15772</v>
      </c>
      <c r="G81" s="26">
        <v>-15772</v>
      </c>
      <c r="H81" s="26">
        <v>-110501</v>
      </c>
    </row>
    <row r="82" spans="1:8">
      <c r="A82" s="24" t="s">
        <v>197</v>
      </c>
      <c r="B82" s="24" t="s">
        <v>337</v>
      </c>
      <c r="C82" s="25">
        <v>45870</v>
      </c>
      <c r="D82" s="24" t="s">
        <v>2664</v>
      </c>
      <c r="E82" s="26">
        <v>0</v>
      </c>
      <c r="F82" s="26">
        <v>8151</v>
      </c>
      <c r="G82" s="26">
        <v>-8151</v>
      </c>
      <c r="H82" s="26">
        <v>-118652</v>
      </c>
    </row>
    <row r="83" spans="1:8">
      <c r="A83" s="24" t="s">
        <v>197</v>
      </c>
      <c r="B83" s="24" t="s">
        <v>337</v>
      </c>
      <c r="C83" s="25">
        <v>45901</v>
      </c>
      <c r="D83" s="24" t="s">
        <v>2665</v>
      </c>
      <c r="E83" s="26">
        <v>0</v>
      </c>
      <c r="F83" s="26">
        <v>18007</v>
      </c>
      <c r="G83" s="26">
        <v>-18007</v>
      </c>
      <c r="H83" s="26">
        <v>-136659</v>
      </c>
    </row>
    <row r="84" spans="1:8">
      <c r="A84" s="24" t="s">
        <v>197</v>
      </c>
      <c r="B84" s="24" t="s">
        <v>337</v>
      </c>
      <c r="C84" s="25">
        <v>45931</v>
      </c>
      <c r="D84" s="24" t="s">
        <v>2666</v>
      </c>
      <c r="E84" s="26">
        <v>0</v>
      </c>
      <c r="F84" s="26">
        <v>9960</v>
      </c>
      <c r="G84" s="26">
        <v>-9960</v>
      </c>
      <c r="H84" s="26">
        <v>-146619</v>
      </c>
    </row>
    <row r="85" spans="1:8">
      <c r="A85" s="24" t="s">
        <v>197</v>
      </c>
      <c r="B85" s="24" t="s">
        <v>337</v>
      </c>
      <c r="C85" s="25">
        <v>45962</v>
      </c>
      <c r="D85" s="24" t="s">
        <v>2667</v>
      </c>
      <c r="E85" s="26">
        <v>0</v>
      </c>
      <c r="F85" s="26">
        <v>6006</v>
      </c>
      <c r="G85" s="26">
        <v>-6006</v>
      </c>
      <c r="H85" s="26">
        <v>-152625</v>
      </c>
    </row>
    <row r="86" spans="1:8">
      <c r="A86" s="24" t="s">
        <v>197</v>
      </c>
      <c r="B86" s="24" t="s">
        <v>337</v>
      </c>
      <c r="C86" s="25">
        <v>45992</v>
      </c>
      <c r="D86" s="24" t="s">
        <v>2668</v>
      </c>
      <c r="E86" s="26">
        <v>0</v>
      </c>
      <c r="F86" s="26">
        <v>9408</v>
      </c>
      <c r="G86" s="26">
        <v>-9408</v>
      </c>
      <c r="H86" s="26">
        <v>-162033</v>
      </c>
    </row>
    <row r="87" spans="1:8">
      <c r="A87" s="24" t="s">
        <v>43</v>
      </c>
      <c r="B87" s="24" t="s">
        <v>337</v>
      </c>
      <c r="C87" s="25">
        <v>45658</v>
      </c>
      <c r="D87" s="24" t="s">
        <v>2657</v>
      </c>
      <c r="E87" s="26">
        <v>0</v>
      </c>
      <c r="F87" s="26">
        <v>23367</v>
      </c>
      <c r="G87" s="26">
        <v>-23367</v>
      </c>
      <c r="H87" s="26">
        <v>-23367</v>
      </c>
    </row>
    <row r="88" spans="1:8">
      <c r="A88" s="24" t="s">
        <v>43</v>
      </c>
      <c r="B88" s="24" t="s">
        <v>337</v>
      </c>
      <c r="C88" s="25">
        <v>45689</v>
      </c>
      <c r="D88" s="24" t="s">
        <v>2658</v>
      </c>
      <c r="E88" s="26">
        <v>0</v>
      </c>
      <c r="F88" s="26">
        <v>11846</v>
      </c>
      <c r="G88" s="26">
        <v>-11846</v>
      </c>
      <c r="H88" s="26">
        <v>-35213</v>
      </c>
    </row>
    <row r="89" spans="1:8">
      <c r="A89" s="24" t="s">
        <v>43</v>
      </c>
      <c r="B89" s="24" t="s">
        <v>337</v>
      </c>
      <c r="C89" s="25">
        <v>45717</v>
      </c>
      <c r="D89" s="24" t="s">
        <v>2659</v>
      </c>
      <c r="E89" s="26">
        <v>0</v>
      </c>
      <c r="F89" s="26">
        <v>20359</v>
      </c>
      <c r="G89" s="26">
        <v>-20359</v>
      </c>
      <c r="H89" s="26">
        <v>-55572</v>
      </c>
    </row>
    <row r="90" spans="1:8">
      <c r="A90" s="24" t="s">
        <v>43</v>
      </c>
      <c r="B90" s="24" t="s">
        <v>337</v>
      </c>
      <c r="C90" s="25">
        <v>45748</v>
      </c>
      <c r="D90" s="24" t="s">
        <v>2660</v>
      </c>
      <c r="E90" s="26">
        <v>0</v>
      </c>
      <c r="F90" s="26">
        <v>19932</v>
      </c>
      <c r="G90" s="26">
        <v>-19932</v>
      </c>
      <c r="H90" s="26">
        <v>-75504</v>
      </c>
    </row>
    <row r="91" spans="1:8">
      <c r="A91" s="24" t="s">
        <v>43</v>
      </c>
      <c r="B91" s="24" t="s">
        <v>337</v>
      </c>
      <c r="C91" s="25">
        <v>45778</v>
      </c>
      <c r="D91" s="24" t="s">
        <v>2661</v>
      </c>
      <c r="E91" s="26">
        <v>0</v>
      </c>
      <c r="F91" s="26">
        <v>11661</v>
      </c>
      <c r="G91" s="26">
        <v>-11661</v>
      </c>
      <c r="H91" s="26">
        <v>-87165</v>
      </c>
    </row>
    <row r="92" spans="1:8">
      <c r="A92" s="24" t="s">
        <v>43</v>
      </c>
      <c r="B92" s="24" t="s">
        <v>337</v>
      </c>
      <c r="C92" s="25">
        <v>45809</v>
      </c>
      <c r="D92" s="24" t="s">
        <v>2662</v>
      </c>
      <c r="E92" s="26">
        <v>0</v>
      </c>
      <c r="F92" s="26">
        <v>14470</v>
      </c>
      <c r="G92" s="26">
        <v>-14470</v>
      </c>
      <c r="H92" s="26">
        <v>-101635</v>
      </c>
    </row>
    <row r="93" spans="1:8">
      <c r="A93" s="24" t="s">
        <v>43</v>
      </c>
      <c r="B93" s="24" t="s">
        <v>337</v>
      </c>
      <c r="C93" s="25">
        <v>45839</v>
      </c>
      <c r="D93" s="24" t="s">
        <v>2663</v>
      </c>
      <c r="E93" s="26">
        <v>0</v>
      </c>
      <c r="F93" s="26">
        <v>11783</v>
      </c>
      <c r="G93" s="26">
        <v>-11783</v>
      </c>
      <c r="H93" s="26">
        <v>-113418</v>
      </c>
    </row>
    <row r="94" spans="1:8">
      <c r="A94" s="24" t="s">
        <v>43</v>
      </c>
      <c r="B94" s="24" t="s">
        <v>337</v>
      </c>
      <c r="C94" s="25">
        <v>45870</v>
      </c>
      <c r="D94" s="24" t="s">
        <v>2664</v>
      </c>
      <c r="E94" s="26">
        <v>0</v>
      </c>
      <c r="F94" s="26">
        <v>15601.63</v>
      </c>
      <c r="G94" s="26">
        <v>-15601.63</v>
      </c>
      <c r="H94" s="26">
        <v>-129019.63</v>
      </c>
    </row>
    <row r="95" spans="1:8">
      <c r="A95" s="24" t="s">
        <v>43</v>
      </c>
      <c r="B95" s="24" t="s">
        <v>337</v>
      </c>
      <c r="C95" s="25">
        <v>45901</v>
      </c>
      <c r="D95" s="24" t="s">
        <v>2665</v>
      </c>
      <c r="E95" s="26">
        <v>0</v>
      </c>
      <c r="F95" s="26">
        <v>8532</v>
      </c>
      <c r="G95" s="26">
        <v>-8532</v>
      </c>
      <c r="H95" s="26">
        <v>-137551.63</v>
      </c>
    </row>
    <row r="96" spans="1:8">
      <c r="A96" s="24" t="s">
        <v>43</v>
      </c>
      <c r="B96" s="24" t="s">
        <v>337</v>
      </c>
      <c r="C96" s="25">
        <v>45931</v>
      </c>
      <c r="D96" s="24" t="s">
        <v>2666</v>
      </c>
      <c r="E96" s="26">
        <v>0</v>
      </c>
      <c r="F96" s="26">
        <v>46284.759999999987</v>
      </c>
      <c r="G96" s="26">
        <v>-46284.759999999987</v>
      </c>
      <c r="H96" s="26">
        <v>-183836.39</v>
      </c>
    </row>
    <row r="97" spans="1:8">
      <c r="A97" s="24" t="s">
        <v>43</v>
      </c>
      <c r="B97" s="24" t="s">
        <v>337</v>
      </c>
      <c r="C97" s="25">
        <v>45962</v>
      </c>
      <c r="D97" s="24" t="s">
        <v>2667</v>
      </c>
      <c r="E97" s="26">
        <v>0</v>
      </c>
      <c r="F97" s="26">
        <v>7991</v>
      </c>
      <c r="G97" s="26">
        <v>-7991</v>
      </c>
      <c r="H97" s="26">
        <v>-191827.39</v>
      </c>
    </row>
    <row r="98" spans="1:8">
      <c r="A98" s="24" t="s">
        <v>43</v>
      </c>
      <c r="B98" s="24" t="s">
        <v>337</v>
      </c>
      <c r="C98" s="25">
        <v>45992</v>
      </c>
      <c r="D98" s="24" t="s">
        <v>2668</v>
      </c>
      <c r="E98" s="26">
        <v>0</v>
      </c>
      <c r="F98" s="26">
        <v>12945</v>
      </c>
      <c r="G98" s="26">
        <v>-12945</v>
      </c>
      <c r="H98" s="26">
        <v>-204772.39</v>
      </c>
    </row>
    <row r="99" spans="1:8">
      <c r="A99" s="24" t="s">
        <v>114</v>
      </c>
      <c r="B99" s="24" t="s">
        <v>318</v>
      </c>
      <c r="C99" s="25">
        <v>45658</v>
      </c>
      <c r="D99" s="24" t="s">
        <v>2657</v>
      </c>
      <c r="E99" s="26">
        <v>0</v>
      </c>
      <c r="F99" s="26">
        <v>18538</v>
      </c>
      <c r="G99" s="26">
        <v>-18538</v>
      </c>
      <c r="H99" s="26">
        <v>-18538</v>
      </c>
    </row>
    <row r="100" spans="1:8">
      <c r="A100" s="24" t="s">
        <v>114</v>
      </c>
      <c r="B100" s="24" t="s">
        <v>318</v>
      </c>
      <c r="C100" s="25">
        <v>45689</v>
      </c>
      <c r="D100" s="24" t="s">
        <v>2658</v>
      </c>
      <c r="E100" s="26">
        <v>0</v>
      </c>
      <c r="F100" s="26">
        <v>14294</v>
      </c>
      <c r="G100" s="26">
        <v>-14294</v>
      </c>
      <c r="H100" s="26">
        <v>-32832</v>
      </c>
    </row>
    <row r="101" spans="1:8">
      <c r="A101" s="24" t="s">
        <v>114</v>
      </c>
      <c r="B101" s="24" t="s">
        <v>318</v>
      </c>
      <c r="C101" s="25">
        <v>45717</v>
      </c>
      <c r="D101" s="24" t="s">
        <v>2659</v>
      </c>
      <c r="E101" s="26">
        <v>0</v>
      </c>
      <c r="F101" s="26">
        <v>12866</v>
      </c>
      <c r="G101" s="26">
        <v>-12866</v>
      </c>
      <c r="H101" s="26">
        <v>-45698</v>
      </c>
    </row>
    <row r="102" spans="1:8">
      <c r="A102" s="24" t="s">
        <v>114</v>
      </c>
      <c r="B102" s="24" t="s">
        <v>318</v>
      </c>
      <c r="C102" s="25">
        <v>45748</v>
      </c>
      <c r="D102" s="24" t="s">
        <v>2660</v>
      </c>
      <c r="E102" s="26">
        <v>0</v>
      </c>
      <c r="F102" s="26">
        <v>11804</v>
      </c>
      <c r="G102" s="26">
        <v>-11804</v>
      </c>
      <c r="H102" s="26">
        <v>-57502</v>
      </c>
    </row>
    <row r="103" spans="1:8">
      <c r="A103" s="24" t="s">
        <v>114</v>
      </c>
      <c r="B103" s="24" t="s">
        <v>318</v>
      </c>
      <c r="C103" s="25">
        <v>45778</v>
      </c>
      <c r="D103" s="24" t="s">
        <v>2661</v>
      </c>
      <c r="E103" s="26">
        <v>0</v>
      </c>
      <c r="F103" s="26">
        <v>21215</v>
      </c>
      <c r="G103" s="26">
        <v>-21215</v>
      </c>
      <c r="H103" s="26">
        <v>-78717</v>
      </c>
    </row>
    <row r="104" spans="1:8">
      <c r="A104" s="24" t="s">
        <v>114</v>
      </c>
      <c r="B104" s="24" t="s">
        <v>318</v>
      </c>
      <c r="C104" s="25">
        <v>45809</v>
      </c>
      <c r="D104" s="24" t="s">
        <v>2662</v>
      </c>
      <c r="E104" s="26">
        <v>0</v>
      </c>
      <c r="F104" s="26">
        <v>18358</v>
      </c>
      <c r="G104" s="26">
        <v>-18358</v>
      </c>
      <c r="H104" s="26">
        <v>-97075</v>
      </c>
    </row>
    <row r="105" spans="1:8">
      <c r="A105" s="24" t="s">
        <v>114</v>
      </c>
      <c r="B105" s="24" t="s">
        <v>318</v>
      </c>
      <c r="C105" s="25">
        <v>45839</v>
      </c>
      <c r="D105" s="24" t="s">
        <v>2663</v>
      </c>
      <c r="E105" s="26">
        <v>0</v>
      </c>
      <c r="F105" s="26">
        <v>9792</v>
      </c>
      <c r="G105" s="26">
        <v>-9792</v>
      </c>
      <c r="H105" s="26">
        <v>-106867</v>
      </c>
    </row>
    <row r="106" spans="1:8">
      <c r="A106" s="24" t="s">
        <v>114</v>
      </c>
      <c r="B106" s="24" t="s">
        <v>318</v>
      </c>
      <c r="C106" s="25">
        <v>45870</v>
      </c>
      <c r="D106" s="24" t="s">
        <v>2664</v>
      </c>
      <c r="E106" s="26">
        <v>0</v>
      </c>
      <c r="F106" s="26">
        <v>9652</v>
      </c>
      <c r="G106" s="26">
        <v>-9652</v>
      </c>
      <c r="H106" s="26">
        <v>-116519</v>
      </c>
    </row>
    <row r="107" spans="1:8">
      <c r="A107" s="24" t="s">
        <v>114</v>
      </c>
      <c r="B107" s="24" t="s">
        <v>318</v>
      </c>
      <c r="C107" s="25">
        <v>45901</v>
      </c>
      <c r="D107" s="24" t="s">
        <v>2665</v>
      </c>
      <c r="E107" s="26">
        <v>0</v>
      </c>
      <c r="F107" s="26">
        <v>22652</v>
      </c>
      <c r="G107" s="26">
        <v>-22652</v>
      </c>
      <c r="H107" s="26">
        <v>-139171</v>
      </c>
    </row>
    <row r="108" spans="1:8">
      <c r="A108" s="24" t="s">
        <v>114</v>
      </c>
      <c r="B108" s="24" t="s">
        <v>318</v>
      </c>
      <c r="C108" s="25">
        <v>45931</v>
      </c>
      <c r="D108" s="24" t="s">
        <v>2666</v>
      </c>
      <c r="E108" s="26">
        <v>0</v>
      </c>
      <c r="F108" s="26">
        <v>28037.71</v>
      </c>
      <c r="G108" s="26">
        <v>-28037.71</v>
      </c>
      <c r="H108" s="26">
        <v>-167208.71</v>
      </c>
    </row>
    <row r="109" spans="1:8">
      <c r="A109" s="24" t="s">
        <v>114</v>
      </c>
      <c r="B109" s="24" t="s">
        <v>318</v>
      </c>
      <c r="C109" s="25">
        <v>45962</v>
      </c>
      <c r="D109" s="24" t="s">
        <v>2667</v>
      </c>
      <c r="E109" s="26">
        <v>0</v>
      </c>
      <c r="F109" s="26">
        <v>21320</v>
      </c>
      <c r="G109" s="26">
        <v>-21320</v>
      </c>
      <c r="H109" s="26">
        <v>-188528.71</v>
      </c>
    </row>
    <row r="110" spans="1:8">
      <c r="A110" s="24" t="s">
        <v>114</v>
      </c>
      <c r="B110" s="24" t="s">
        <v>318</v>
      </c>
      <c r="C110" s="25">
        <v>45992</v>
      </c>
      <c r="D110" s="24" t="s">
        <v>2668</v>
      </c>
      <c r="E110" s="26">
        <v>0</v>
      </c>
      <c r="F110" s="26">
        <v>14505</v>
      </c>
      <c r="G110" s="26">
        <v>-14505</v>
      </c>
      <c r="H110" s="26">
        <v>-203033.71</v>
      </c>
    </row>
    <row r="111" spans="1:8">
      <c r="A111" s="24" t="s">
        <v>188</v>
      </c>
      <c r="B111" s="24" t="s">
        <v>324</v>
      </c>
      <c r="C111" s="25">
        <v>45658</v>
      </c>
      <c r="D111" s="24" t="s">
        <v>2657</v>
      </c>
      <c r="E111" s="26">
        <v>0</v>
      </c>
      <c r="F111" s="26">
        <v>6126</v>
      </c>
      <c r="G111" s="26">
        <v>-6126</v>
      </c>
      <c r="H111" s="26">
        <v>-6126</v>
      </c>
    </row>
    <row r="112" spans="1:8">
      <c r="A112" s="24" t="s">
        <v>188</v>
      </c>
      <c r="B112" s="24" t="s">
        <v>324</v>
      </c>
      <c r="C112" s="25">
        <v>45689</v>
      </c>
      <c r="D112" s="24" t="s">
        <v>2658</v>
      </c>
      <c r="E112" s="26">
        <v>0</v>
      </c>
      <c r="F112" s="26">
        <v>9628</v>
      </c>
      <c r="G112" s="26">
        <v>-9628</v>
      </c>
      <c r="H112" s="26">
        <v>-15754</v>
      </c>
    </row>
    <row r="113" spans="1:8">
      <c r="A113" s="24" t="s">
        <v>188</v>
      </c>
      <c r="B113" s="24" t="s">
        <v>324</v>
      </c>
      <c r="C113" s="25">
        <v>45717</v>
      </c>
      <c r="D113" s="24" t="s">
        <v>2659</v>
      </c>
      <c r="E113" s="26">
        <v>0</v>
      </c>
      <c r="F113" s="26">
        <v>17816</v>
      </c>
      <c r="G113" s="26">
        <v>-17816</v>
      </c>
      <c r="H113" s="26">
        <v>-33570</v>
      </c>
    </row>
    <row r="114" spans="1:8">
      <c r="A114" s="24" t="s">
        <v>188</v>
      </c>
      <c r="B114" s="24" t="s">
        <v>324</v>
      </c>
      <c r="C114" s="25">
        <v>45748</v>
      </c>
      <c r="D114" s="24" t="s">
        <v>2660</v>
      </c>
      <c r="E114" s="26">
        <v>0</v>
      </c>
      <c r="F114" s="26">
        <v>7829</v>
      </c>
      <c r="G114" s="26">
        <v>-7829</v>
      </c>
      <c r="H114" s="26">
        <v>-41399</v>
      </c>
    </row>
    <row r="115" spans="1:8">
      <c r="A115" s="24" t="s">
        <v>188</v>
      </c>
      <c r="B115" s="24" t="s">
        <v>324</v>
      </c>
      <c r="C115" s="25">
        <v>45778</v>
      </c>
      <c r="D115" s="24" t="s">
        <v>2661</v>
      </c>
      <c r="E115" s="26">
        <v>0</v>
      </c>
      <c r="F115" s="26">
        <v>17353</v>
      </c>
      <c r="G115" s="26">
        <v>-17353</v>
      </c>
      <c r="H115" s="26">
        <v>-58752</v>
      </c>
    </row>
    <row r="116" spans="1:8">
      <c r="A116" s="24" t="s">
        <v>188</v>
      </c>
      <c r="B116" s="24" t="s">
        <v>324</v>
      </c>
      <c r="C116" s="25">
        <v>45809</v>
      </c>
      <c r="D116" s="24" t="s">
        <v>2662</v>
      </c>
      <c r="E116" s="26">
        <v>0</v>
      </c>
      <c r="F116" s="26">
        <v>7818</v>
      </c>
      <c r="G116" s="26">
        <v>-7818</v>
      </c>
      <c r="H116" s="26">
        <v>-66570</v>
      </c>
    </row>
    <row r="117" spans="1:8">
      <c r="A117" s="24" t="s">
        <v>188</v>
      </c>
      <c r="B117" s="24" t="s">
        <v>324</v>
      </c>
      <c r="C117" s="25">
        <v>45839</v>
      </c>
      <c r="D117" s="24" t="s">
        <v>2663</v>
      </c>
      <c r="E117" s="26">
        <v>0</v>
      </c>
      <c r="F117" s="26">
        <v>23332</v>
      </c>
      <c r="G117" s="26">
        <v>-23332</v>
      </c>
      <c r="H117" s="26">
        <v>-89902</v>
      </c>
    </row>
    <row r="118" spans="1:8">
      <c r="A118" s="24" t="s">
        <v>188</v>
      </c>
      <c r="B118" s="24" t="s">
        <v>324</v>
      </c>
      <c r="C118" s="25">
        <v>45870</v>
      </c>
      <c r="D118" s="24" t="s">
        <v>2664</v>
      </c>
      <c r="E118" s="26">
        <v>0</v>
      </c>
      <c r="F118" s="26">
        <v>14168</v>
      </c>
      <c r="G118" s="26">
        <v>-14168</v>
      </c>
      <c r="H118" s="26">
        <v>-104070</v>
      </c>
    </row>
    <row r="119" spans="1:8">
      <c r="A119" s="24" t="s">
        <v>188</v>
      </c>
      <c r="B119" s="24" t="s">
        <v>324</v>
      </c>
      <c r="C119" s="25">
        <v>45901</v>
      </c>
      <c r="D119" s="24" t="s">
        <v>2665</v>
      </c>
      <c r="E119" s="26">
        <v>33162.57</v>
      </c>
      <c r="F119" s="26">
        <v>9693</v>
      </c>
      <c r="G119" s="26">
        <v>23469.57</v>
      </c>
      <c r="H119" s="26">
        <v>-80600.429999999993</v>
      </c>
    </row>
    <row r="120" spans="1:8">
      <c r="A120" s="24" t="s">
        <v>188</v>
      </c>
      <c r="B120" s="24" t="s">
        <v>324</v>
      </c>
      <c r="C120" s="25">
        <v>45931</v>
      </c>
      <c r="D120" s="24" t="s">
        <v>2666</v>
      </c>
      <c r="E120" s="26">
        <v>0</v>
      </c>
      <c r="F120" s="26">
        <v>8753</v>
      </c>
      <c r="G120" s="26">
        <v>-8753</v>
      </c>
      <c r="H120" s="26">
        <v>-89353.43</v>
      </c>
    </row>
    <row r="121" spans="1:8">
      <c r="A121" s="24" t="s">
        <v>188</v>
      </c>
      <c r="B121" s="24" t="s">
        <v>324</v>
      </c>
      <c r="C121" s="25">
        <v>45962</v>
      </c>
      <c r="D121" s="24" t="s">
        <v>2667</v>
      </c>
      <c r="E121" s="26">
        <v>0</v>
      </c>
      <c r="F121" s="26">
        <v>11649</v>
      </c>
      <c r="G121" s="26">
        <v>-11649</v>
      </c>
      <c r="H121" s="26">
        <v>-101002.43</v>
      </c>
    </row>
    <row r="122" spans="1:8">
      <c r="A122" s="24" t="s">
        <v>188</v>
      </c>
      <c r="B122" s="24" t="s">
        <v>324</v>
      </c>
      <c r="C122" s="25">
        <v>45992</v>
      </c>
      <c r="D122" s="24" t="s">
        <v>2668</v>
      </c>
      <c r="E122" s="26">
        <v>0</v>
      </c>
      <c r="F122" s="26">
        <v>11492</v>
      </c>
      <c r="G122" s="26">
        <v>-11492</v>
      </c>
      <c r="H122" s="26">
        <v>-112494.43</v>
      </c>
    </row>
    <row r="123" spans="1:8">
      <c r="A123" s="24" t="s">
        <v>105</v>
      </c>
      <c r="B123" s="24" t="s">
        <v>329</v>
      </c>
      <c r="C123" s="25">
        <v>45658</v>
      </c>
      <c r="D123" s="24" t="s">
        <v>2657</v>
      </c>
      <c r="E123" s="26">
        <v>0</v>
      </c>
      <c r="F123" s="26">
        <v>0</v>
      </c>
      <c r="G123" s="26">
        <v>0</v>
      </c>
      <c r="H123" s="26">
        <v>0</v>
      </c>
    </row>
    <row r="124" spans="1:8">
      <c r="A124" s="24" t="s">
        <v>105</v>
      </c>
      <c r="B124" s="24" t="s">
        <v>329</v>
      </c>
      <c r="C124" s="25">
        <v>45689</v>
      </c>
      <c r="D124" s="24" t="s">
        <v>2658</v>
      </c>
      <c r="E124" s="26">
        <v>0</v>
      </c>
      <c r="F124" s="26">
        <v>0</v>
      </c>
      <c r="G124" s="26">
        <v>0</v>
      </c>
      <c r="H124" s="26">
        <v>0</v>
      </c>
    </row>
    <row r="125" spans="1:8">
      <c r="A125" s="24" t="s">
        <v>105</v>
      </c>
      <c r="B125" s="24" t="s">
        <v>329</v>
      </c>
      <c r="C125" s="25">
        <v>45717</v>
      </c>
      <c r="D125" s="24" t="s">
        <v>2659</v>
      </c>
      <c r="E125" s="26">
        <v>0</v>
      </c>
      <c r="F125" s="26">
        <v>0</v>
      </c>
      <c r="G125" s="26">
        <v>0</v>
      </c>
      <c r="H125" s="26">
        <v>0</v>
      </c>
    </row>
    <row r="126" spans="1:8">
      <c r="A126" s="24" t="s">
        <v>105</v>
      </c>
      <c r="B126" s="24" t="s">
        <v>329</v>
      </c>
      <c r="C126" s="25">
        <v>45748</v>
      </c>
      <c r="D126" s="24" t="s">
        <v>2660</v>
      </c>
      <c r="E126" s="26">
        <v>0</v>
      </c>
      <c r="F126" s="26">
        <v>0</v>
      </c>
      <c r="G126" s="26">
        <v>0</v>
      </c>
      <c r="H126" s="26">
        <v>0</v>
      </c>
    </row>
    <row r="127" spans="1:8">
      <c r="A127" s="24" t="s">
        <v>105</v>
      </c>
      <c r="B127" s="24" t="s">
        <v>329</v>
      </c>
      <c r="C127" s="25">
        <v>45778</v>
      </c>
      <c r="D127" s="24" t="s">
        <v>2661</v>
      </c>
      <c r="E127" s="26">
        <v>0</v>
      </c>
      <c r="F127" s="26">
        <v>0</v>
      </c>
      <c r="G127" s="26">
        <v>0</v>
      </c>
      <c r="H127" s="26">
        <v>0</v>
      </c>
    </row>
    <row r="128" spans="1:8">
      <c r="A128" s="24" t="s">
        <v>105</v>
      </c>
      <c r="B128" s="24" t="s">
        <v>329</v>
      </c>
      <c r="C128" s="25">
        <v>45809</v>
      </c>
      <c r="D128" s="24" t="s">
        <v>2662</v>
      </c>
      <c r="E128" s="26">
        <v>0</v>
      </c>
      <c r="F128" s="26">
        <v>0</v>
      </c>
      <c r="G128" s="26">
        <v>0</v>
      </c>
      <c r="H128" s="26">
        <v>0</v>
      </c>
    </row>
    <row r="129" spans="1:8">
      <c r="A129" s="24" t="s">
        <v>105</v>
      </c>
      <c r="B129" s="24" t="s">
        <v>329</v>
      </c>
      <c r="C129" s="25">
        <v>45839</v>
      </c>
      <c r="D129" s="24" t="s">
        <v>2663</v>
      </c>
      <c r="E129" s="26">
        <v>0</v>
      </c>
      <c r="F129" s="26">
        <v>0</v>
      </c>
      <c r="G129" s="26">
        <v>0</v>
      </c>
      <c r="H129" s="26">
        <v>0</v>
      </c>
    </row>
    <row r="130" spans="1:8">
      <c r="A130" s="24" t="s">
        <v>105</v>
      </c>
      <c r="B130" s="24" t="s">
        <v>329</v>
      </c>
      <c r="C130" s="25">
        <v>45870</v>
      </c>
      <c r="D130" s="24" t="s">
        <v>2664</v>
      </c>
      <c r="E130" s="26">
        <v>0</v>
      </c>
      <c r="F130" s="26">
        <v>0</v>
      </c>
      <c r="G130" s="26">
        <v>0</v>
      </c>
      <c r="H130" s="26">
        <v>0</v>
      </c>
    </row>
    <row r="131" spans="1:8">
      <c r="A131" s="24" t="s">
        <v>105</v>
      </c>
      <c r="B131" s="24" t="s">
        <v>329</v>
      </c>
      <c r="C131" s="25">
        <v>45901</v>
      </c>
      <c r="D131" s="24" t="s">
        <v>2665</v>
      </c>
      <c r="E131" s="26">
        <v>0</v>
      </c>
      <c r="F131" s="26">
        <v>48980.21</v>
      </c>
      <c r="G131" s="26">
        <v>-48980.21</v>
      </c>
      <c r="H131" s="26">
        <v>-48980.21</v>
      </c>
    </row>
    <row r="132" spans="1:8">
      <c r="A132" s="24" t="s">
        <v>105</v>
      </c>
      <c r="B132" s="24" t="s">
        <v>329</v>
      </c>
      <c r="C132" s="25">
        <v>45931</v>
      </c>
      <c r="D132" s="24" t="s">
        <v>2666</v>
      </c>
      <c r="E132" s="26">
        <v>0</v>
      </c>
      <c r="F132" s="26">
        <v>0</v>
      </c>
      <c r="G132" s="26">
        <v>0</v>
      </c>
      <c r="H132" s="26">
        <v>-48980.21</v>
      </c>
    </row>
    <row r="133" spans="1:8">
      <c r="A133" s="24" t="s">
        <v>105</v>
      </c>
      <c r="B133" s="24" t="s">
        <v>329</v>
      </c>
      <c r="C133" s="25">
        <v>45962</v>
      </c>
      <c r="D133" s="24" t="s">
        <v>2667</v>
      </c>
      <c r="E133" s="26">
        <v>0</v>
      </c>
      <c r="F133" s="26">
        <v>0</v>
      </c>
      <c r="G133" s="26">
        <v>0</v>
      </c>
      <c r="H133" s="26">
        <v>-48980.21</v>
      </c>
    </row>
    <row r="134" spans="1:8">
      <c r="A134" s="24" t="s">
        <v>105</v>
      </c>
      <c r="B134" s="24" t="s">
        <v>329</v>
      </c>
      <c r="C134" s="25">
        <v>45992</v>
      </c>
      <c r="D134" s="24" t="s">
        <v>2668</v>
      </c>
      <c r="E134" s="26">
        <v>0</v>
      </c>
      <c r="F134" s="26">
        <v>282822.7</v>
      </c>
      <c r="G134" s="26">
        <v>-282822.7</v>
      </c>
      <c r="H134" s="26">
        <v>-331802.90999999997</v>
      </c>
    </row>
    <row r="135" spans="1:8">
      <c r="A135" s="24" t="s">
        <v>283</v>
      </c>
      <c r="B135" s="24" t="s">
        <v>318</v>
      </c>
      <c r="C135" s="25">
        <v>45658</v>
      </c>
      <c r="D135" s="24" t="s">
        <v>2657</v>
      </c>
      <c r="E135" s="26">
        <v>0</v>
      </c>
      <c r="F135" s="26">
        <v>0</v>
      </c>
      <c r="G135" s="26">
        <v>0</v>
      </c>
      <c r="H135" s="26">
        <v>0</v>
      </c>
    </row>
    <row r="136" spans="1:8">
      <c r="A136" s="24" t="s">
        <v>283</v>
      </c>
      <c r="B136" s="24" t="s">
        <v>318</v>
      </c>
      <c r="C136" s="25">
        <v>45689</v>
      </c>
      <c r="D136" s="24" t="s">
        <v>2658</v>
      </c>
      <c r="E136" s="26">
        <v>0</v>
      </c>
      <c r="F136" s="26">
        <v>0</v>
      </c>
      <c r="G136" s="26">
        <v>0</v>
      </c>
      <c r="H136" s="26">
        <v>0</v>
      </c>
    </row>
    <row r="137" spans="1:8">
      <c r="A137" s="24" t="s">
        <v>283</v>
      </c>
      <c r="B137" s="24" t="s">
        <v>318</v>
      </c>
      <c r="C137" s="25">
        <v>45717</v>
      </c>
      <c r="D137" s="24" t="s">
        <v>2659</v>
      </c>
      <c r="E137" s="26">
        <v>0</v>
      </c>
      <c r="F137" s="26">
        <v>0</v>
      </c>
      <c r="G137" s="26">
        <v>0</v>
      </c>
      <c r="H137" s="26">
        <v>0</v>
      </c>
    </row>
    <row r="138" spans="1:8">
      <c r="A138" s="24" t="s">
        <v>283</v>
      </c>
      <c r="B138" s="24" t="s">
        <v>318</v>
      </c>
      <c r="C138" s="25">
        <v>45748</v>
      </c>
      <c r="D138" s="24" t="s">
        <v>2660</v>
      </c>
      <c r="E138" s="26">
        <v>0</v>
      </c>
      <c r="F138" s="26">
        <v>0</v>
      </c>
      <c r="G138" s="26">
        <v>0</v>
      </c>
      <c r="H138" s="26">
        <v>0</v>
      </c>
    </row>
    <row r="139" spans="1:8">
      <c r="A139" s="24" t="s">
        <v>283</v>
      </c>
      <c r="B139" s="24" t="s">
        <v>318</v>
      </c>
      <c r="C139" s="25">
        <v>45778</v>
      </c>
      <c r="D139" s="24" t="s">
        <v>2661</v>
      </c>
      <c r="E139" s="26">
        <v>0</v>
      </c>
      <c r="F139" s="26">
        <v>0</v>
      </c>
      <c r="G139" s="26">
        <v>0</v>
      </c>
      <c r="H139" s="26">
        <v>0</v>
      </c>
    </row>
    <row r="140" spans="1:8">
      <c r="A140" s="24" t="s">
        <v>283</v>
      </c>
      <c r="B140" s="24" t="s">
        <v>318</v>
      </c>
      <c r="C140" s="25">
        <v>45809</v>
      </c>
      <c r="D140" s="24" t="s">
        <v>2662</v>
      </c>
      <c r="E140" s="26">
        <v>0</v>
      </c>
      <c r="F140" s="26">
        <v>0</v>
      </c>
      <c r="G140" s="26">
        <v>0</v>
      </c>
      <c r="H140" s="26">
        <v>0</v>
      </c>
    </row>
    <row r="141" spans="1:8">
      <c r="A141" s="24" t="s">
        <v>283</v>
      </c>
      <c r="B141" s="24" t="s">
        <v>318</v>
      </c>
      <c r="C141" s="25">
        <v>45839</v>
      </c>
      <c r="D141" s="24" t="s">
        <v>2663</v>
      </c>
      <c r="E141" s="26">
        <v>0</v>
      </c>
      <c r="F141" s="26">
        <v>0</v>
      </c>
      <c r="G141" s="26">
        <v>0</v>
      </c>
      <c r="H141" s="26">
        <v>0</v>
      </c>
    </row>
    <row r="142" spans="1:8">
      <c r="A142" s="24" t="s">
        <v>283</v>
      </c>
      <c r="B142" s="24" t="s">
        <v>318</v>
      </c>
      <c r="C142" s="25">
        <v>45870</v>
      </c>
      <c r="D142" s="24" t="s">
        <v>2664</v>
      </c>
      <c r="E142" s="26">
        <v>0</v>
      </c>
      <c r="F142" s="26">
        <v>199279.71</v>
      </c>
      <c r="G142" s="26">
        <v>-199279.71</v>
      </c>
      <c r="H142" s="26">
        <v>-199279.71</v>
      </c>
    </row>
    <row r="143" spans="1:8">
      <c r="A143" s="24" t="s">
        <v>283</v>
      </c>
      <c r="B143" s="24" t="s">
        <v>318</v>
      </c>
      <c r="C143" s="25">
        <v>45901</v>
      </c>
      <c r="D143" s="24" t="s">
        <v>2665</v>
      </c>
      <c r="E143" s="26">
        <v>0</v>
      </c>
      <c r="F143" s="26">
        <v>0</v>
      </c>
      <c r="G143" s="26">
        <v>0</v>
      </c>
      <c r="H143" s="26">
        <v>-199279.71</v>
      </c>
    </row>
    <row r="144" spans="1:8">
      <c r="A144" s="24" t="s">
        <v>283</v>
      </c>
      <c r="B144" s="24" t="s">
        <v>318</v>
      </c>
      <c r="C144" s="25">
        <v>45931</v>
      </c>
      <c r="D144" s="24" t="s">
        <v>2666</v>
      </c>
      <c r="E144" s="26">
        <v>0</v>
      </c>
      <c r="F144" s="26">
        <v>149564.82999999999</v>
      </c>
      <c r="G144" s="26">
        <v>-149564.82999999999</v>
      </c>
      <c r="H144" s="26">
        <v>-348844.54</v>
      </c>
    </row>
    <row r="145" spans="1:8">
      <c r="A145" s="24" t="s">
        <v>283</v>
      </c>
      <c r="B145" s="24" t="s">
        <v>318</v>
      </c>
      <c r="C145" s="25">
        <v>45962</v>
      </c>
      <c r="D145" s="24" t="s">
        <v>2667</v>
      </c>
      <c r="E145" s="26">
        <v>0</v>
      </c>
      <c r="F145" s="26">
        <v>0</v>
      </c>
      <c r="G145" s="26">
        <v>0</v>
      </c>
      <c r="H145" s="26">
        <v>-348844.54</v>
      </c>
    </row>
    <row r="146" spans="1:8">
      <c r="A146" s="24" t="s">
        <v>283</v>
      </c>
      <c r="B146" s="24" t="s">
        <v>318</v>
      </c>
      <c r="C146" s="25">
        <v>45992</v>
      </c>
      <c r="D146" s="24" t="s">
        <v>2668</v>
      </c>
      <c r="E146" s="26">
        <v>0</v>
      </c>
      <c r="F146" s="26">
        <v>0</v>
      </c>
      <c r="G146" s="26">
        <v>0</v>
      </c>
      <c r="H146" s="26">
        <v>-348844.54</v>
      </c>
    </row>
    <row r="147" spans="1:8">
      <c r="A147" s="24" t="s">
        <v>118</v>
      </c>
      <c r="B147" s="24" t="s">
        <v>318</v>
      </c>
      <c r="C147" s="25">
        <v>45658</v>
      </c>
      <c r="D147" s="24" t="s">
        <v>2657</v>
      </c>
      <c r="E147" s="26">
        <v>0</v>
      </c>
      <c r="F147" s="26">
        <v>0</v>
      </c>
      <c r="G147" s="26">
        <v>0</v>
      </c>
      <c r="H147" s="26">
        <v>0</v>
      </c>
    </row>
    <row r="148" spans="1:8">
      <c r="A148" s="24" t="s">
        <v>118</v>
      </c>
      <c r="B148" s="24" t="s">
        <v>318</v>
      </c>
      <c r="C148" s="25">
        <v>45689</v>
      </c>
      <c r="D148" s="24" t="s">
        <v>2658</v>
      </c>
      <c r="E148" s="26">
        <v>0</v>
      </c>
      <c r="F148" s="26">
        <v>0</v>
      </c>
      <c r="G148" s="26">
        <v>0</v>
      </c>
      <c r="H148" s="26">
        <v>0</v>
      </c>
    </row>
    <row r="149" spans="1:8">
      <c r="A149" s="24" t="s">
        <v>118</v>
      </c>
      <c r="B149" s="24" t="s">
        <v>318</v>
      </c>
      <c r="C149" s="25">
        <v>45717</v>
      </c>
      <c r="D149" s="24" t="s">
        <v>2659</v>
      </c>
      <c r="E149" s="26">
        <v>0</v>
      </c>
      <c r="F149" s="26">
        <v>0</v>
      </c>
      <c r="G149" s="26">
        <v>0</v>
      </c>
      <c r="H149" s="26">
        <v>0</v>
      </c>
    </row>
    <row r="150" spans="1:8">
      <c r="A150" s="24" t="s">
        <v>118</v>
      </c>
      <c r="B150" s="24" t="s">
        <v>318</v>
      </c>
      <c r="C150" s="25">
        <v>45748</v>
      </c>
      <c r="D150" s="24" t="s">
        <v>2660</v>
      </c>
      <c r="E150" s="26">
        <v>0</v>
      </c>
      <c r="F150" s="26">
        <v>0</v>
      </c>
      <c r="G150" s="26">
        <v>0</v>
      </c>
      <c r="H150" s="26">
        <v>0</v>
      </c>
    </row>
    <row r="151" spans="1:8">
      <c r="A151" s="24" t="s">
        <v>118</v>
      </c>
      <c r="B151" s="24" t="s">
        <v>318</v>
      </c>
      <c r="C151" s="25">
        <v>45778</v>
      </c>
      <c r="D151" s="24" t="s">
        <v>2661</v>
      </c>
      <c r="E151" s="26">
        <v>0</v>
      </c>
      <c r="F151" s="26">
        <v>0</v>
      </c>
      <c r="G151" s="26">
        <v>0</v>
      </c>
      <c r="H151" s="26">
        <v>0</v>
      </c>
    </row>
    <row r="152" spans="1:8">
      <c r="A152" s="24" t="s">
        <v>118</v>
      </c>
      <c r="B152" s="24" t="s">
        <v>318</v>
      </c>
      <c r="C152" s="25">
        <v>45809</v>
      </c>
      <c r="D152" s="24" t="s">
        <v>2662</v>
      </c>
      <c r="E152" s="26">
        <v>0</v>
      </c>
      <c r="F152" s="26">
        <v>0</v>
      </c>
      <c r="G152" s="26">
        <v>0</v>
      </c>
      <c r="H152" s="26">
        <v>0</v>
      </c>
    </row>
    <row r="153" spans="1:8">
      <c r="A153" s="24" t="s">
        <v>118</v>
      </c>
      <c r="B153" s="24" t="s">
        <v>318</v>
      </c>
      <c r="C153" s="25">
        <v>45839</v>
      </c>
      <c r="D153" s="24" t="s">
        <v>2663</v>
      </c>
      <c r="E153" s="26">
        <v>0</v>
      </c>
      <c r="F153" s="26">
        <v>64477.22</v>
      </c>
      <c r="G153" s="26">
        <v>-64477.22</v>
      </c>
      <c r="H153" s="26">
        <v>-64477.22</v>
      </c>
    </row>
    <row r="154" spans="1:8">
      <c r="A154" s="24" t="s">
        <v>118</v>
      </c>
      <c r="B154" s="24" t="s">
        <v>318</v>
      </c>
      <c r="C154" s="25">
        <v>45870</v>
      </c>
      <c r="D154" s="24" t="s">
        <v>2664</v>
      </c>
      <c r="E154" s="26">
        <v>0</v>
      </c>
      <c r="F154" s="26">
        <v>77094.759999999995</v>
      </c>
      <c r="G154" s="26">
        <v>-77094.759999999995</v>
      </c>
      <c r="H154" s="26">
        <v>-141571.98000000001</v>
      </c>
    </row>
    <row r="155" spans="1:8">
      <c r="A155" s="24" t="s">
        <v>118</v>
      </c>
      <c r="B155" s="24" t="s">
        <v>318</v>
      </c>
      <c r="C155" s="25">
        <v>45901</v>
      </c>
      <c r="D155" s="24" t="s">
        <v>2665</v>
      </c>
      <c r="E155" s="26">
        <v>0</v>
      </c>
      <c r="F155" s="26">
        <v>0</v>
      </c>
      <c r="G155" s="26">
        <v>0</v>
      </c>
      <c r="H155" s="26">
        <v>-141571.98000000001</v>
      </c>
    </row>
    <row r="156" spans="1:8">
      <c r="A156" s="24" t="s">
        <v>118</v>
      </c>
      <c r="B156" s="24" t="s">
        <v>318</v>
      </c>
      <c r="C156" s="25">
        <v>45931</v>
      </c>
      <c r="D156" s="24" t="s">
        <v>2666</v>
      </c>
      <c r="E156" s="26">
        <v>0</v>
      </c>
      <c r="F156" s="26">
        <v>0</v>
      </c>
      <c r="G156" s="26">
        <v>0</v>
      </c>
      <c r="H156" s="26">
        <v>-141571.98000000001</v>
      </c>
    </row>
    <row r="157" spans="1:8">
      <c r="A157" s="24" t="s">
        <v>118</v>
      </c>
      <c r="B157" s="24" t="s">
        <v>318</v>
      </c>
      <c r="C157" s="25">
        <v>45962</v>
      </c>
      <c r="D157" s="24" t="s">
        <v>2667</v>
      </c>
      <c r="E157" s="26">
        <v>120607.54</v>
      </c>
      <c r="F157" s="26">
        <v>0</v>
      </c>
      <c r="G157" s="26">
        <v>120607.54</v>
      </c>
      <c r="H157" s="26">
        <v>-20964.439999999991</v>
      </c>
    </row>
    <row r="158" spans="1:8">
      <c r="A158" s="24" t="s">
        <v>118</v>
      </c>
      <c r="B158" s="24" t="s">
        <v>318</v>
      </c>
      <c r="C158" s="25">
        <v>45992</v>
      </c>
      <c r="D158" s="24" t="s">
        <v>2668</v>
      </c>
      <c r="E158" s="26">
        <v>0</v>
      </c>
      <c r="F158" s="26">
        <v>0</v>
      </c>
      <c r="G158" s="26">
        <v>0</v>
      </c>
      <c r="H158" s="26">
        <v>-20964.439999999991</v>
      </c>
    </row>
    <row r="159" spans="1:8">
      <c r="A159" s="24" t="s">
        <v>99</v>
      </c>
      <c r="B159" s="24" t="s">
        <v>345</v>
      </c>
      <c r="C159" s="25">
        <v>45658</v>
      </c>
      <c r="D159" s="24" t="s">
        <v>2657</v>
      </c>
      <c r="E159" s="26">
        <v>0</v>
      </c>
      <c r="F159" s="26">
        <v>0</v>
      </c>
      <c r="G159" s="26">
        <v>0</v>
      </c>
      <c r="H159" s="26">
        <v>0</v>
      </c>
    </row>
    <row r="160" spans="1:8">
      <c r="A160" s="24" t="s">
        <v>99</v>
      </c>
      <c r="B160" s="24" t="s">
        <v>345</v>
      </c>
      <c r="C160" s="25">
        <v>45689</v>
      </c>
      <c r="D160" s="24" t="s">
        <v>2658</v>
      </c>
      <c r="E160" s="26">
        <v>0</v>
      </c>
      <c r="F160" s="26">
        <v>0</v>
      </c>
      <c r="G160" s="26">
        <v>0</v>
      </c>
      <c r="H160" s="26">
        <v>0</v>
      </c>
    </row>
    <row r="161" spans="1:8">
      <c r="A161" s="24" t="s">
        <v>99</v>
      </c>
      <c r="B161" s="24" t="s">
        <v>345</v>
      </c>
      <c r="C161" s="25">
        <v>45717</v>
      </c>
      <c r="D161" s="24" t="s">
        <v>2659</v>
      </c>
      <c r="E161" s="26">
        <v>0</v>
      </c>
      <c r="F161" s="26">
        <v>0</v>
      </c>
      <c r="G161" s="26">
        <v>0</v>
      </c>
      <c r="H161" s="26">
        <v>0</v>
      </c>
    </row>
    <row r="162" spans="1:8">
      <c r="A162" s="24" t="s">
        <v>99</v>
      </c>
      <c r="B162" s="24" t="s">
        <v>345</v>
      </c>
      <c r="C162" s="25">
        <v>45748</v>
      </c>
      <c r="D162" s="24" t="s">
        <v>2660</v>
      </c>
      <c r="E162" s="26">
        <v>0</v>
      </c>
      <c r="F162" s="26">
        <v>0</v>
      </c>
      <c r="G162" s="26">
        <v>0</v>
      </c>
      <c r="H162" s="26">
        <v>0</v>
      </c>
    </row>
    <row r="163" spans="1:8">
      <c r="A163" s="24" t="s">
        <v>99</v>
      </c>
      <c r="B163" s="24" t="s">
        <v>345</v>
      </c>
      <c r="C163" s="25">
        <v>45778</v>
      </c>
      <c r="D163" s="24" t="s">
        <v>2661</v>
      </c>
      <c r="E163" s="26">
        <v>0</v>
      </c>
      <c r="F163" s="26">
        <v>0</v>
      </c>
      <c r="G163" s="26">
        <v>0</v>
      </c>
      <c r="H163" s="26">
        <v>0</v>
      </c>
    </row>
    <row r="164" spans="1:8">
      <c r="A164" s="24" t="s">
        <v>99</v>
      </c>
      <c r="B164" s="24" t="s">
        <v>345</v>
      </c>
      <c r="C164" s="25">
        <v>45809</v>
      </c>
      <c r="D164" s="24" t="s">
        <v>2662</v>
      </c>
      <c r="E164" s="26">
        <v>0</v>
      </c>
      <c r="F164" s="26">
        <v>0</v>
      </c>
      <c r="G164" s="26">
        <v>0</v>
      </c>
      <c r="H164" s="26">
        <v>0</v>
      </c>
    </row>
    <row r="165" spans="1:8">
      <c r="A165" s="24" t="s">
        <v>99</v>
      </c>
      <c r="B165" s="24" t="s">
        <v>345</v>
      </c>
      <c r="C165" s="25">
        <v>45839</v>
      </c>
      <c r="D165" s="24" t="s">
        <v>2663</v>
      </c>
      <c r="E165" s="26">
        <v>0</v>
      </c>
      <c r="F165" s="26">
        <v>0</v>
      </c>
      <c r="G165" s="26">
        <v>0</v>
      </c>
      <c r="H165" s="26">
        <v>0</v>
      </c>
    </row>
    <row r="166" spans="1:8">
      <c r="A166" s="24" t="s">
        <v>99</v>
      </c>
      <c r="B166" s="24" t="s">
        <v>345</v>
      </c>
      <c r="C166" s="25">
        <v>45870</v>
      </c>
      <c r="D166" s="24" t="s">
        <v>2664</v>
      </c>
      <c r="E166" s="26">
        <v>0</v>
      </c>
      <c r="F166" s="26">
        <v>0</v>
      </c>
      <c r="G166" s="26">
        <v>0</v>
      </c>
      <c r="H166" s="26">
        <v>0</v>
      </c>
    </row>
    <row r="167" spans="1:8">
      <c r="A167" s="24" t="s">
        <v>99</v>
      </c>
      <c r="B167" s="24" t="s">
        <v>345</v>
      </c>
      <c r="C167" s="25">
        <v>45901</v>
      </c>
      <c r="D167" s="24" t="s">
        <v>2665</v>
      </c>
      <c r="E167" s="26">
        <v>0</v>
      </c>
      <c r="F167" s="26">
        <v>0</v>
      </c>
      <c r="G167" s="26">
        <v>0</v>
      </c>
      <c r="H167" s="26">
        <v>0</v>
      </c>
    </row>
    <row r="168" spans="1:8">
      <c r="A168" s="24" t="s">
        <v>99</v>
      </c>
      <c r="B168" s="24" t="s">
        <v>345</v>
      </c>
      <c r="C168" s="25">
        <v>45931</v>
      </c>
      <c r="D168" s="24" t="s">
        <v>2666</v>
      </c>
      <c r="E168" s="26">
        <v>0</v>
      </c>
      <c r="F168" s="26">
        <v>34318.28</v>
      </c>
      <c r="G168" s="26">
        <v>-34318.28</v>
      </c>
      <c r="H168" s="26">
        <v>-34318.28</v>
      </c>
    </row>
    <row r="169" spans="1:8">
      <c r="A169" s="24" t="s">
        <v>99</v>
      </c>
      <c r="B169" s="24" t="s">
        <v>345</v>
      </c>
      <c r="C169" s="25">
        <v>45962</v>
      </c>
      <c r="D169" s="24" t="s">
        <v>2667</v>
      </c>
      <c r="E169" s="26">
        <v>190177.79</v>
      </c>
      <c r="F169" s="26">
        <v>0</v>
      </c>
      <c r="G169" s="26">
        <v>190177.79</v>
      </c>
      <c r="H169" s="26">
        <v>155859.51</v>
      </c>
    </row>
    <row r="170" spans="1:8">
      <c r="A170" s="24" t="s">
        <v>99</v>
      </c>
      <c r="B170" s="24" t="s">
        <v>345</v>
      </c>
      <c r="C170" s="25">
        <v>45992</v>
      </c>
      <c r="D170" s="24" t="s">
        <v>2668</v>
      </c>
      <c r="E170" s="26">
        <v>203662.07999999999</v>
      </c>
      <c r="F170" s="26">
        <v>111378.63</v>
      </c>
      <c r="G170" s="26">
        <v>92283.449999999983</v>
      </c>
      <c r="H170" s="26">
        <v>248142.96</v>
      </c>
    </row>
    <row r="171" spans="1:8">
      <c r="A171" s="24" t="s">
        <v>36</v>
      </c>
      <c r="B171" s="24" t="s">
        <v>324</v>
      </c>
      <c r="C171" s="25">
        <v>45658</v>
      </c>
      <c r="D171" s="24" t="s">
        <v>2657</v>
      </c>
      <c r="E171" s="26">
        <v>0</v>
      </c>
      <c r="F171" s="26">
        <v>0</v>
      </c>
      <c r="G171" s="26">
        <v>0</v>
      </c>
      <c r="H171" s="26">
        <v>0</v>
      </c>
    </row>
    <row r="172" spans="1:8">
      <c r="A172" s="24" t="s">
        <v>36</v>
      </c>
      <c r="B172" s="24" t="s">
        <v>324</v>
      </c>
      <c r="C172" s="25">
        <v>45689</v>
      </c>
      <c r="D172" s="24" t="s">
        <v>2658</v>
      </c>
      <c r="E172" s="26">
        <v>0</v>
      </c>
      <c r="F172" s="26">
        <v>0</v>
      </c>
      <c r="G172" s="26">
        <v>0</v>
      </c>
      <c r="H172" s="26">
        <v>0</v>
      </c>
    </row>
    <row r="173" spans="1:8">
      <c r="A173" s="24" t="s">
        <v>36</v>
      </c>
      <c r="B173" s="24" t="s">
        <v>324</v>
      </c>
      <c r="C173" s="25">
        <v>45717</v>
      </c>
      <c r="D173" s="24" t="s">
        <v>2659</v>
      </c>
      <c r="E173" s="26">
        <v>0</v>
      </c>
      <c r="F173" s="26">
        <v>0</v>
      </c>
      <c r="G173" s="26">
        <v>0</v>
      </c>
      <c r="H173" s="26">
        <v>0</v>
      </c>
    </row>
    <row r="174" spans="1:8">
      <c r="A174" s="24" t="s">
        <v>36</v>
      </c>
      <c r="B174" s="24" t="s">
        <v>324</v>
      </c>
      <c r="C174" s="25">
        <v>45748</v>
      </c>
      <c r="D174" s="24" t="s">
        <v>2660</v>
      </c>
      <c r="E174" s="26">
        <v>0</v>
      </c>
      <c r="F174" s="26">
        <v>0</v>
      </c>
      <c r="G174" s="26">
        <v>0</v>
      </c>
      <c r="H174" s="26">
        <v>0</v>
      </c>
    </row>
    <row r="175" spans="1:8">
      <c r="A175" s="24" t="s">
        <v>36</v>
      </c>
      <c r="B175" s="24" t="s">
        <v>324</v>
      </c>
      <c r="C175" s="25">
        <v>45778</v>
      </c>
      <c r="D175" s="24" t="s">
        <v>2661</v>
      </c>
      <c r="E175" s="26">
        <v>0</v>
      </c>
      <c r="F175" s="26">
        <v>0</v>
      </c>
      <c r="G175" s="26">
        <v>0</v>
      </c>
      <c r="H175" s="26">
        <v>0</v>
      </c>
    </row>
    <row r="176" spans="1:8">
      <c r="A176" s="24" t="s">
        <v>36</v>
      </c>
      <c r="B176" s="24" t="s">
        <v>324</v>
      </c>
      <c r="C176" s="25">
        <v>45809</v>
      </c>
      <c r="D176" s="24" t="s">
        <v>2662</v>
      </c>
      <c r="E176" s="26">
        <v>0</v>
      </c>
      <c r="F176" s="26">
        <v>0</v>
      </c>
      <c r="G176" s="26">
        <v>0</v>
      </c>
      <c r="H176" s="26">
        <v>0</v>
      </c>
    </row>
    <row r="177" spans="1:8">
      <c r="A177" s="24" t="s">
        <v>36</v>
      </c>
      <c r="B177" s="24" t="s">
        <v>324</v>
      </c>
      <c r="C177" s="25">
        <v>45839</v>
      </c>
      <c r="D177" s="24" t="s">
        <v>2663</v>
      </c>
      <c r="E177" s="26">
        <v>0</v>
      </c>
      <c r="F177" s="26">
        <v>0</v>
      </c>
      <c r="G177" s="26">
        <v>0</v>
      </c>
      <c r="H177" s="26">
        <v>0</v>
      </c>
    </row>
    <row r="178" spans="1:8">
      <c r="A178" s="24" t="s">
        <v>36</v>
      </c>
      <c r="B178" s="24" t="s">
        <v>324</v>
      </c>
      <c r="C178" s="25">
        <v>45870</v>
      </c>
      <c r="D178" s="24" t="s">
        <v>2664</v>
      </c>
      <c r="E178" s="26">
        <v>147427.94</v>
      </c>
      <c r="F178" s="26">
        <v>0</v>
      </c>
      <c r="G178" s="26">
        <v>147427.94</v>
      </c>
      <c r="H178" s="26">
        <v>147427.94</v>
      </c>
    </row>
    <row r="179" spans="1:8">
      <c r="A179" s="24" t="s">
        <v>36</v>
      </c>
      <c r="B179" s="24" t="s">
        <v>324</v>
      </c>
      <c r="C179" s="25">
        <v>45901</v>
      </c>
      <c r="D179" s="24" t="s">
        <v>2665</v>
      </c>
      <c r="E179" s="26">
        <v>0</v>
      </c>
      <c r="F179" s="26">
        <v>0</v>
      </c>
      <c r="G179" s="26">
        <v>0</v>
      </c>
      <c r="H179" s="26">
        <v>147427.94</v>
      </c>
    </row>
    <row r="180" spans="1:8">
      <c r="A180" s="24" t="s">
        <v>36</v>
      </c>
      <c r="B180" s="24" t="s">
        <v>324</v>
      </c>
      <c r="C180" s="25">
        <v>45931</v>
      </c>
      <c r="D180" s="24" t="s">
        <v>2666</v>
      </c>
      <c r="E180" s="26">
        <v>50206.48</v>
      </c>
      <c r="F180" s="26">
        <v>256883.7</v>
      </c>
      <c r="G180" s="26">
        <v>-206677.22</v>
      </c>
      <c r="H180" s="26">
        <v>-59249.279999999999</v>
      </c>
    </row>
    <row r="181" spans="1:8">
      <c r="A181" s="24" t="s">
        <v>36</v>
      </c>
      <c r="B181" s="24" t="s">
        <v>324</v>
      </c>
      <c r="C181" s="25">
        <v>45962</v>
      </c>
      <c r="D181" s="24" t="s">
        <v>2667</v>
      </c>
      <c r="E181" s="26">
        <v>0</v>
      </c>
      <c r="F181" s="26">
        <v>0</v>
      </c>
      <c r="G181" s="26">
        <v>0</v>
      </c>
      <c r="H181" s="26">
        <v>-59249.279999999999</v>
      </c>
    </row>
    <row r="182" spans="1:8">
      <c r="A182" s="24" t="s">
        <v>36</v>
      </c>
      <c r="B182" s="24" t="s">
        <v>324</v>
      </c>
      <c r="C182" s="25">
        <v>45992</v>
      </c>
      <c r="D182" s="24" t="s">
        <v>2668</v>
      </c>
      <c r="E182" s="26">
        <v>0</v>
      </c>
      <c r="F182" s="26">
        <v>0</v>
      </c>
      <c r="G182" s="26">
        <v>0</v>
      </c>
      <c r="H182" s="26">
        <v>-59249.279999999999</v>
      </c>
    </row>
    <row r="183" spans="1:8">
      <c r="A183" s="24" t="s">
        <v>121</v>
      </c>
      <c r="B183" s="24" t="s">
        <v>318</v>
      </c>
      <c r="C183" s="25">
        <v>45658</v>
      </c>
      <c r="D183" s="24" t="s">
        <v>2657</v>
      </c>
      <c r="E183" s="26">
        <v>0</v>
      </c>
      <c r="F183" s="26">
        <v>0</v>
      </c>
      <c r="G183" s="26">
        <v>0</v>
      </c>
      <c r="H183" s="26">
        <v>0</v>
      </c>
    </row>
    <row r="184" spans="1:8">
      <c r="A184" s="24" t="s">
        <v>121</v>
      </c>
      <c r="B184" s="24" t="s">
        <v>318</v>
      </c>
      <c r="C184" s="25">
        <v>45689</v>
      </c>
      <c r="D184" s="24" t="s">
        <v>2658</v>
      </c>
      <c r="E184" s="26">
        <v>0</v>
      </c>
      <c r="F184" s="26">
        <v>0</v>
      </c>
      <c r="G184" s="26">
        <v>0</v>
      </c>
      <c r="H184" s="26">
        <v>0</v>
      </c>
    </row>
    <row r="185" spans="1:8">
      <c r="A185" s="24" t="s">
        <v>121</v>
      </c>
      <c r="B185" s="24" t="s">
        <v>318</v>
      </c>
      <c r="C185" s="25">
        <v>45717</v>
      </c>
      <c r="D185" s="24" t="s">
        <v>2659</v>
      </c>
      <c r="E185" s="26">
        <v>0</v>
      </c>
      <c r="F185" s="26">
        <v>0</v>
      </c>
      <c r="G185" s="26">
        <v>0</v>
      </c>
      <c r="H185" s="26">
        <v>0</v>
      </c>
    </row>
    <row r="186" spans="1:8">
      <c r="A186" s="24" t="s">
        <v>121</v>
      </c>
      <c r="B186" s="24" t="s">
        <v>318</v>
      </c>
      <c r="C186" s="25">
        <v>45748</v>
      </c>
      <c r="D186" s="24" t="s">
        <v>2660</v>
      </c>
      <c r="E186" s="26">
        <v>0</v>
      </c>
      <c r="F186" s="26">
        <v>0</v>
      </c>
      <c r="G186" s="26">
        <v>0</v>
      </c>
      <c r="H186" s="26">
        <v>0</v>
      </c>
    </row>
    <row r="187" spans="1:8">
      <c r="A187" s="24" t="s">
        <v>121</v>
      </c>
      <c r="B187" s="24" t="s">
        <v>318</v>
      </c>
      <c r="C187" s="25">
        <v>45778</v>
      </c>
      <c r="D187" s="24" t="s">
        <v>2661</v>
      </c>
      <c r="E187" s="26">
        <v>0</v>
      </c>
      <c r="F187" s="26">
        <v>0</v>
      </c>
      <c r="G187" s="26">
        <v>0</v>
      </c>
      <c r="H187" s="26">
        <v>0</v>
      </c>
    </row>
    <row r="188" spans="1:8">
      <c r="A188" s="24" t="s">
        <v>121</v>
      </c>
      <c r="B188" s="24" t="s">
        <v>318</v>
      </c>
      <c r="C188" s="25">
        <v>45809</v>
      </c>
      <c r="D188" s="24" t="s">
        <v>2662</v>
      </c>
      <c r="E188" s="26">
        <v>0</v>
      </c>
      <c r="F188" s="26">
        <v>0</v>
      </c>
      <c r="G188" s="26">
        <v>0</v>
      </c>
      <c r="H188" s="26">
        <v>0</v>
      </c>
    </row>
    <row r="189" spans="1:8">
      <c r="A189" s="24" t="s">
        <v>121</v>
      </c>
      <c r="B189" s="24" t="s">
        <v>318</v>
      </c>
      <c r="C189" s="25">
        <v>45839</v>
      </c>
      <c r="D189" s="24" t="s">
        <v>2663</v>
      </c>
      <c r="E189" s="26">
        <v>0</v>
      </c>
      <c r="F189" s="26">
        <v>0</v>
      </c>
      <c r="G189" s="26">
        <v>0</v>
      </c>
      <c r="H189" s="26">
        <v>0</v>
      </c>
    </row>
    <row r="190" spans="1:8">
      <c r="A190" s="24" t="s">
        <v>121</v>
      </c>
      <c r="B190" s="24" t="s">
        <v>318</v>
      </c>
      <c r="C190" s="25">
        <v>45870</v>
      </c>
      <c r="D190" s="24" t="s">
        <v>2664</v>
      </c>
      <c r="E190" s="26">
        <v>0</v>
      </c>
      <c r="F190" s="26">
        <v>0</v>
      </c>
      <c r="G190" s="26">
        <v>0</v>
      </c>
      <c r="H190" s="26">
        <v>0</v>
      </c>
    </row>
    <row r="191" spans="1:8">
      <c r="A191" s="24" t="s">
        <v>121</v>
      </c>
      <c r="B191" s="24" t="s">
        <v>318</v>
      </c>
      <c r="C191" s="25">
        <v>45901</v>
      </c>
      <c r="D191" s="24" t="s">
        <v>2665</v>
      </c>
      <c r="E191" s="26">
        <v>0</v>
      </c>
      <c r="F191" s="26">
        <v>0</v>
      </c>
      <c r="G191" s="26">
        <v>0</v>
      </c>
      <c r="H191" s="26">
        <v>0</v>
      </c>
    </row>
    <row r="192" spans="1:8">
      <c r="A192" s="24" t="s">
        <v>121</v>
      </c>
      <c r="B192" s="24" t="s">
        <v>318</v>
      </c>
      <c r="C192" s="25">
        <v>45931</v>
      </c>
      <c r="D192" s="24" t="s">
        <v>2666</v>
      </c>
      <c r="E192" s="26">
        <v>0</v>
      </c>
      <c r="F192" s="26">
        <v>0</v>
      </c>
      <c r="G192" s="26">
        <v>0</v>
      </c>
      <c r="H192" s="26">
        <v>0</v>
      </c>
    </row>
    <row r="193" spans="1:8">
      <c r="A193" s="24" t="s">
        <v>121</v>
      </c>
      <c r="B193" s="24" t="s">
        <v>318</v>
      </c>
      <c r="C193" s="25">
        <v>45962</v>
      </c>
      <c r="D193" s="24" t="s">
        <v>2667</v>
      </c>
      <c r="E193" s="26">
        <v>0</v>
      </c>
      <c r="F193" s="26">
        <v>0</v>
      </c>
      <c r="G193" s="26">
        <v>0</v>
      </c>
      <c r="H193" s="26">
        <v>0</v>
      </c>
    </row>
    <row r="194" spans="1:8">
      <c r="A194" s="24" t="s">
        <v>121</v>
      </c>
      <c r="B194" s="24" t="s">
        <v>318</v>
      </c>
      <c r="C194" s="25">
        <v>45992</v>
      </c>
      <c r="D194" s="24" t="s">
        <v>2668</v>
      </c>
      <c r="E194" s="26">
        <v>0</v>
      </c>
      <c r="F194" s="26">
        <v>0</v>
      </c>
      <c r="G194" s="26">
        <v>0</v>
      </c>
      <c r="H194" s="26">
        <v>0</v>
      </c>
    </row>
    <row r="195" spans="1:8">
      <c r="A195" s="24" t="s">
        <v>53</v>
      </c>
      <c r="B195" s="24" t="s">
        <v>324</v>
      </c>
      <c r="C195" s="25">
        <v>45658</v>
      </c>
      <c r="D195" s="24" t="s">
        <v>2657</v>
      </c>
      <c r="E195" s="26">
        <v>0</v>
      </c>
      <c r="F195" s="26">
        <v>0</v>
      </c>
      <c r="G195" s="26">
        <v>0</v>
      </c>
      <c r="H195" s="26">
        <v>0</v>
      </c>
    </row>
    <row r="196" spans="1:8">
      <c r="A196" s="24" t="s">
        <v>53</v>
      </c>
      <c r="B196" s="24" t="s">
        <v>324</v>
      </c>
      <c r="C196" s="25">
        <v>45689</v>
      </c>
      <c r="D196" s="24" t="s">
        <v>2658</v>
      </c>
      <c r="E196" s="26">
        <v>0</v>
      </c>
      <c r="F196" s="26">
        <v>0</v>
      </c>
      <c r="G196" s="26">
        <v>0</v>
      </c>
      <c r="H196" s="26">
        <v>0</v>
      </c>
    </row>
    <row r="197" spans="1:8">
      <c r="A197" s="24" t="s">
        <v>53</v>
      </c>
      <c r="B197" s="24" t="s">
        <v>324</v>
      </c>
      <c r="C197" s="25">
        <v>45717</v>
      </c>
      <c r="D197" s="24" t="s">
        <v>2659</v>
      </c>
      <c r="E197" s="26">
        <v>0</v>
      </c>
      <c r="F197" s="26">
        <v>0</v>
      </c>
      <c r="G197" s="26">
        <v>0</v>
      </c>
      <c r="H197" s="26">
        <v>0</v>
      </c>
    </row>
    <row r="198" spans="1:8">
      <c r="A198" s="24" t="s">
        <v>53</v>
      </c>
      <c r="B198" s="24" t="s">
        <v>324</v>
      </c>
      <c r="C198" s="25">
        <v>45748</v>
      </c>
      <c r="D198" s="24" t="s">
        <v>2660</v>
      </c>
      <c r="E198" s="26">
        <v>0</v>
      </c>
      <c r="F198" s="26">
        <v>0</v>
      </c>
      <c r="G198" s="26">
        <v>0</v>
      </c>
      <c r="H198" s="26">
        <v>0</v>
      </c>
    </row>
    <row r="199" spans="1:8">
      <c r="A199" s="24" t="s">
        <v>53</v>
      </c>
      <c r="B199" s="24" t="s">
        <v>324</v>
      </c>
      <c r="C199" s="25">
        <v>45778</v>
      </c>
      <c r="D199" s="24" t="s">
        <v>2661</v>
      </c>
      <c r="E199" s="26">
        <v>0</v>
      </c>
      <c r="F199" s="26">
        <v>0</v>
      </c>
      <c r="G199" s="26">
        <v>0</v>
      </c>
      <c r="H199" s="26">
        <v>0</v>
      </c>
    </row>
    <row r="200" spans="1:8">
      <c r="A200" s="24" t="s">
        <v>53</v>
      </c>
      <c r="B200" s="24" t="s">
        <v>324</v>
      </c>
      <c r="C200" s="25">
        <v>45809</v>
      </c>
      <c r="D200" s="24" t="s">
        <v>2662</v>
      </c>
      <c r="E200" s="26">
        <v>0</v>
      </c>
      <c r="F200" s="26">
        <v>0</v>
      </c>
      <c r="G200" s="26">
        <v>0</v>
      </c>
      <c r="H200" s="26">
        <v>0</v>
      </c>
    </row>
    <row r="201" spans="1:8">
      <c r="A201" s="24" t="s">
        <v>53</v>
      </c>
      <c r="B201" s="24" t="s">
        <v>324</v>
      </c>
      <c r="C201" s="25">
        <v>45839</v>
      </c>
      <c r="D201" s="24" t="s">
        <v>2663</v>
      </c>
      <c r="E201" s="26">
        <v>0</v>
      </c>
      <c r="F201" s="26">
        <v>0</v>
      </c>
      <c r="G201" s="26">
        <v>0</v>
      </c>
      <c r="H201" s="26">
        <v>0</v>
      </c>
    </row>
    <row r="202" spans="1:8">
      <c r="A202" s="24" t="s">
        <v>53</v>
      </c>
      <c r="B202" s="24" t="s">
        <v>324</v>
      </c>
      <c r="C202" s="25">
        <v>45870</v>
      </c>
      <c r="D202" s="24" t="s">
        <v>2664</v>
      </c>
      <c r="E202" s="26">
        <v>0</v>
      </c>
      <c r="F202" s="26">
        <v>0</v>
      </c>
      <c r="G202" s="26">
        <v>0</v>
      </c>
      <c r="H202" s="26">
        <v>0</v>
      </c>
    </row>
    <row r="203" spans="1:8">
      <c r="A203" s="24" t="s">
        <v>53</v>
      </c>
      <c r="B203" s="24" t="s">
        <v>324</v>
      </c>
      <c r="C203" s="25">
        <v>45901</v>
      </c>
      <c r="D203" s="24" t="s">
        <v>2665</v>
      </c>
      <c r="E203" s="26">
        <v>0</v>
      </c>
      <c r="F203" s="26">
        <v>0</v>
      </c>
      <c r="G203" s="26">
        <v>0</v>
      </c>
      <c r="H203" s="26">
        <v>0</v>
      </c>
    </row>
    <row r="204" spans="1:8">
      <c r="A204" s="24" t="s">
        <v>53</v>
      </c>
      <c r="B204" s="24" t="s">
        <v>324</v>
      </c>
      <c r="C204" s="25">
        <v>45931</v>
      </c>
      <c r="D204" s="24" t="s">
        <v>2666</v>
      </c>
      <c r="E204" s="26">
        <v>0</v>
      </c>
      <c r="F204" s="26">
        <v>0</v>
      </c>
      <c r="G204" s="26">
        <v>0</v>
      </c>
      <c r="H204" s="26">
        <v>0</v>
      </c>
    </row>
    <row r="205" spans="1:8">
      <c r="A205" s="24" t="s">
        <v>53</v>
      </c>
      <c r="B205" s="24" t="s">
        <v>324</v>
      </c>
      <c r="C205" s="25">
        <v>45962</v>
      </c>
      <c r="D205" s="24" t="s">
        <v>2667</v>
      </c>
      <c r="E205" s="26">
        <v>0</v>
      </c>
      <c r="F205" s="26">
        <v>0</v>
      </c>
      <c r="G205" s="26">
        <v>0</v>
      </c>
      <c r="H205" s="26">
        <v>0</v>
      </c>
    </row>
    <row r="206" spans="1:8">
      <c r="A206" s="24" t="s">
        <v>53</v>
      </c>
      <c r="B206" s="24" t="s">
        <v>324</v>
      </c>
      <c r="C206" s="25">
        <v>45992</v>
      </c>
      <c r="D206" s="24" t="s">
        <v>2668</v>
      </c>
      <c r="E206" s="26">
        <v>0</v>
      </c>
      <c r="F206" s="26">
        <v>100515</v>
      </c>
      <c r="G206" s="26">
        <v>-100515</v>
      </c>
      <c r="H206" s="26">
        <v>-100515</v>
      </c>
    </row>
    <row r="207" spans="1:8">
      <c r="A207" s="24" t="s">
        <v>16</v>
      </c>
      <c r="B207" s="24" t="s">
        <v>318</v>
      </c>
      <c r="C207" s="25">
        <v>45658</v>
      </c>
      <c r="D207" s="24" t="s">
        <v>2657</v>
      </c>
      <c r="E207" s="26">
        <v>0</v>
      </c>
      <c r="F207" s="26">
        <v>0</v>
      </c>
      <c r="G207" s="26">
        <v>0</v>
      </c>
      <c r="H207" s="26">
        <v>0</v>
      </c>
    </row>
    <row r="208" spans="1:8">
      <c r="A208" s="24" t="s">
        <v>16</v>
      </c>
      <c r="B208" s="24" t="s">
        <v>318</v>
      </c>
      <c r="C208" s="25">
        <v>45689</v>
      </c>
      <c r="D208" s="24" t="s">
        <v>2658</v>
      </c>
      <c r="E208" s="26">
        <v>0</v>
      </c>
      <c r="F208" s="26">
        <v>0</v>
      </c>
      <c r="G208" s="26">
        <v>0</v>
      </c>
      <c r="H208" s="26">
        <v>0</v>
      </c>
    </row>
    <row r="209" spans="1:8">
      <c r="A209" s="24" t="s">
        <v>16</v>
      </c>
      <c r="B209" s="24" t="s">
        <v>318</v>
      </c>
      <c r="C209" s="25">
        <v>45717</v>
      </c>
      <c r="D209" s="24" t="s">
        <v>2659</v>
      </c>
      <c r="E209" s="26">
        <v>0</v>
      </c>
      <c r="F209" s="26">
        <v>0</v>
      </c>
      <c r="G209" s="26">
        <v>0</v>
      </c>
      <c r="H209" s="26">
        <v>0</v>
      </c>
    </row>
    <row r="210" spans="1:8">
      <c r="A210" s="24" t="s">
        <v>16</v>
      </c>
      <c r="B210" s="24" t="s">
        <v>318</v>
      </c>
      <c r="C210" s="25">
        <v>45748</v>
      </c>
      <c r="D210" s="24" t="s">
        <v>2660</v>
      </c>
      <c r="E210" s="26">
        <v>0</v>
      </c>
      <c r="F210" s="26">
        <v>0</v>
      </c>
      <c r="G210" s="26">
        <v>0</v>
      </c>
      <c r="H210" s="26">
        <v>0</v>
      </c>
    </row>
    <row r="211" spans="1:8">
      <c r="A211" s="24" t="s">
        <v>16</v>
      </c>
      <c r="B211" s="24" t="s">
        <v>318</v>
      </c>
      <c r="C211" s="25">
        <v>45778</v>
      </c>
      <c r="D211" s="24" t="s">
        <v>2661</v>
      </c>
      <c r="E211" s="26">
        <v>0</v>
      </c>
      <c r="F211" s="26">
        <v>0</v>
      </c>
      <c r="G211" s="26">
        <v>0</v>
      </c>
      <c r="H211" s="26">
        <v>0</v>
      </c>
    </row>
    <row r="212" spans="1:8">
      <c r="A212" s="24" t="s">
        <v>16</v>
      </c>
      <c r="B212" s="24" t="s">
        <v>318</v>
      </c>
      <c r="C212" s="25">
        <v>45809</v>
      </c>
      <c r="D212" s="24" t="s">
        <v>2662</v>
      </c>
      <c r="E212" s="26">
        <v>0</v>
      </c>
      <c r="F212" s="26">
        <v>0</v>
      </c>
      <c r="G212" s="26">
        <v>0</v>
      </c>
      <c r="H212" s="26">
        <v>0</v>
      </c>
    </row>
    <row r="213" spans="1:8">
      <c r="A213" s="24" t="s">
        <v>16</v>
      </c>
      <c r="B213" s="24" t="s">
        <v>318</v>
      </c>
      <c r="C213" s="25">
        <v>45839</v>
      </c>
      <c r="D213" s="24" t="s">
        <v>2663</v>
      </c>
      <c r="E213" s="26">
        <v>0</v>
      </c>
      <c r="F213" s="26">
        <v>0</v>
      </c>
      <c r="G213" s="26">
        <v>0</v>
      </c>
      <c r="H213" s="26">
        <v>0</v>
      </c>
    </row>
    <row r="214" spans="1:8">
      <c r="A214" s="24" t="s">
        <v>16</v>
      </c>
      <c r="B214" s="24" t="s">
        <v>318</v>
      </c>
      <c r="C214" s="25">
        <v>45870</v>
      </c>
      <c r="D214" s="24" t="s">
        <v>2664</v>
      </c>
      <c r="E214" s="26">
        <v>0</v>
      </c>
      <c r="F214" s="26">
        <v>0</v>
      </c>
      <c r="G214" s="26">
        <v>0</v>
      </c>
      <c r="H214" s="26">
        <v>0</v>
      </c>
    </row>
    <row r="215" spans="1:8">
      <c r="A215" s="24" t="s">
        <v>16</v>
      </c>
      <c r="B215" s="24" t="s">
        <v>318</v>
      </c>
      <c r="C215" s="25">
        <v>45901</v>
      </c>
      <c r="D215" s="24" t="s">
        <v>2665</v>
      </c>
      <c r="E215" s="26">
        <v>0</v>
      </c>
      <c r="F215" s="26">
        <v>0</v>
      </c>
      <c r="G215" s="26">
        <v>0</v>
      </c>
      <c r="H215" s="26">
        <v>0</v>
      </c>
    </row>
    <row r="216" spans="1:8">
      <c r="A216" s="24" t="s">
        <v>16</v>
      </c>
      <c r="B216" s="24" t="s">
        <v>318</v>
      </c>
      <c r="C216" s="25">
        <v>45931</v>
      </c>
      <c r="D216" s="24" t="s">
        <v>2666</v>
      </c>
      <c r="E216" s="26">
        <v>0</v>
      </c>
      <c r="F216" s="26">
        <v>0</v>
      </c>
      <c r="G216" s="26">
        <v>0</v>
      </c>
      <c r="H216" s="26">
        <v>0</v>
      </c>
    </row>
    <row r="217" spans="1:8">
      <c r="A217" s="24" t="s">
        <v>16</v>
      </c>
      <c r="B217" s="24" t="s">
        <v>318</v>
      </c>
      <c r="C217" s="25">
        <v>45962</v>
      </c>
      <c r="D217" s="24" t="s">
        <v>2667</v>
      </c>
      <c r="E217" s="26">
        <v>202063.69</v>
      </c>
      <c r="F217" s="26">
        <v>0</v>
      </c>
      <c r="G217" s="26">
        <v>202063.69</v>
      </c>
      <c r="H217" s="26">
        <v>202063.69</v>
      </c>
    </row>
    <row r="218" spans="1:8">
      <c r="A218" s="24" t="s">
        <v>16</v>
      </c>
      <c r="B218" s="24" t="s">
        <v>318</v>
      </c>
      <c r="C218" s="25">
        <v>45992</v>
      </c>
      <c r="D218" s="24" t="s">
        <v>2668</v>
      </c>
      <c r="E218" s="26">
        <v>0</v>
      </c>
      <c r="F218" s="26">
        <v>243862.64</v>
      </c>
      <c r="G218" s="26">
        <v>-243862.64</v>
      </c>
      <c r="H218" s="26">
        <v>-41798.950000000012</v>
      </c>
    </row>
    <row r="219" spans="1:8">
      <c r="A219" s="24" t="s">
        <v>74</v>
      </c>
      <c r="B219" s="24" t="s">
        <v>337</v>
      </c>
      <c r="C219" s="25">
        <v>45658</v>
      </c>
      <c r="D219" s="24" t="s">
        <v>2657</v>
      </c>
      <c r="E219" s="26">
        <v>0</v>
      </c>
      <c r="F219" s="26">
        <v>0</v>
      </c>
      <c r="G219" s="26">
        <v>0</v>
      </c>
      <c r="H219" s="26">
        <v>0</v>
      </c>
    </row>
    <row r="220" spans="1:8">
      <c r="A220" s="24" t="s">
        <v>74</v>
      </c>
      <c r="B220" s="24" t="s">
        <v>337</v>
      </c>
      <c r="C220" s="25">
        <v>45689</v>
      </c>
      <c r="D220" s="24" t="s">
        <v>2658</v>
      </c>
      <c r="E220" s="26">
        <v>0</v>
      </c>
      <c r="F220" s="26">
        <v>0</v>
      </c>
      <c r="G220" s="26">
        <v>0</v>
      </c>
      <c r="H220" s="26">
        <v>0</v>
      </c>
    </row>
    <row r="221" spans="1:8">
      <c r="A221" s="24" t="s">
        <v>74</v>
      </c>
      <c r="B221" s="24" t="s">
        <v>337</v>
      </c>
      <c r="C221" s="25">
        <v>45717</v>
      </c>
      <c r="D221" s="24" t="s">
        <v>2659</v>
      </c>
      <c r="E221" s="26">
        <v>0</v>
      </c>
      <c r="F221" s="26">
        <v>0</v>
      </c>
      <c r="G221" s="26">
        <v>0</v>
      </c>
      <c r="H221" s="26">
        <v>0</v>
      </c>
    </row>
    <row r="222" spans="1:8">
      <c r="A222" s="24" t="s">
        <v>74</v>
      </c>
      <c r="B222" s="24" t="s">
        <v>337</v>
      </c>
      <c r="C222" s="25">
        <v>45748</v>
      </c>
      <c r="D222" s="24" t="s">
        <v>2660</v>
      </c>
      <c r="E222" s="26">
        <v>0</v>
      </c>
      <c r="F222" s="26">
        <v>0</v>
      </c>
      <c r="G222" s="26">
        <v>0</v>
      </c>
      <c r="H222" s="26">
        <v>0</v>
      </c>
    </row>
    <row r="223" spans="1:8">
      <c r="A223" s="24" t="s">
        <v>74</v>
      </c>
      <c r="B223" s="24" t="s">
        <v>337</v>
      </c>
      <c r="C223" s="25">
        <v>45778</v>
      </c>
      <c r="D223" s="24" t="s">
        <v>2661</v>
      </c>
      <c r="E223" s="26">
        <v>0</v>
      </c>
      <c r="F223" s="26">
        <v>0</v>
      </c>
      <c r="G223" s="26">
        <v>0</v>
      </c>
      <c r="H223" s="26">
        <v>0</v>
      </c>
    </row>
    <row r="224" spans="1:8">
      <c r="A224" s="24" t="s">
        <v>74</v>
      </c>
      <c r="B224" s="24" t="s">
        <v>337</v>
      </c>
      <c r="C224" s="25">
        <v>45809</v>
      </c>
      <c r="D224" s="24" t="s">
        <v>2662</v>
      </c>
      <c r="E224" s="26">
        <v>0</v>
      </c>
      <c r="F224" s="26">
        <v>0</v>
      </c>
      <c r="G224" s="26">
        <v>0</v>
      </c>
      <c r="H224" s="26">
        <v>0</v>
      </c>
    </row>
    <row r="225" spans="1:8">
      <c r="A225" s="24" t="s">
        <v>74</v>
      </c>
      <c r="B225" s="24" t="s">
        <v>337</v>
      </c>
      <c r="C225" s="25">
        <v>45839</v>
      </c>
      <c r="D225" s="24" t="s">
        <v>2663</v>
      </c>
      <c r="E225" s="26">
        <v>0</v>
      </c>
      <c r="F225" s="26">
        <v>0</v>
      </c>
      <c r="G225" s="26">
        <v>0</v>
      </c>
      <c r="H225" s="26">
        <v>0</v>
      </c>
    </row>
    <row r="226" spans="1:8">
      <c r="A226" s="24" t="s">
        <v>74</v>
      </c>
      <c r="B226" s="24" t="s">
        <v>337</v>
      </c>
      <c r="C226" s="25">
        <v>45870</v>
      </c>
      <c r="D226" s="24" t="s">
        <v>2664</v>
      </c>
      <c r="E226" s="26">
        <v>0</v>
      </c>
      <c r="F226" s="26">
        <v>0</v>
      </c>
      <c r="G226" s="26">
        <v>0</v>
      </c>
      <c r="H226" s="26">
        <v>0</v>
      </c>
    </row>
    <row r="227" spans="1:8">
      <c r="A227" s="24" t="s">
        <v>74</v>
      </c>
      <c r="B227" s="24" t="s">
        <v>337</v>
      </c>
      <c r="C227" s="25">
        <v>45901</v>
      </c>
      <c r="D227" s="24" t="s">
        <v>2665</v>
      </c>
      <c r="E227" s="26">
        <v>0</v>
      </c>
      <c r="F227" s="26">
        <v>0</v>
      </c>
      <c r="G227" s="26">
        <v>0</v>
      </c>
      <c r="H227" s="26">
        <v>0</v>
      </c>
    </row>
    <row r="228" spans="1:8">
      <c r="A228" s="24" t="s">
        <v>74</v>
      </c>
      <c r="B228" s="24" t="s">
        <v>337</v>
      </c>
      <c r="C228" s="25">
        <v>45931</v>
      </c>
      <c r="D228" s="24" t="s">
        <v>2666</v>
      </c>
      <c r="E228" s="26">
        <v>0</v>
      </c>
      <c r="F228" s="26">
        <v>29863.31</v>
      </c>
      <c r="G228" s="26">
        <v>-29863.31</v>
      </c>
      <c r="H228" s="26">
        <v>-29863.31</v>
      </c>
    </row>
    <row r="229" spans="1:8">
      <c r="A229" s="24" t="s">
        <v>74</v>
      </c>
      <c r="B229" s="24" t="s">
        <v>337</v>
      </c>
      <c r="C229" s="25">
        <v>45962</v>
      </c>
      <c r="D229" s="24" t="s">
        <v>2667</v>
      </c>
      <c r="E229" s="26">
        <v>0</v>
      </c>
      <c r="F229" s="26">
        <v>0</v>
      </c>
      <c r="G229" s="26">
        <v>0</v>
      </c>
      <c r="H229" s="26">
        <v>-29863.31</v>
      </c>
    </row>
    <row r="230" spans="1:8">
      <c r="A230" s="24" t="s">
        <v>74</v>
      </c>
      <c r="B230" s="24" t="s">
        <v>337</v>
      </c>
      <c r="C230" s="25">
        <v>45992</v>
      </c>
      <c r="D230" s="24" t="s">
        <v>2668</v>
      </c>
      <c r="E230" s="26">
        <v>27948.61</v>
      </c>
      <c r="F230" s="26">
        <v>103238.57</v>
      </c>
      <c r="G230" s="26">
        <v>-75289.960000000006</v>
      </c>
      <c r="H230" s="26">
        <v>-105153.27</v>
      </c>
    </row>
    <row r="231" spans="1:8">
      <c r="A231" s="24" t="s">
        <v>18</v>
      </c>
      <c r="B231" s="24" t="s">
        <v>329</v>
      </c>
      <c r="C231" s="25">
        <v>45658</v>
      </c>
      <c r="D231" s="24" t="s">
        <v>2657</v>
      </c>
      <c r="E231" s="26">
        <v>0</v>
      </c>
      <c r="F231" s="26">
        <v>0</v>
      </c>
      <c r="G231" s="26">
        <v>0</v>
      </c>
      <c r="H231" s="26">
        <v>0</v>
      </c>
    </row>
    <row r="232" spans="1:8">
      <c r="A232" s="24" t="s">
        <v>18</v>
      </c>
      <c r="B232" s="24" t="s">
        <v>329</v>
      </c>
      <c r="C232" s="25">
        <v>45689</v>
      </c>
      <c r="D232" s="24" t="s">
        <v>2658</v>
      </c>
      <c r="E232" s="26">
        <v>0</v>
      </c>
      <c r="F232" s="26">
        <v>0</v>
      </c>
      <c r="G232" s="26">
        <v>0</v>
      </c>
      <c r="H232" s="26">
        <v>0</v>
      </c>
    </row>
    <row r="233" spans="1:8">
      <c r="A233" s="24" t="s">
        <v>18</v>
      </c>
      <c r="B233" s="24" t="s">
        <v>329</v>
      </c>
      <c r="C233" s="25">
        <v>45717</v>
      </c>
      <c r="D233" s="24" t="s">
        <v>2659</v>
      </c>
      <c r="E233" s="26">
        <v>0</v>
      </c>
      <c r="F233" s="26">
        <v>0</v>
      </c>
      <c r="G233" s="26">
        <v>0</v>
      </c>
      <c r="H233" s="26">
        <v>0</v>
      </c>
    </row>
    <row r="234" spans="1:8">
      <c r="A234" s="24" t="s">
        <v>18</v>
      </c>
      <c r="B234" s="24" t="s">
        <v>329</v>
      </c>
      <c r="C234" s="25">
        <v>45748</v>
      </c>
      <c r="D234" s="24" t="s">
        <v>2660</v>
      </c>
      <c r="E234" s="26">
        <v>0</v>
      </c>
      <c r="F234" s="26">
        <v>0</v>
      </c>
      <c r="G234" s="26">
        <v>0</v>
      </c>
      <c r="H234" s="26">
        <v>0</v>
      </c>
    </row>
    <row r="235" spans="1:8">
      <c r="A235" s="24" t="s">
        <v>18</v>
      </c>
      <c r="B235" s="24" t="s">
        <v>329</v>
      </c>
      <c r="C235" s="25">
        <v>45778</v>
      </c>
      <c r="D235" s="24" t="s">
        <v>2661</v>
      </c>
      <c r="E235" s="26">
        <v>0</v>
      </c>
      <c r="F235" s="26">
        <v>0</v>
      </c>
      <c r="G235" s="26">
        <v>0</v>
      </c>
      <c r="H235" s="26">
        <v>0</v>
      </c>
    </row>
    <row r="236" spans="1:8">
      <c r="A236" s="24" t="s">
        <v>18</v>
      </c>
      <c r="B236" s="24" t="s">
        <v>329</v>
      </c>
      <c r="C236" s="25">
        <v>45809</v>
      </c>
      <c r="D236" s="24" t="s">
        <v>2662</v>
      </c>
      <c r="E236" s="26">
        <v>0</v>
      </c>
      <c r="F236" s="26">
        <v>0</v>
      </c>
      <c r="G236" s="26">
        <v>0</v>
      </c>
      <c r="H236" s="26">
        <v>0</v>
      </c>
    </row>
    <row r="237" spans="1:8">
      <c r="A237" s="24" t="s">
        <v>18</v>
      </c>
      <c r="B237" s="24" t="s">
        <v>329</v>
      </c>
      <c r="C237" s="25">
        <v>45839</v>
      </c>
      <c r="D237" s="24" t="s">
        <v>2663</v>
      </c>
      <c r="E237" s="26">
        <v>0</v>
      </c>
      <c r="F237" s="26">
        <v>0</v>
      </c>
      <c r="G237" s="26">
        <v>0</v>
      </c>
      <c r="H237" s="26">
        <v>0</v>
      </c>
    </row>
    <row r="238" spans="1:8">
      <c r="A238" s="24" t="s">
        <v>18</v>
      </c>
      <c r="B238" s="24" t="s">
        <v>329</v>
      </c>
      <c r="C238" s="25">
        <v>45870</v>
      </c>
      <c r="D238" s="24" t="s">
        <v>2664</v>
      </c>
      <c r="E238" s="26">
        <v>0</v>
      </c>
      <c r="F238" s="26">
        <v>0</v>
      </c>
      <c r="G238" s="26">
        <v>0</v>
      </c>
      <c r="H238" s="26">
        <v>0</v>
      </c>
    </row>
    <row r="239" spans="1:8">
      <c r="A239" s="24" t="s">
        <v>18</v>
      </c>
      <c r="B239" s="24" t="s">
        <v>329</v>
      </c>
      <c r="C239" s="25">
        <v>45901</v>
      </c>
      <c r="D239" s="24" t="s">
        <v>2665</v>
      </c>
      <c r="E239" s="26">
        <v>0</v>
      </c>
      <c r="F239" s="26">
        <v>0</v>
      </c>
      <c r="G239" s="26">
        <v>0</v>
      </c>
      <c r="H239" s="26">
        <v>0</v>
      </c>
    </row>
    <row r="240" spans="1:8">
      <c r="A240" s="24" t="s">
        <v>18</v>
      </c>
      <c r="B240" s="24" t="s">
        <v>329</v>
      </c>
      <c r="C240" s="25">
        <v>45931</v>
      </c>
      <c r="D240" s="24" t="s">
        <v>2666</v>
      </c>
      <c r="E240" s="26">
        <v>0</v>
      </c>
      <c r="F240" s="26">
        <v>0</v>
      </c>
      <c r="G240" s="26">
        <v>0</v>
      </c>
      <c r="H240" s="26">
        <v>0</v>
      </c>
    </row>
    <row r="241" spans="1:8">
      <c r="A241" s="24" t="s">
        <v>18</v>
      </c>
      <c r="B241" s="24" t="s">
        <v>329</v>
      </c>
      <c r="C241" s="25">
        <v>45962</v>
      </c>
      <c r="D241" s="24" t="s">
        <v>2667</v>
      </c>
      <c r="E241" s="26">
        <v>0</v>
      </c>
      <c r="F241" s="26">
        <v>0</v>
      </c>
      <c r="G241" s="26">
        <v>0</v>
      </c>
      <c r="H241" s="26">
        <v>0</v>
      </c>
    </row>
    <row r="242" spans="1:8">
      <c r="A242" s="24" t="s">
        <v>18</v>
      </c>
      <c r="B242" s="24" t="s">
        <v>329</v>
      </c>
      <c r="C242" s="25">
        <v>45992</v>
      </c>
      <c r="D242" s="24" t="s">
        <v>2668</v>
      </c>
      <c r="E242" s="26">
        <v>0</v>
      </c>
      <c r="F242" s="26">
        <v>0</v>
      </c>
      <c r="G242" s="26">
        <v>0</v>
      </c>
      <c r="H242" s="26">
        <v>0</v>
      </c>
    </row>
    <row r="243" spans="1:8">
      <c r="A243" s="24" t="s">
        <v>285</v>
      </c>
      <c r="B243" s="24" t="s">
        <v>329</v>
      </c>
      <c r="C243" s="25">
        <v>45658</v>
      </c>
      <c r="D243" s="24" t="s">
        <v>2657</v>
      </c>
      <c r="E243" s="26">
        <v>0</v>
      </c>
      <c r="F243" s="26">
        <v>0</v>
      </c>
      <c r="G243" s="26">
        <v>0</v>
      </c>
      <c r="H243" s="26">
        <v>0</v>
      </c>
    </row>
    <row r="244" spans="1:8">
      <c r="A244" s="24" t="s">
        <v>285</v>
      </c>
      <c r="B244" s="24" t="s">
        <v>329</v>
      </c>
      <c r="C244" s="25">
        <v>45689</v>
      </c>
      <c r="D244" s="24" t="s">
        <v>2658</v>
      </c>
      <c r="E244" s="26">
        <v>0</v>
      </c>
      <c r="F244" s="26">
        <v>0</v>
      </c>
      <c r="G244" s="26">
        <v>0</v>
      </c>
      <c r="H244" s="26">
        <v>0</v>
      </c>
    </row>
    <row r="245" spans="1:8">
      <c r="A245" s="24" t="s">
        <v>285</v>
      </c>
      <c r="B245" s="24" t="s">
        <v>329</v>
      </c>
      <c r="C245" s="25">
        <v>45717</v>
      </c>
      <c r="D245" s="24" t="s">
        <v>2659</v>
      </c>
      <c r="E245" s="26">
        <v>0</v>
      </c>
      <c r="F245" s="26">
        <v>0</v>
      </c>
      <c r="G245" s="26">
        <v>0</v>
      </c>
      <c r="H245" s="26">
        <v>0</v>
      </c>
    </row>
    <row r="246" spans="1:8">
      <c r="A246" s="24" t="s">
        <v>285</v>
      </c>
      <c r="B246" s="24" t="s">
        <v>329</v>
      </c>
      <c r="C246" s="25">
        <v>45748</v>
      </c>
      <c r="D246" s="24" t="s">
        <v>2660</v>
      </c>
      <c r="E246" s="26">
        <v>0</v>
      </c>
      <c r="F246" s="26">
        <v>0</v>
      </c>
      <c r="G246" s="26">
        <v>0</v>
      </c>
      <c r="H246" s="26">
        <v>0</v>
      </c>
    </row>
    <row r="247" spans="1:8">
      <c r="A247" s="24" t="s">
        <v>285</v>
      </c>
      <c r="B247" s="24" t="s">
        <v>329</v>
      </c>
      <c r="C247" s="25">
        <v>45778</v>
      </c>
      <c r="D247" s="24" t="s">
        <v>2661</v>
      </c>
      <c r="E247" s="26">
        <v>0</v>
      </c>
      <c r="F247" s="26">
        <v>0</v>
      </c>
      <c r="G247" s="26">
        <v>0</v>
      </c>
      <c r="H247" s="26">
        <v>0</v>
      </c>
    </row>
    <row r="248" spans="1:8">
      <c r="A248" s="24" t="s">
        <v>285</v>
      </c>
      <c r="B248" s="24" t="s">
        <v>329</v>
      </c>
      <c r="C248" s="25">
        <v>45809</v>
      </c>
      <c r="D248" s="24" t="s">
        <v>2662</v>
      </c>
      <c r="E248" s="26">
        <v>0</v>
      </c>
      <c r="F248" s="26">
        <v>0</v>
      </c>
      <c r="G248" s="26">
        <v>0</v>
      </c>
      <c r="H248" s="26">
        <v>0</v>
      </c>
    </row>
    <row r="249" spans="1:8">
      <c r="A249" s="24" t="s">
        <v>285</v>
      </c>
      <c r="B249" s="24" t="s">
        <v>329</v>
      </c>
      <c r="C249" s="25">
        <v>45839</v>
      </c>
      <c r="D249" s="24" t="s">
        <v>2663</v>
      </c>
      <c r="E249" s="26">
        <v>0</v>
      </c>
      <c r="F249" s="26">
        <v>0</v>
      </c>
      <c r="G249" s="26">
        <v>0</v>
      </c>
      <c r="H249" s="26">
        <v>0</v>
      </c>
    </row>
    <row r="250" spans="1:8">
      <c r="A250" s="24" t="s">
        <v>285</v>
      </c>
      <c r="B250" s="24" t="s">
        <v>329</v>
      </c>
      <c r="C250" s="25">
        <v>45870</v>
      </c>
      <c r="D250" s="24" t="s">
        <v>2664</v>
      </c>
      <c r="E250" s="26">
        <v>0</v>
      </c>
      <c r="F250" s="26">
        <v>0</v>
      </c>
      <c r="G250" s="26">
        <v>0</v>
      </c>
      <c r="H250" s="26">
        <v>0</v>
      </c>
    </row>
    <row r="251" spans="1:8">
      <c r="A251" s="24" t="s">
        <v>285</v>
      </c>
      <c r="B251" s="24" t="s">
        <v>329</v>
      </c>
      <c r="C251" s="25">
        <v>45901</v>
      </c>
      <c r="D251" s="24" t="s">
        <v>2665</v>
      </c>
      <c r="E251" s="26">
        <v>0</v>
      </c>
      <c r="F251" s="26">
        <v>0</v>
      </c>
      <c r="G251" s="26">
        <v>0</v>
      </c>
      <c r="H251" s="26">
        <v>0</v>
      </c>
    </row>
    <row r="252" spans="1:8">
      <c r="A252" s="24" t="s">
        <v>285</v>
      </c>
      <c r="B252" s="24" t="s">
        <v>329</v>
      </c>
      <c r="C252" s="25">
        <v>45931</v>
      </c>
      <c r="D252" s="24" t="s">
        <v>2666</v>
      </c>
      <c r="E252" s="26">
        <v>0</v>
      </c>
      <c r="F252" s="26">
        <v>206924.53</v>
      </c>
      <c r="G252" s="26">
        <v>-206924.53</v>
      </c>
      <c r="H252" s="26">
        <v>-206924.53</v>
      </c>
    </row>
    <row r="253" spans="1:8">
      <c r="A253" s="24" t="s">
        <v>285</v>
      </c>
      <c r="B253" s="24" t="s">
        <v>329</v>
      </c>
      <c r="C253" s="25">
        <v>45962</v>
      </c>
      <c r="D253" s="24" t="s">
        <v>2667</v>
      </c>
      <c r="E253" s="26">
        <v>0</v>
      </c>
      <c r="F253" s="26">
        <v>0</v>
      </c>
      <c r="G253" s="26">
        <v>0</v>
      </c>
      <c r="H253" s="26">
        <v>-206924.53</v>
      </c>
    </row>
    <row r="254" spans="1:8">
      <c r="A254" s="24" t="s">
        <v>285</v>
      </c>
      <c r="B254" s="24" t="s">
        <v>329</v>
      </c>
      <c r="C254" s="25">
        <v>45992</v>
      </c>
      <c r="D254" s="24" t="s">
        <v>2668</v>
      </c>
      <c r="E254" s="26">
        <v>0</v>
      </c>
      <c r="F254" s="26">
        <v>36874.51</v>
      </c>
      <c r="G254" s="26">
        <v>-36874.51</v>
      </c>
      <c r="H254" s="26">
        <v>-243799.04000000001</v>
      </c>
    </row>
    <row r="255" spans="1:8">
      <c r="A255" s="24" t="s">
        <v>219</v>
      </c>
      <c r="B255" s="24" t="s">
        <v>337</v>
      </c>
      <c r="C255" s="25">
        <v>45658</v>
      </c>
      <c r="D255" s="24" t="s">
        <v>2657</v>
      </c>
      <c r="E255" s="26">
        <v>0</v>
      </c>
      <c r="F255" s="26">
        <v>0</v>
      </c>
      <c r="G255" s="26">
        <v>0</v>
      </c>
      <c r="H255" s="26">
        <v>0</v>
      </c>
    </row>
    <row r="256" spans="1:8">
      <c r="A256" s="24" t="s">
        <v>219</v>
      </c>
      <c r="B256" s="24" t="s">
        <v>337</v>
      </c>
      <c r="C256" s="25">
        <v>45689</v>
      </c>
      <c r="D256" s="24" t="s">
        <v>2658</v>
      </c>
      <c r="E256" s="26">
        <v>0</v>
      </c>
      <c r="F256" s="26">
        <v>0</v>
      </c>
      <c r="G256" s="26">
        <v>0</v>
      </c>
      <c r="H256" s="26">
        <v>0</v>
      </c>
    </row>
    <row r="257" spans="1:8">
      <c r="A257" s="24" t="s">
        <v>219</v>
      </c>
      <c r="B257" s="24" t="s">
        <v>337</v>
      </c>
      <c r="C257" s="25">
        <v>45717</v>
      </c>
      <c r="D257" s="24" t="s">
        <v>2659</v>
      </c>
      <c r="E257" s="26">
        <v>0</v>
      </c>
      <c r="F257" s="26">
        <v>0</v>
      </c>
      <c r="G257" s="26">
        <v>0</v>
      </c>
      <c r="H257" s="26">
        <v>0</v>
      </c>
    </row>
    <row r="258" spans="1:8">
      <c r="A258" s="24" t="s">
        <v>219</v>
      </c>
      <c r="B258" s="24" t="s">
        <v>337</v>
      </c>
      <c r="C258" s="25">
        <v>45748</v>
      </c>
      <c r="D258" s="24" t="s">
        <v>2660</v>
      </c>
      <c r="E258" s="26">
        <v>0</v>
      </c>
      <c r="F258" s="26">
        <v>0</v>
      </c>
      <c r="G258" s="26">
        <v>0</v>
      </c>
      <c r="H258" s="26">
        <v>0</v>
      </c>
    </row>
    <row r="259" spans="1:8">
      <c r="A259" s="24" t="s">
        <v>219</v>
      </c>
      <c r="B259" s="24" t="s">
        <v>337</v>
      </c>
      <c r="C259" s="25">
        <v>45778</v>
      </c>
      <c r="D259" s="24" t="s">
        <v>2661</v>
      </c>
      <c r="E259" s="26">
        <v>0</v>
      </c>
      <c r="F259" s="26">
        <v>0</v>
      </c>
      <c r="G259" s="26">
        <v>0</v>
      </c>
      <c r="H259" s="26">
        <v>0</v>
      </c>
    </row>
    <row r="260" spans="1:8">
      <c r="A260" s="24" t="s">
        <v>219</v>
      </c>
      <c r="B260" s="24" t="s">
        <v>337</v>
      </c>
      <c r="C260" s="25">
        <v>45809</v>
      </c>
      <c r="D260" s="24" t="s">
        <v>2662</v>
      </c>
      <c r="E260" s="26">
        <v>0</v>
      </c>
      <c r="F260" s="26">
        <v>0</v>
      </c>
      <c r="G260" s="26">
        <v>0</v>
      </c>
      <c r="H260" s="26">
        <v>0</v>
      </c>
    </row>
    <row r="261" spans="1:8">
      <c r="A261" s="24" t="s">
        <v>219</v>
      </c>
      <c r="B261" s="24" t="s">
        <v>337</v>
      </c>
      <c r="C261" s="25">
        <v>45839</v>
      </c>
      <c r="D261" s="24" t="s">
        <v>2663</v>
      </c>
      <c r="E261" s="26">
        <v>0</v>
      </c>
      <c r="F261" s="26">
        <v>0</v>
      </c>
      <c r="G261" s="26">
        <v>0</v>
      </c>
      <c r="H261" s="26">
        <v>0</v>
      </c>
    </row>
    <row r="262" spans="1:8">
      <c r="A262" s="24" t="s">
        <v>219</v>
      </c>
      <c r="B262" s="24" t="s">
        <v>337</v>
      </c>
      <c r="C262" s="25">
        <v>45870</v>
      </c>
      <c r="D262" s="24" t="s">
        <v>2664</v>
      </c>
      <c r="E262" s="26">
        <v>140955.73000000001</v>
      </c>
      <c r="F262" s="26">
        <v>0</v>
      </c>
      <c r="G262" s="26">
        <v>140955.73000000001</v>
      </c>
      <c r="H262" s="26">
        <v>140955.73000000001</v>
      </c>
    </row>
    <row r="263" spans="1:8">
      <c r="A263" s="24" t="s">
        <v>219</v>
      </c>
      <c r="B263" s="24" t="s">
        <v>337</v>
      </c>
      <c r="C263" s="25">
        <v>45901</v>
      </c>
      <c r="D263" s="24" t="s">
        <v>2665</v>
      </c>
      <c r="E263" s="26">
        <v>0</v>
      </c>
      <c r="F263" s="26">
        <v>0</v>
      </c>
      <c r="G263" s="26">
        <v>0</v>
      </c>
      <c r="H263" s="26">
        <v>140955.73000000001</v>
      </c>
    </row>
    <row r="264" spans="1:8">
      <c r="A264" s="24" t="s">
        <v>219</v>
      </c>
      <c r="B264" s="24" t="s">
        <v>337</v>
      </c>
      <c r="C264" s="25">
        <v>45931</v>
      </c>
      <c r="D264" s="24" t="s">
        <v>2666</v>
      </c>
      <c r="E264" s="26">
        <v>0</v>
      </c>
      <c r="F264" s="26">
        <v>53074.55</v>
      </c>
      <c r="G264" s="26">
        <v>-53074.55</v>
      </c>
      <c r="H264" s="26">
        <v>87881.180000000008</v>
      </c>
    </row>
    <row r="265" spans="1:8">
      <c r="A265" s="24" t="s">
        <v>219</v>
      </c>
      <c r="B265" s="24" t="s">
        <v>337</v>
      </c>
      <c r="C265" s="25">
        <v>45962</v>
      </c>
      <c r="D265" s="24" t="s">
        <v>2667</v>
      </c>
      <c r="E265" s="26">
        <v>0</v>
      </c>
      <c r="F265" s="26">
        <v>0</v>
      </c>
      <c r="G265" s="26">
        <v>0</v>
      </c>
      <c r="H265" s="26">
        <v>87881.180000000008</v>
      </c>
    </row>
    <row r="266" spans="1:8">
      <c r="A266" s="24" t="s">
        <v>219</v>
      </c>
      <c r="B266" s="24" t="s">
        <v>337</v>
      </c>
      <c r="C266" s="25">
        <v>45992</v>
      </c>
      <c r="D266" s="24" t="s">
        <v>2668</v>
      </c>
      <c r="E266" s="26">
        <v>0</v>
      </c>
      <c r="F266" s="26">
        <v>90765.06</v>
      </c>
      <c r="G266" s="26">
        <v>-90765.06</v>
      </c>
      <c r="H266" s="26">
        <v>-2883.8799999999901</v>
      </c>
    </row>
    <row r="267" spans="1:8">
      <c r="A267" s="24" t="s">
        <v>63</v>
      </c>
      <c r="B267" s="24" t="s">
        <v>329</v>
      </c>
      <c r="C267" s="25">
        <v>45658</v>
      </c>
      <c r="D267" s="24" t="s">
        <v>2657</v>
      </c>
      <c r="E267" s="26">
        <v>0</v>
      </c>
      <c r="F267" s="26">
        <v>0</v>
      </c>
      <c r="G267" s="26">
        <v>0</v>
      </c>
      <c r="H267" s="26">
        <v>0</v>
      </c>
    </row>
    <row r="268" spans="1:8">
      <c r="A268" s="24" t="s">
        <v>63</v>
      </c>
      <c r="B268" s="24" t="s">
        <v>329</v>
      </c>
      <c r="C268" s="25">
        <v>45689</v>
      </c>
      <c r="D268" s="24" t="s">
        <v>2658</v>
      </c>
      <c r="E268" s="26">
        <v>0</v>
      </c>
      <c r="F268" s="26">
        <v>0</v>
      </c>
      <c r="G268" s="26">
        <v>0</v>
      </c>
      <c r="H268" s="26">
        <v>0</v>
      </c>
    </row>
    <row r="269" spans="1:8">
      <c r="A269" s="24" t="s">
        <v>63</v>
      </c>
      <c r="B269" s="24" t="s">
        <v>329</v>
      </c>
      <c r="C269" s="25">
        <v>45717</v>
      </c>
      <c r="D269" s="24" t="s">
        <v>2659</v>
      </c>
      <c r="E269" s="26">
        <v>0</v>
      </c>
      <c r="F269" s="26">
        <v>0</v>
      </c>
      <c r="G269" s="26">
        <v>0</v>
      </c>
      <c r="H269" s="26">
        <v>0</v>
      </c>
    </row>
    <row r="270" spans="1:8">
      <c r="A270" s="24" t="s">
        <v>63</v>
      </c>
      <c r="B270" s="24" t="s">
        <v>329</v>
      </c>
      <c r="C270" s="25">
        <v>45748</v>
      </c>
      <c r="D270" s="24" t="s">
        <v>2660</v>
      </c>
      <c r="E270" s="26">
        <v>0</v>
      </c>
      <c r="F270" s="26">
        <v>0</v>
      </c>
      <c r="G270" s="26">
        <v>0</v>
      </c>
      <c r="H270" s="26">
        <v>0</v>
      </c>
    </row>
    <row r="271" spans="1:8">
      <c r="A271" s="24" t="s">
        <v>63</v>
      </c>
      <c r="B271" s="24" t="s">
        <v>329</v>
      </c>
      <c r="C271" s="25">
        <v>45778</v>
      </c>
      <c r="D271" s="24" t="s">
        <v>2661</v>
      </c>
      <c r="E271" s="26">
        <v>0</v>
      </c>
      <c r="F271" s="26">
        <v>0</v>
      </c>
      <c r="G271" s="26">
        <v>0</v>
      </c>
      <c r="H271" s="26">
        <v>0</v>
      </c>
    </row>
    <row r="272" spans="1:8">
      <c r="A272" s="24" t="s">
        <v>63</v>
      </c>
      <c r="B272" s="24" t="s">
        <v>329</v>
      </c>
      <c r="C272" s="25">
        <v>45809</v>
      </c>
      <c r="D272" s="24" t="s">
        <v>2662</v>
      </c>
      <c r="E272" s="26">
        <v>0</v>
      </c>
      <c r="F272" s="26">
        <v>0</v>
      </c>
      <c r="G272" s="26">
        <v>0</v>
      </c>
      <c r="H272" s="26">
        <v>0</v>
      </c>
    </row>
    <row r="273" spans="1:8">
      <c r="A273" s="24" t="s">
        <v>63</v>
      </c>
      <c r="B273" s="24" t="s">
        <v>329</v>
      </c>
      <c r="C273" s="25">
        <v>45839</v>
      </c>
      <c r="D273" s="24" t="s">
        <v>2663</v>
      </c>
      <c r="E273" s="26">
        <v>0</v>
      </c>
      <c r="F273" s="26">
        <v>0</v>
      </c>
      <c r="G273" s="26">
        <v>0</v>
      </c>
      <c r="H273" s="26">
        <v>0</v>
      </c>
    </row>
    <row r="274" spans="1:8">
      <c r="A274" s="24" t="s">
        <v>63</v>
      </c>
      <c r="B274" s="24" t="s">
        <v>329</v>
      </c>
      <c r="C274" s="25">
        <v>45870</v>
      </c>
      <c r="D274" s="24" t="s">
        <v>2664</v>
      </c>
      <c r="E274" s="26">
        <v>0</v>
      </c>
      <c r="F274" s="26">
        <v>0</v>
      </c>
      <c r="G274" s="26">
        <v>0</v>
      </c>
      <c r="H274" s="26">
        <v>0</v>
      </c>
    </row>
    <row r="275" spans="1:8">
      <c r="A275" s="24" t="s">
        <v>63</v>
      </c>
      <c r="B275" s="24" t="s">
        <v>329</v>
      </c>
      <c r="C275" s="25">
        <v>45901</v>
      </c>
      <c r="D275" s="24" t="s">
        <v>2665</v>
      </c>
      <c r="E275" s="26">
        <v>0</v>
      </c>
      <c r="F275" s="26">
        <v>92258.08</v>
      </c>
      <c r="G275" s="26">
        <v>-92258.08</v>
      </c>
      <c r="H275" s="26">
        <v>-92258.08</v>
      </c>
    </row>
    <row r="276" spans="1:8">
      <c r="A276" s="24" t="s">
        <v>63</v>
      </c>
      <c r="B276" s="24" t="s">
        <v>329</v>
      </c>
      <c r="C276" s="25">
        <v>45931</v>
      </c>
      <c r="D276" s="24" t="s">
        <v>2666</v>
      </c>
      <c r="E276" s="26">
        <v>0</v>
      </c>
      <c r="F276" s="26">
        <v>0</v>
      </c>
      <c r="G276" s="26">
        <v>0</v>
      </c>
      <c r="H276" s="26">
        <v>-92258.08</v>
      </c>
    </row>
    <row r="277" spans="1:8">
      <c r="A277" s="24" t="s">
        <v>63</v>
      </c>
      <c r="B277" s="24" t="s">
        <v>329</v>
      </c>
      <c r="C277" s="25">
        <v>45962</v>
      </c>
      <c r="D277" s="24" t="s">
        <v>2667</v>
      </c>
      <c r="E277" s="26">
        <v>0</v>
      </c>
      <c r="F277" s="26">
        <v>0</v>
      </c>
      <c r="G277" s="26">
        <v>0</v>
      </c>
      <c r="H277" s="26">
        <v>-92258.08</v>
      </c>
    </row>
    <row r="278" spans="1:8">
      <c r="A278" s="24" t="s">
        <v>63</v>
      </c>
      <c r="B278" s="24" t="s">
        <v>329</v>
      </c>
      <c r="C278" s="25">
        <v>45992</v>
      </c>
      <c r="D278" s="24" t="s">
        <v>2668</v>
      </c>
      <c r="E278" s="26">
        <v>0</v>
      </c>
      <c r="F278" s="26">
        <v>31863.14</v>
      </c>
      <c r="G278" s="26">
        <v>-31863.14</v>
      </c>
      <c r="H278" s="26">
        <v>-124121.22</v>
      </c>
    </row>
    <row r="279" spans="1:8">
      <c r="A279" s="24" t="s">
        <v>133</v>
      </c>
      <c r="B279" s="24" t="s">
        <v>324</v>
      </c>
      <c r="C279" s="25">
        <v>45658</v>
      </c>
      <c r="D279" s="24" t="s">
        <v>2657</v>
      </c>
      <c r="E279" s="26">
        <v>0</v>
      </c>
      <c r="F279" s="26">
        <v>0</v>
      </c>
      <c r="G279" s="26">
        <v>0</v>
      </c>
      <c r="H279" s="26">
        <v>0</v>
      </c>
    </row>
    <row r="280" spans="1:8">
      <c r="A280" s="24" t="s">
        <v>133</v>
      </c>
      <c r="B280" s="24" t="s">
        <v>324</v>
      </c>
      <c r="C280" s="25">
        <v>45689</v>
      </c>
      <c r="D280" s="24" t="s">
        <v>2658</v>
      </c>
      <c r="E280" s="26">
        <v>0</v>
      </c>
      <c r="F280" s="26">
        <v>0</v>
      </c>
      <c r="G280" s="26">
        <v>0</v>
      </c>
      <c r="H280" s="26">
        <v>0</v>
      </c>
    </row>
    <row r="281" spans="1:8">
      <c r="A281" s="24" t="s">
        <v>133</v>
      </c>
      <c r="B281" s="24" t="s">
        <v>324</v>
      </c>
      <c r="C281" s="25">
        <v>45717</v>
      </c>
      <c r="D281" s="24" t="s">
        <v>2659</v>
      </c>
      <c r="E281" s="26">
        <v>0</v>
      </c>
      <c r="F281" s="26">
        <v>0</v>
      </c>
      <c r="G281" s="26">
        <v>0</v>
      </c>
      <c r="H281" s="26">
        <v>0</v>
      </c>
    </row>
    <row r="282" spans="1:8">
      <c r="A282" s="24" t="s">
        <v>133</v>
      </c>
      <c r="B282" s="24" t="s">
        <v>324</v>
      </c>
      <c r="C282" s="25">
        <v>45748</v>
      </c>
      <c r="D282" s="24" t="s">
        <v>2660</v>
      </c>
      <c r="E282" s="26">
        <v>0</v>
      </c>
      <c r="F282" s="26">
        <v>0</v>
      </c>
      <c r="G282" s="26">
        <v>0</v>
      </c>
      <c r="H282" s="26">
        <v>0</v>
      </c>
    </row>
    <row r="283" spans="1:8">
      <c r="A283" s="24" t="s">
        <v>133</v>
      </c>
      <c r="B283" s="24" t="s">
        <v>324</v>
      </c>
      <c r="C283" s="25">
        <v>45778</v>
      </c>
      <c r="D283" s="24" t="s">
        <v>2661</v>
      </c>
      <c r="E283" s="26">
        <v>0</v>
      </c>
      <c r="F283" s="26">
        <v>0</v>
      </c>
      <c r="G283" s="26">
        <v>0</v>
      </c>
      <c r="H283" s="26">
        <v>0</v>
      </c>
    </row>
    <row r="284" spans="1:8">
      <c r="A284" s="24" t="s">
        <v>133</v>
      </c>
      <c r="B284" s="24" t="s">
        <v>324</v>
      </c>
      <c r="C284" s="25">
        <v>45809</v>
      </c>
      <c r="D284" s="24" t="s">
        <v>2662</v>
      </c>
      <c r="E284" s="26">
        <v>0</v>
      </c>
      <c r="F284" s="26">
        <v>0</v>
      </c>
      <c r="G284" s="26">
        <v>0</v>
      </c>
      <c r="H284" s="26">
        <v>0</v>
      </c>
    </row>
    <row r="285" spans="1:8">
      <c r="A285" s="24" t="s">
        <v>133</v>
      </c>
      <c r="B285" s="24" t="s">
        <v>324</v>
      </c>
      <c r="C285" s="25">
        <v>45839</v>
      </c>
      <c r="D285" s="24" t="s">
        <v>2663</v>
      </c>
      <c r="E285" s="26">
        <v>0</v>
      </c>
      <c r="F285" s="26">
        <v>0</v>
      </c>
      <c r="G285" s="26">
        <v>0</v>
      </c>
      <c r="H285" s="26">
        <v>0</v>
      </c>
    </row>
    <row r="286" spans="1:8">
      <c r="A286" s="24" t="s">
        <v>133</v>
      </c>
      <c r="B286" s="24" t="s">
        <v>324</v>
      </c>
      <c r="C286" s="25">
        <v>45870</v>
      </c>
      <c r="D286" s="24" t="s">
        <v>2664</v>
      </c>
      <c r="E286" s="26">
        <v>0</v>
      </c>
      <c r="F286" s="26">
        <v>0</v>
      </c>
      <c r="G286" s="26">
        <v>0</v>
      </c>
      <c r="H286" s="26">
        <v>0</v>
      </c>
    </row>
    <row r="287" spans="1:8">
      <c r="A287" s="24" t="s">
        <v>133</v>
      </c>
      <c r="B287" s="24" t="s">
        <v>324</v>
      </c>
      <c r="C287" s="25">
        <v>45901</v>
      </c>
      <c r="D287" s="24" t="s">
        <v>2665</v>
      </c>
      <c r="E287" s="26">
        <v>0</v>
      </c>
      <c r="F287" s="26">
        <v>0</v>
      </c>
      <c r="G287" s="26">
        <v>0</v>
      </c>
      <c r="H287" s="26">
        <v>0</v>
      </c>
    </row>
    <row r="288" spans="1:8">
      <c r="A288" s="24" t="s">
        <v>133</v>
      </c>
      <c r="B288" s="24" t="s">
        <v>324</v>
      </c>
      <c r="C288" s="25">
        <v>45931</v>
      </c>
      <c r="D288" s="24" t="s">
        <v>2666</v>
      </c>
      <c r="E288" s="26">
        <v>0</v>
      </c>
      <c r="F288" s="26">
        <v>0</v>
      </c>
      <c r="G288" s="26">
        <v>0</v>
      </c>
      <c r="H288" s="26">
        <v>0</v>
      </c>
    </row>
    <row r="289" spans="1:8">
      <c r="A289" s="24" t="s">
        <v>133</v>
      </c>
      <c r="B289" s="24" t="s">
        <v>324</v>
      </c>
      <c r="C289" s="25">
        <v>45962</v>
      </c>
      <c r="D289" s="24" t="s">
        <v>2667</v>
      </c>
      <c r="E289" s="26">
        <v>0</v>
      </c>
      <c r="F289" s="26">
        <v>188850.56</v>
      </c>
      <c r="G289" s="26">
        <v>-188850.56</v>
      </c>
      <c r="H289" s="26">
        <v>-188850.56</v>
      </c>
    </row>
    <row r="290" spans="1:8">
      <c r="A290" s="24" t="s">
        <v>133</v>
      </c>
      <c r="B290" s="24" t="s">
        <v>324</v>
      </c>
      <c r="C290" s="25">
        <v>45992</v>
      </c>
      <c r="D290" s="24" t="s">
        <v>2668</v>
      </c>
      <c r="E290" s="26">
        <v>0</v>
      </c>
      <c r="F290" s="26">
        <v>71346.679999999993</v>
      </c>
      <c r="G290" s="26">
        <v>-71346.679999999993</v>
      </c>
      <c r="H290" s="26">
        <v>-260197.24</v>
      </c>
    </row>
    <row r="291" spans="1:8">
      <c r="A291" s="24" t="s">
        <v>202</v>
      </c>
      <c r="B291" s="24" t="s">
        <v>329</v>
      </c>
      <c r="C291" s="25">
        <v>45658</v>
      </c>
      <c r="D291" s="24" t="s">
        <v>2657</v>
      </c>
      <c r="E291" s="26">
        <v>0</v>
      </c>
      <c r="F291" s="26">
        <v>0</v>
      </c>
      <c r="G291" s="26">
        <v>0</v>
      </c>
      <c r="H291" s="26">
        <v>0</v>
      </c>
    </row>
    <row r="292" spans="1:8">
      <c r="A292" s="24" t="s">
        <v>202</v>
      </c>
      <c r="B292" s="24" t="s">
        <v>329</v>
      </c>
      <c r="C292" s="25">
        <v>45689</v>
      </c>
      <c r="D292" s="24" t="s">
        <v>2658</v>
      </c>
      <c r="E292" s="26">
        <v>0</v>
      </c>
      <c r="F292" s="26">
        <v>0</v>
      </c>
      <c r="G292" s="26">
        <v>0</v>
      </c>
      <c r="H292" s="26">
        <v>0</v>
      </c>
    </row>
    <row r="293" spans="1:8">
      <c r="A293" s="24" t="s">
        <v>202</v>
      </c>
      <c r="B293" s="24" t="s">
        <v>329</v>
      </c>
      <c r="C293" s="25">
        <v>45717</v>
      </c>
      <c r="D293" s="24" t="s">
        <v>2659</v>
      </c>
      <c r="E293" s="26">
        <v>0</v>
      </c>
      <c r="F293" s="26">
        <v>0</v>
      </c>
      <c r="G293" s="26">
        <v>0</v>
      </c>
      <c r="H293" s="26">
        <v>0</v>
      </c>
    </row>
    <row r="294" spans="1:8">
      <c r="A294" s="24" t="s">
        <v>202</v>
      </c>
      <c r="B294" s="24" t="s">
        <v>329</v>
      </c>
      <c r="C294" s="25">
        <v>45748</v>
      </c>
      <c r="D294" s="24" t="s">
        <v>2660</v>
      </c>
      <c r="E294" s="26">
        <v>0</v>
      </c>
      <c r="F294" s="26">
        <v>0</v>
      </c>
      <c r="G294" s="26">
        <v>0</v>
      </c>
      <c r="H294" s="26">
        <v>0</v>
      </c>
    </row>
    <row r="295" spans="1:8">
      <c r="A295" s="24" t="s">
        <v>202</v>
      </c>
      <c r="B295" s="24" t="s">
        <v>329</v>
      </c>
      <c r="C295" s="25">
        <v>45778</v>
      </c>
      <c r="D295" s="24" t="s">
        <v>2661</v>
      </c>
      <c r="E295" s="26">
        <v>0</v>
      </c>
      <c r="F295" s="26">
        <v>0</v>
      </c>
      <c r="G295" s="26">
        <v>0</v>
      </c>
      <c r="H295" s="26">
        <v>0</v>
      </c>
    </row>
    <row r="296" spans="1:8">
      <c r="A296" s="24" t="s">
        <v>202</v>
      </c>
      <c r="B296" s="24" t="s">
        <v>329</v>
      </c>
      <c r="C296" s="25">
        <v>45809</v>
      </c>
      <c r="D296" s="24" t="s">
        <v>2662</v>
      </c>
      <c r="E296" s="26">
        <v>0</v>
      </c>
      <c r="F296" s="26">
        <v>0</v>
      </c>
      <c r="G296" s="26">
        <v>0</v>
      </c>
      <c r="H296" s="26">
        <v>0</v>
      </c>
    </row>
    <row r="297" spans="1:8">
      <c r="A297" s="24" t="s">
        <v>202</v>
      </c>
      <c r="B297" s="24" t="s">
        <v>329</v>
      </c>
      <c r="C297" s="25">
        <v>45839</v>
      </c>
      <c r="D297" s="24" t="s">
        <v>2663</v>
      </c>
      <c r="E297" s="26">
        <v>0</v>
      </c>
      <c r="F297" s="26">
        <v>0</v>
      </c>
      <c r="G297" s="26">
        <v>0</v>
      </c>
      <c r="H297" s="26">
        <v>0</v>
      </c>
    </row>
    <row r="298" spans="1:8">
      <c r="A298" s="24" t="s">
        <v>202</v>
      </c>
      <c r="B298" s="24" t="s">
        <v>329</v>
      </c>
      <c r="C298" s="25">
        <v>45870</v>
      </c>
      <c r="D298" s="24" t="s">
        <v>2664</v>
      </c>
      <c r="E298" s="26">
        <v>0</v>
      </c>
      <c r="F298" s="26">
        <v>0</v>
      </c>
      <c r="G298" s="26">
        <v>0</v>
      </c>
      <c r="H298" s="26">
        <v>0</v>
      </c>
    </row>
    <row r="299" spans="1:8">
      <c r="A299" s="24" t="s">
        <v>202</v>
      </c>
      <c r="B299" s="24" t="s">
        <v>329</v>
      </c>
      <c r="C299" s="25">
        <v>45901</v>
      </c>
      <c r="D299" s="24" t="s">
        <v>2665</v>
      </c>
      <c r="E299" s="26">
        <v>0</v>
      </c>
      <c r="F299" s="26">
        <v>0</v>
      </c>
      <c r="G299" s="26">
        <v>0</v>
      </c>
      <c r="H299" s="26">
        <v>0</v>
      </c>
    </row>
    <row r="300" spans="1:8">
      <c r="A300" s="24" t="s">
        <v>202</v>
      </c>
      <c r="B300" s="24" t="s">
        <v>329</v>
      </c>
      <c r="C300" s="25">
        <v>45931</v>
      </c>
      <c r="D300" s="24" t="s">
        <v>2666</v>
      </c>
      <c r="E300" s="26">
        <v>0</v>
      </c>
      <c r="F300" s="26">
        <v>0</v>
      </c>
      <c r="G300" s="26">
        <v>0</v>
      </c>
      <c r="H300" s="26">
        <v>0</v>
      </c>
    </row>
    <row r="301" spans="1:8">
      <c r="A301" s="24" t="s">
        <v>202</v>
      </c>
      <c r="B301" s="24" t="s">
        <v>329</v>
      </c>
      <c r="C301" s="25">
        <v>45962</v>
      </c>
      <c r="D301" s="24" t="s">
        <v>2667</v>
      </c>
      <c r="E301" s="26">
        <v>0</v>
      </c>
      <c r="F301" s="26">
        <v>0</v>
      </c>
      <c r="G301" s="26">
        <v>0</v>
      </c>
      <c r="H301" s="26">
        <v>0</v>
      </c>
    </row>
    <row r="302" spans="1:8">
      <c r="A302" s="24" t="s">
        <v>202</v>
      </c>
      <c r="B302" s="24" t="s">
        <v>329</v>
      </c>
      <c r="C302" s="25">
        <v>45992</v>
      </c>
      <c r="D302" s="24" t="s">
        <v>2668</v>
      </c>
      <c r="E302" s="26">
        <v>0</v>
      </c>
      <c r="F302" s="26">
        <v>0</v>
      </c>
      <c r="G302" s="26">
        <v>0</v>
      </c>
      <c r="H302" s="26">
        <v>0</v>
      </c>
    </row>
    <row r="303" spans="1:8">
      <c r="A303" s="24" t="s">
        <v>32</v>
      </c>
      <c r="B303" s="24" t="s">
        <v>345</v>
      </c>
      <c r="C303" s="25">
        <v>45658</v>
      </c>
      <c r="D303" s="24" t="s">
        <v>2657</v>
      </c>
      <c r="E303" s="26">
        <v>0</v>
      </c>
      <c r="F303" s="26">
        <v>0</v>
      </c>
      <c r="G303" s="26">
        <v>0</v>
      </c>
      <c r="H303" s="26">
        <v>0</v>
      </c>
    </row>
    <row r="304" spans="1:8">
      <c r="A304" s="24" t="s">
        <v>32</v>
      </c>
      <c r="B304" s="24" t="s">
        <v>345</v>
      </c>
      <c r="C304" s="25">
        <v>45689</v>
      </c>
      <c r="D304" s="24" t="s">
        <v>2658</v>
      </c>
      <c r="E304" s="26">
        <v>0</v>
      </c>
      <c r="F304" s="26">
        <v>0</v>
      </c>
      <c r="G304" s="26">
        <v>0</v>
      </c>
      <c r="H304" s="26">
        <v>0</v>
      </c>
    </row>
    <row r="305" spans="1:8">
      <c r="A305" s="24" t="s">
        <v>32</v>
      </c>
      <c r="B305" s="24" t="s">
        <v>345</v>
      </c>
      <c r="C305" s="25">
        <v>45717</v>
      </c>
      <c r="D305" s="24" t="s">
        <v>2659</v>
      </c>
      <c r="E305" s="26">
        <v>0</v>
      </c>
      <c r="F305" s="26">
        <v>0</v>
      </c>
      <c r="G305" s="26">
        <v>0</v>
      </c>
      <c r="H305" s="26">
        <v>0</v>
      </c>
    </row>
    <row r="306" spans="1:8">
      <c r="A306" s="24" t="s">
        <v>32</v>
      </c>
      <c r="B306" s="24" t="s">
        <v>345</v>
      </c>
      <c r="C306" s="25">
        <v>45748</v>
      </c>
      <c r="D306" s="24" t="s">
        <v>2660</v>
      </c>
      <c r="E306" s="26">
        <v>0</v>
      </c>
      <c r="F306" s="26">
        <v>0</v>
      </c>
      <c r="G306" s="26">
        <v>0</v>
      </c>
      <c r="H306" s="26">
        <v>0</v>
      </c>
    </row>
    <row r="307" spans="1:8">
      <c r="A307" s="24" t="s">
        <v>32</v>
      </c>
      <c r="B307" s="24" t="s">
        <v>345</v>
      </c>
      <c r="C307" s="25">
        <v>45778</v>
      </c>
      <c r="D307" s="24" t="s">
        <v>2661</v>
      </c>
      <c r="E307" s="26">
        <v>0</v>
      </c>
      <c r="F307" s="26">
        <v>0</v>
      </c>
      <c r="G307" s="26">
        <v>0</v>
      </c>
      <c r="H307" s="26">
        <v>0</v>
      </c>
    </row>
    <row r="308" spans="1:8">
      <c r="A308" s="24" t="s">
        <v>32</v>
      </c>
      <c r="B308" s="24" t="s">
        <v>345</v>
      </c>
      <c r="C308" s="25">
        <v>45809</v>
      </c>
      <c r="D308" s="24" t="s">
        <v>2662</v>
      </c>
      <c r="E308" s="26">
        <v>0</v>
      </c>
      <c r="F308" s="26">
        <v>0</v>
      </c>
      <c r="G308" s="26">
        <v>0</v>
      </c>
      <c r="H308" s="26">
        <v>0</v>
      </c>
    </row>
    <row r="309" spans="1:8">
      <c r="A309" s="24" t="s">
        <v>32</v>
      </c>
      <c r="B309" s="24" t="s">
        <v>345</v>
      </c>
      <c r="C309" s="25">
        <v>45839</v>
      </c>
      <c r="D309" s="24" t="s">
        <v>2663</v>
      </c>
      <c r="E309" s="26">
        <v>0</v>
      </c>
      <c r="F309" s="26">
        <v>0</v>
      </c>
      <c r="G309" s="26">
        <v>0</v>
      </c>
      <c r="H309" s="26">
        <v>0</v>
      </c>
    </row>
    <row r="310" spans="1:8">
      <c r="A310" s="24" t="s">
        <v>32</v>
      </c>
      <c r="B310" s="24" t="s">
        <v>345</v>
      </c>
      <c r="C310" s="25">
        <v>45870</v>
      </c>
      <c r="D310" s="24" t="s">
        <v>2664</v>
      </c>
      <c r="E310" s="26">
        <v>0</v>
      </c>
      <c r="F310" s="26">
        <v>0</v>
      </c>
      <c r="G310" s="26">
        <v>0</v>
      </c>
      <c r="H310" s="26">
        <v>0</v>
      </c>
    </row>
    <row r="311" spans="1:8">
      <c r="A311" s="24" t="s">
        <v>32</v>
      </c>
      <c r="B311" s="24" t="s">
        <v>345</v>
      </c>
      <c r="C311" s="25">
        <v>45901</v>
      </c>
      <c r="D311" s="24" t="s">
        <v>2665</v>
      </c>
      <c r="E311" s="26">
        <v>61286.51</v>
      </c>
      <c r="F311" s="26">
        <v>0</v>
      </c>
      <c r="G311" s="26">
        <v>61286.51</v>
      </c>
      <c r="H311" s="26">
        <v>61286.51</v>
      </c>
    </row>
    <row r="312" spans="1:8">
      <c r="A312" s="24" t="s">
        <v>32</v>
      </c>
      <c r="B312" s="24" t="s">
        <v>345</v>
      </c>
      <c r="C312" s="25">
        <v>45931</v>
      </c>
      <c r="D312" s="24" t="s">
        <v>2666</v>
      </c>
      <c r="E312" s="26">
        <v>0</v>
      </c>
      <c r="F312" s="26">
        <v>0</v>
      </c>
      <c r="G312" s="26">
        <v>0</v>
      </c>
      <c r="H312" s="26">
        <v>61286.51</v>
      </c>
    </row>
    <row r="313" spans="1:8">
      <c r="A313" s="24" t="s">
        <v>32</v>
      </c>
      <c r="B313" s="24" t="s">
        <v>345</v>
      </c>
      <c r="C313" s="25">
        <v>45962</v>
      </c>
      <c r="D313" s="24" t="s">
        <v>2667</v>
      </c>
      <c r="E313" s="26">
        <v>0</v>
      </c>
      <c r="F313" s="26">
        <v>0</v>
      </c>
      <c r="G313" s="26">
        <v>0</v>
      </c>
      <c r="H313" s="26">
        <v>61286.51</v>
      </c>
    </row>
    <row r="314" spans="1:8">
      <c r="A314" s="24" t="s">
        <v>32</v>
      </c>
      <c r="B314" s="24" t="s">
        <v>345</v>
      </c>
      <c r="C314" s="25">
        <v>45992</v>
      </c>
      <c r="D314" s="24" t="s">
        <v>2668</v>
      </c>
      <c r="E314" s="26">
        <v>75746.570000000007</v>
      </c>
      <c r="F314" s="26">
        <v>0</v>
      </c>
      <c r="G314" s="26">
        <v>75746.570000000007</v>
      </c>
      <c r="H314" s="26">
        <v>137033.07999999999</v>
      </c>
    </row>
    <row r="315" spans="1:8">
      <c r="A315" s="24" t="s">
        <v>192</v>
      </c>
      <c r="B315" s="24" t="s">
        <v>337</v>
      </c>
      <c r="C315" s="25">
        <v>45658</v>
      </c>
      <c r="D315" s="24" t="s">
        <v>2657</v>
      </c>
      <c r="E315" s="26">
        <v>0</v>
      </c>
      <c r="F315" s="26">
        <v>0</v>
      </c>
      <c r="G315" s="26">
        <v>0</v>
      </c>
      <c r="H315" s="26">
        <v>0</v>
      </c>
    </row>
    <row r="316" spans="1:8">
      <c r="A316" s="24" t="s">
        <v>192</v>
      </c>
      <c r="B316" s="24" t="s">
        <v>337</v>
      </c>
      <c r="C316" s="25">
        <v>45689</v>
      </c>
      <c r="D316" s="24" t="s">
        <v>2658</v>
      </c>
      <c r="E316" s="26">
        <v>0</v>
      </c>
      <c r="F316" s="26">
        <v>0</v>
      </c>
      <c r="G316" s="26">
        <v>0</v>
      </c>
      <c r="H316" s="26">
        <v>0</v>
      </c>
    </row>
    <row r="317" spans="1:8">
      <c r="A317" s="24" t="s">
        <v>192</v>
      </c>
      <c r="B317" s="24" t="s">
        <v>337</v>
      </c>
      <c r="C317" s="25">
        <v>45717</v>
      </c>
      <c r="D317" s="24" t="s">
        <v>2659</v>
      </c>
      <c r="E317" s="26">
        <v>0</v>
      </c>
      <c r="F317" s="26">
        <v>0</v>
      </c>
      <c r="G317" s="26">
        <v>0</v>
      </c>
      <c r="H317" s="26">
        <v>0</v>
      </c>
    </row>
    <row r="318" spans="1:8">
      <c r="A318" s="24" t="s">
        <v>192</v>
      </c>
      <c r="B318" s="24" t="s">
        <v>337</v>
      </c>
      <c r="C318" s="25">
        <v>45748</v>
      </c>
      <c r="D318" s="24" t="s">
        <v>2660</v>
      </c>
      <c r="E318" s="26">
        <v>0</v>
      </c>
      <c r="F318" s="26">
        <v>0</v>
      </c>
      <c r="G318" s="26">
        <v>0</v>
      </c>
      <c r="H318" s="26">
        <v>0</v>
      </c>
    </row>
    <row r="319" spans="1:8">
      <c r="A319" s="24" t="s">
        <v>192</v>
      </c>
      <c r="B319" s="24" t="s">
        <v>337</v>
      </c>
      <c r="C319" s="25">
        <v>45778</v>
      </c>
      <c r="D319" s="24" t="s">
        <v>2661</v>
      </c>
      <c r="E319" s="26">
        <v>0</v>
      </c>
      <c r="F319" s="26">
        <v>0</v>
      </c>
      <c r="G319" s="26">
        <v>0</v>
      </c>
      <c r="H319" s="26">
        <v>0</v>
      </c>
    </row>
    <row r="320" spans="1:8">
      <c r="A320" s="24" t="s">
        <v>192</v>
      </c>
      <c r="B320" s="24" t="s">
        <v>337</v>
      </c>
      <c r="C320" s="25">
        <v>45809</v>
      </c>
      <c r="D320" s="24" t="s">
        <v>2662</v>
      </c>
      <c r="E320" s="26">
        <v>0</v>
      </c>
      <c r="F320" s="26">
        <v>0</v>
      </c>
      <c r="G320" s="26">
        <v>0</v>
      </c>
      <c r="H320" s="26">
        <v>0</v>
      </c>
    </row>
    <row r="321" spans="1:8">
      <c r="A321" s="24" t="s">
        <v>192</v>
      </c>
      <c r="B321" s="24" t="s">
        <v>337</v>
      </c>
      <c r="C321" s="25">
        <v>45839</v>
      </c>
      <c r="D321" s="24" t="s">
        <v>2663</v>
      </c>
      <c r="E321" s="26">
        <v>0</v>
      </c>
      <c r="F321" s="26">
        <v>0</v>
      </c>
      <c r="G321" s="26">
        <v>0</v>
      </c>
      <c r="H321" s="26">
        <v>0</v>
      </c>
    </row>
    <row r="322" spans="1:8">
      <c r="A322" s="24" t="s">
        <v>192</v>
      </c>
      <c r="B322" s="24" t="s">
        <v>337</v>
      </c>
      <c r="C322" s="25">
        <v>45870</v>
      </c>
      <c r="D322" s="24" t="s">
        <v>2664</v>
      </c>
      <c r="E322" s="26">
        <v>0</v>
      </c>
      <c r="F322" s="26">
        <v>0</v>
      </c>
      <c r="G322" s="26">
        <v>0</v>
      </c>
      <c r="H322" s="26">
        <v>0</v>
      </c>
    </row>
    <row r="323" spans="1:8">
      <c r="A323" s="24" t="s">
        <v>192</v>
      </c>
      <c r="B323" s="24" t="s">
        <v>337</v>
      </c>
      <c r="C323" s="25">
        <v>45901</v>
      </c>
      <c r="D323" s="24" t="s">
        <v>2665</v>
      </c>
      <c r="E323" s="26">
        <v>0</v>
      </c>
      <c r="F323" s="26">
        <v>13332.18</v>
      </c>
      <c r="G323" s="26">
        <v>-13332.18</v>
      </c>
      <c r="H323" s="26">
        <v>-13332.18</v>
      </c>
    </row>
    <row r="324" spans="1:8">
      <c r="A324" s="24" t="s">
        <v>192</v>
      </c>
      <c r="B324" s="24" t="s">
        <v>337</v>
      </c>
      <c r="C324" s="25">
        <v>45931</v>
      </c>
      <c r="D324" s="24" t="s">
        <v>2666</v>
      </c>
      <c r="E324" s="26">
        <v>0</v>
      </c>
      <c r="F324" s="26">
        <v>11873.81</v>
      </c>
      <c r="G324" s="26">
        <v>-11873.81</v>
      </c>
      <c r="H324" s="26">
        <v>-25205.99</v>
      </c>
    </row>
    <row r="325" spans="1:8">
      <c r="A325" s="24" t="s">
        <v>192</v>
      </c>
      <c r="B325" s="24" t="s">
        <v>337</v>
      </c>
      <c r="C325" s="25">
        <v>45962</v>
      </c>
      <c r="D325" s="24" t="s">
        <v>2667</v>
      </c>
      <c r="E325" s="26">
        <v>0</v>
      </c>
      <c r="F325" s="26">
        <v>49695.21</v>
      </c>
      <c r="G325" s="26">
        <v>-49695.21</v>
      </c>
      <c r="H325" s="26">
        <v>-74901.2</v>
      </c>
    </row>
    <row r="326" spans="1:8">
      <c r="A326" s="24" t="s">
        <v>192</v>
      </c>
      <c r="B326" s="24" t="s">
        <v>337</v>
      </c>
      <c r="C326" s="25">
        <v>45992</v>
      </c>
      <c r="D326" s="24" t="s">
        <v>2668</v>
      </c>
      <c r="E326" s="26">
        <v>46414.85</v>
      </c>
      <c r="F326" s="26">
        <v>0</v>
      </c>
      <c r="G326" s="26">
        <v>46414.85</v>
      </c>
      <c r="H326" s="26">
        <v>-28486.35</v>
      </c>
    </row>
    <row r="327" spans="1:8">
      <c r="A327" s="24" t="s">
        <v>301</v>
      </c>
      <c r="B327" s="24" t="s">
        <v>337</v>
      </c>
      <c r="C327" s="25">
        <v>45658</v>
      </c>
      <c r="D327" s="24" t="s">
        <v>2657</v>
      </c>
      <c r="E327" s="26">
        <v>0</v>
      </c>
      <c r="F327" s="26">
        <v>0</v>
      </c>
      <c r="G327" s="26">
        <v>0</v>
      </c>
      <c r="H327" s="26">
        <v>0</v>
      </c>
    </row>
    <row r="328" spans="1:8">
      <c r="A328" s="24" t="s">
        <v>301</v>
      </c>
      <c r="B328" s="24" t="s">
        <v>337</v>
      </c>
      <c r="C328" s="25">
        <v>45689</v>
      </c>
      <c r="D328" s="24" t="s">
        <v>2658</v>
      </c>
      <c r="E328" s="26">
        <v>0</v>
      </c>
      <c r="F328" s="26">
        <v>0</v>
      </c>
      <c r="G328" s="26">
        <v>0</v>
      </c>
      <c r="H328" s="26">
        <v>0</v>
      </c>
    </row>
    <row r="329" spans="1:8">
      <c r="A329" s="24" t="s">
        <v>301</v>
      </c>
      <c r="B329" s="24" t="s">
        <v>337</v>
      </c>
      <c r="C329" s="25">
        <v>45717</v>
      </c>
      <c r="D329" s="24" t="s">
        <v>2659</v>
      </c>
      <c r="E329" s="26">
        <v>0</v>
      </c>
      <c r="F329" s="26">
        <v>0</v>
      </c>
      <c r="G329" s="26">
        <v>0</v>
      </c>
      <c r="H329" s="26">
        <v>0</v>
      </c>
    </row>
    <row r="330" spans="1:8">
      <c r="A330" s="24" t="s">
        <v>301</v>
      </c>
      <c r="B330" s="24" t="s">
        <v>337</v>
      </c>
      <c r="C330" s="25">
        <v>45748</v>
      </c>
      <c r="D330" s="24" t="s">
        <v>2660</v>
      </c>
      <c r="E330" s="26">
        <v>0</v>
      </c>
      <c r="F330" s="26">
        <v>0</v>
      </c>
      <c r="G330" s="26">
        <v>0</v>
      </c>
      <c r="H330" s="26">
        <v>0</v>
      </c>
    </row>
    <row r="331" spans="1:8">
      <c r="A331" s="24" t="s">
        <v>301</v>
      </c>
      <c r="B331" s="24" t="s">
        <v>337</v>
      </c>
      <c r="C331" s="25">
        <v>45778</v>
      </c>
      <c r="D331" s="24" t="s">
        <v>2661</v>
      </c>
      <c r="E331" s="26">
        <v>0</v>
      </c>
      <c r="F331" s="26">
        <v>0</v>
      </c>
      <c r="G331" s="26">
        <v>0</v>
      </c>
      <c r="H331" s="26">
        <v>0</v>
      </c>
    </row>
    <row r="332" spans="1:8">
      <c r="A332" s="24" t="s">
        <v>301</v>
      </c>
      <c r="B332" s="24" t="s">
        <v>337</v>
      </c>
      <c r="C332" s="25">
        <v>45809</v>
      </c>
      <c r="D332" s="24" t="s">
        <v>2662</v>
      </c>
      <c r="E332" s="26">
        <v>0</v>
      </c>
      <c r="F332" s="26">
        <v>0</v>
      </c>
      <c r="G332" s="26">
        <v>0</v>
      </c>
      <c r="H332" s="26">
        <v>0</v>
      </c>
    </row>
    <row r="333" spans="1:8">
      <c r="A333" s="24" t="s">
        <v>301</v>
      </c>
      <c r="B333" s="24" t="s">
        <v>337</v>
      </c>
      <c r="C333" s="25">
        <v>45839</v>
      </c>
      <c r="D333" s="24" t="s">
        <v>2663</v>
      </c>
      <c r="E333" s="26">
        <v>0</v>
      </c>
      <c r="F333" s="26">
        <v>0</v>
      </c>
      <c r="G333" s="26">
        <v>0</v>
      </c>
      <c r="H333" s="26">
        <v>0</v>
      </c>
    </row>
    <row r="334" spans="1:8">
      <c r="A334" s="24" t="s">
        <v>301</v>
      </c>
      <c r="B334" s="24" t="s">
        <v>337</v>
      </c>
      <c r="C334" s="25">
        <v>45870</v>
      </c>
      <c r="D334" s="24" t="s">
        <v>2664</v>
      </c>
      <c r="E334" s="26">
        <v>0</v>
      </c>
      <c r="F334" s="26">
        <v>0</v>
      </c>
      <c r="G334" s="26">
        <v>0</v>
      </c>
      <c r="H334" s="26">
        <v>0</v>
      </c>
    </row>
    <row r="335" spans="1:8">
      <c r="A335" s="24" t="s">
        <v>301</v>
      </c>
      <c r="B335" s="24" t="s">
        <v>337</v>
      </c>
      <c r="C335" s="25">
        <v>45901</v>
      </c>
      <c r="D335" s="24" t="s">
        <v>2665</v>
      </c>
      <c r="E335" s="26">
        <v>0</v>
      </c>
      <c r="F335" s="26">
        <v>0</v>
      </c>
      <c r="G335" s="26">
        <v>0</v>
      </c>
      <c r="H335" s="26">
        <v>0</v>
      </c>
    </row>
    <row r="336" spans="1:8">
      <c r="A336" s="24" t="s">
        <v>301</v>
      </c>
      <c r="B336" s="24" t="s">
        <v>337</v>
      </c>
      <c r="C336" s="25">
        <v>45931</v>
      </c>
      <c r="D336" s="24" t="s">
        <v>2666</v>
      </c>
      <c r="E336" s="26">
        <v>0</v>
      </c>
      <c r="F336" s="26">
        <v>0</v>
      </c>
      <c r="G336" s="26">
        <v>0</v>
      </c>
      <c r="H336" s="26">
        <v>0</v>
      </c>
    </row>
    <row r="337" spans="1:8">
      <c r="A337" s="24" t="s">
        <v>301</v>
      </c>
      <c r="B337" s="24" t="s">
        <v>337</v>
      </c>
      <c r="C337" s="25">
        <v>45962</v>
      </c>
      <c r="D337" s="24" t="s">
        <v>2667</v>
      </c>
      <c r="E337" s="26">
        <v>0</v>
      </c>
      <c r="F337" s="26">
        <v>0</v>
      </c>
      <c r="G337" s="26">
        <v>0</v>
      </c>
      <c r="H337" s="26">
        <v>0</v>
      </c>
    </row>
    <row r="338" spans="1:8">
      <c r="A338" s="24" t="s">
        <v>301</v>
      </c>
      <c r="B338" s="24" t="s">
        <v>337</v>
      </c>
      <c r="C338" s="25">
        <v>45992</v>
      </c>
      <c r="D338" s="24" t="s">
        <v>2668</v>
      </c>
      <c r="E338" s="26">
        <v>0</v>
      </c>
      <c r="F338" s="26">
        <v>60711.78</v>
      </c>
      <c r="G338" s="26">
        <v>-60711.78</v>
      </c>
      <c r="H338" s="26">
        <v>-60711.78</v>
      </c>
    </row>
    <row r="339" spans="1:8">
      <c r="A339" s="24" t="s">
        <v>235</v>
      </c>
      <c r="B339" s="24" t="s">
        <v>329</v>
      </c>
      <c r="C339" s="25">
        <v>45658</v>
      </c>
      <c r="D339" s="24" t="s">
        <v>2657</v>
      </c>
      <c r="E339" s="26">
        <v>0</v>
      </c>
      <c r="F339" s="26">
        <v>0</v>
      </c>
      <c r="G339" s="26">
        <v>0</v>
      </c>
      <c r="H339" s="26">
        <v>0</v>
      </c>
    </row>
    <row r="340" spans="1:8">
      <c r="A340" s="24" t="s">
        <v>235</v>
      </c>
      <c r="B340" s="24" t="s">
        <v>329</v>
      </c>
      <c r="C340" s="25">
        <v>45689</v>
      </c>
      <c r="D340" s="24" t="s">
        <v>2658</v>
      </c>
      <c r="E340" s="26">
        <v>0</v>
      </c>
      <c r="F340" s="26">
        <v>0</v>
      </c>
      <c r="G340" s="26">
        <v>0</v>
      </c>
      <c r="H340" s="26">
        <v>0</v>
      </c>
    </row>
    <row r="341" spans="1:8">
      <c r="A341" s="24" t="s">
        <v>235</v>
      </c>
      <c r="B341" s="24" t="s">
        <v>329</v>
      </c>
      <c r="C341" s="25">
        <v>45717</v>
      </c>
      <c r="D341" s="24" t="s">
        <v>2659</v>
      </c>
      <c r="E341" s="26">
        <v>0</v>
      </c>
      <c r="F341" s="26">
        <v>0</v>
      </c>
      <c r="G341" s="26">
        <v>0</v>
      </c>
      <c r="H341" s="26">
        <v>0</v>
      </c>
    </row>
    <row r="342" spans="1:8">
      <c r="A342" s="24" t="s">
        <v>235</v>
      </c>
      <c r="B342" s="24" t="s">
        <v>329</v>
      </c>
      <c r="C342" s="25">
        <v>45748</v>
      </c>
      <c r="D342" s="24" t="s">
        <v>2660</v>
      </c>
      <c r="E342" s="26">
        <v>0</v>
      </c>
      <c r="F342" s="26">
        <v>0</v>
      </c>
      <c r="G342" s="26">
        <v>0</v>
      </c>
      <c r="H342" s="26">
        <v>0</v>
      </c>
    </row>
    <row r="343" spans="1:8">
      <c r="A343" s="24" t="s">
        <v>235</v>
      </c>
      <c r="B343" s="24" t="s">
        <v>329</v>
      </c>
      <c r="C343" s="25">
        <v>45778</v>
      </c>
      <c r="D343" s="24" t="s">
        <v>2661</v>
      </c>
      <c r="E343" s="26">
        <v>0</v>
      </c>
      <c r="F343" s="26">
        <v>0</v>
      </c>
      <c r="G343" s="26">
        <v>0</v>
      </c>
      <c r="H343" s="26">
        <v>0</v>
      </c>
    </row>
    <row r="344" spans="1:8">
      <c r="A344" s="24" t="s">
        <v>235</v>
      </c>
      <c r="B344" s="24" t="s">
        <v>329</v>
      </c>
      <c r="C344" s="25">
        <v>45809</v>
      </c>
      <c r="D344" s="24" t="s">
        <v>2662</v>
      </c>
      <c r="E344" s="26">
        <v>0</v>
      </c>
      <c r="F344" s="26">
        <v>0</v>
      </c>
      <c r="G344" s="26">
        <v>0</v>
      </c>
      <c r="H344" s="26">
        <v>0</v>
      </c>
    </row>
    <row r="345" spans="1:8">
      <c r="A345" s="24" t="s">
        <v>235</v>
      </c>
      <c r="B345" s="24" t="s">
        <v>329</v>
      </c>
      <c r="C345" s="25">
        <v>45839</v>
      </c>
      <c r="D345" s="24" t="s">
        <v>2663</v>
      </c>
      <c r="E345" s="26">
        <v>0</v>
      </c>
      <c r="F345" s="26">
        <v>0</v>
      </c>
      <c r="G345" s="26">
        <v>0</v>
      </c>
      <c r="H345" s="26">
        <v>0</v>
      </c>
    </row>
    <row r="346" spans="1:8">
      <c r="A346" s="24" t="s">
        <v>235</v>
      </c>
      <c r="B346" s="24" t="s">
        <v>329</v>
      </c>
      <c r="C346" s="25">
        <v>45870</v>
      </c>
      <c r="D346" s="24" t="s">
        <v>2664</v>
      </c>
      <c r="E346" s="26">
        <v>0</v>
      </c>
      <c r="F346" s="26">
        <v>89439.039999999994</v>
      </c>
      <c r="G346" s="26">
        <v>-89439.039999999994</v>
      </c>
      <c r="H346" s="26">
        <v>-89439.039999999994</v>
      </c>
    </row>
    <row r="347" spans="1:8">
      <c r="A347" s="24" t="s">
        <v>235</v>
      </c>
      <c r="B347" s="24" t="s">
        <v>329</v>
      </c>
      <c r="C347" s="25">
        <v>45901</v>
      </c>
      <c r="D347" s="24" t="s">
        <v>2665</v>
      </c>
      <c r="E347" s="26">
        <v>0</v>
      </c>
      <c r="F347" s="26">
        <v>0</v>
      </c>
      <c r="G347" s="26">
        <v>0</v>
      </c>
      <c r="H347" s="26">
        <v>-89439.039999999994</v>
      </c>
    </row>
    <row r="348" spans="1:8">
      <c r="A348" s="24" t="s">
        <v>235</v>
      </c>
      <c r="B348" s="24" t="s">
        <v>329</v>
      </c>
      <c r="C348" s="25">
        <v>45931</v>
      </c>
      <c r="D348" s="24" t="s">
        <v>2666</v>
      </c>
      <c r="E348" s="26">
        <v>0</v>
      </c>
      <c r="F348" s="26">
        <v>92373.43</v>
      </c>
      <c r="G348" s="26">
        <v>-92373.43</v>
      </c>
      <c r="H348" s="26">
        <v>-181812.47</v>
      </c>
    </row>
    <row r="349" spans="1:8">
      <c r="A349" s="24" t="s">
        <v>235</v>
      </c>
      <c r="B349" s="24" t="s">
        <v>329</v>
      </c>
      <c r="C349" s="25">
        <v>45962</v>
      </c>
      <c r="D349" s="24" t="s">
        <v>2667</v>
      </c>
      <c r="E349" s="26">
        <v>0</v>
      </c>
      <c r="F349" s="26">
        <v>17712.400000000001</v>
      </c>
      <c r="G349" s="26">
        <v>-17712.400000000001</v>
      </c>
      <c r="H349" s="26">
        <v>-199524.87</v>
      </c>
    </row>
    <row r="350" spans="1:8">
      <c r="A350" s="24" t="s">
        <v>235</v>
      </c>
      <c r="B350" s="24" t="s">
        <v>329</v>
      </c>
      <c r="C350" s="25">
        <v>45992</v>
      </c>
      <c r="D350" s="24" t="s">
        <v>2668</v>
      </c>
      <c r="E350" s="26">
        <v>0</v>
      </c>
      <c r="F350" s="26">
        <v>0</v>
      </c>
      <c r="G350" s="26">
        <v>0</v>
      </c>
      <c r="H350" s="26">
        <v>-199524.87</v>
      </c>
    </row>
    <row r="351" spans="1:8">
      <c r="A351" s="24" t="s">
        <v>80</v>
      </c>
      <c r="B351" s="24" t="s">
        <v>345</v>
      </c>
      <c r="C351" s="25">
        <v>45658</v>
      </c>
      <c r="D351" s="24" t="s">
        <v>2657</v>
      </c>
      <c r="E351" s="26">
        <v>0</v>
      </c>
      <c r="F351" s="26">
        <v>0</v>
      </c>
      <c r="G351" s="26">
        <v>0</v>
      </c>
      <c r="H351" s="26">
        <v>0</v>
      </c>
    </row>
    <row r="352" spans="1:8">
      <c r="A352" s="24" t="s">
        <v>80</v>
      </c>
      <c r="B352" s="24" t="s">
        <v>345</v>
      </c>
      <c r="C352" s="25">
        <v>45689</v>
      </c>
      <c r="D352" s="24" t="s">
        <v>2658</v>
      </c>
      <c r="E352" s="26">
        <v>0</v>
      </c>
      <c r="F352" s="26">
        <v>0</v>
      </c>
      <c r="G352" s="26">
        <v>0</v>
      </c>
      <c r="H352" s="26">
        <v>0</v>
      </c>
    </row>
    <row r="353" spans="1:8">
      <c r="A353" s="24" t="s">
        <v>80</v>
      </c>
      <c r="B353" s="24" t="s">
        <v>345</v>
      </c>
      <c r="C353" s="25">
        <v>45717</v>
      </c>
      <c r="D353" s="24" t="s">
        <v>2659</v>
      </c>
      <c r="E353" s="26">
        <v>0</v>
      </c>
      <c r="F353" s="26">
        <v>0</v>
      </c>
      <c r="G353" s="26">
        <v>0</v>
      </c>
      <c r="H353" s="26">
        <v>0</v>
      </c>
    </row>
    <row r="354" spans="1:8">
      <c r="A354" s="24" t="s">
        <v>80</v>
      </c>
      <c r="B354" s="24" t="s">
        <v>345</v>
      </c>
      <c r="C354" s="25">
        <v>45748</v>
      </c>
      <c r="D354" s="24" t="s">
        <v>2660</v>
      </c>
      <c r="E354" s="26">
        <v>0</v>
      </c>
      <c r="F354" s="26">
        <v>0</v>
      </c>
      <c r="G354" s="26">
        <v>0</v>
      </c>
      <c r="H354" s="26">
        <v>0</v>
      </c>
    </row>
    <row r="355" spans="1:8">
      <c r="A355" s="24" t="s">
        <v>80</v>
      </c>
      <c r="B355" s="24" t="s">
        <v>345</v>
      </c>
      <c r="C355" s="25">
        <v>45778</v>
      </c>
      <c r="D355" s="24" t="s">
        <v>2661</v>
      </c>
      <c r="E355" s="26">
        <v>0</v>
      </c>
      <c r="F355" s="26">
        <v>0</v>
      </c>
      <c r="G355" s="26">
        <v>0</v>
      </c>
      <c r="H355" s="26">
        <v>0</v>
      </c>
    </row>
    <row r="356" spans="1:8">
      <c r="A356" s="24" t="s">
        <v>80</v>
      </c>
      <c r="B356" s="24" t="s">
        <v>345</v>
      </c>
      <c r="C356" s="25">
        <v>45809</v>
      </c>
      <c r="D356" s="24" t="s">
        <v>2662</v>
      </c>
      <c r="E356" s="26">
        <v>0</v>
      </c>
      <c r="F356" s="26">
        <v>0</v>
      </c>
      <c r="G356" s="26">
        <v>0</v>
      </c>
      <c r="H356" s="26">
        <v>0</v>
      </c>
    </row>
    <row r="357" spans="1:8">
      <c r="A357" s="24" t="s">
        <v>80</v>
      </c>
      <c r="B357" s="24" t="s">
        <v>345</v>
      </c>
      <c r="C357" s="25">
        <v>45839</v>
      </c>
      <c r="D357" s="24" t="s">
        <v>2663</v>
      </c>
      <c r="E357" s="26">
        <v>0</v>
      </c>
      <c r="F357" s="26">
        <v>0</v>
      </c>
      <c r="G357" s="26">
        <v>0</v>
      </c>
      <c r="H357" s="26">
        <v>0</v>
      </c>
    </row>
    <row r="358" spans="1:8">
      <c r="A358" s="24" t="s">
        <v>80</v>
      </c>
      <c r="B358" s="24" t="s">
        <v>345</v>
      </c>
      <c r="C358" s="25">
        <v>45870</v>
      </c>
      <c r="D358" s="24" t="s">
        <v>2664</v>
      </c>
      <c r="E358" s="26">
        <v>0</v>
      </c>
      <c r="F358" s="26">
        <v>0</v>
      </c>
      <c r="G358" s="26">
        <v>0</v>
      </c>
      <c r="H358" s="26">
        <v>0</v>
      </c>
    </row>
    <row r="359" spans="1:8">
      <c r="A359" s="24" t="s">
        <v>80</v>
      </c>
      <c r="B359" s="24" t="s">
        <v>345</v>
      </c>
      <c r="C359" s="25">
        <v>45901</v>
      </c>
      <c r="D359" s="24" t="s">
        <v>2665</v>
      </c>
      <c r="E359" s="26">
        <v>0</v>
      </c>
      <c r="F359" s="26">
        <v>0</v>
      </c>
      <c r="G359" s="26">
        <v>0</v>
      </c>
      <c r="H359" s="26">
        <v>0</v>
      </c>
    </row>
    <row r="360" spans="1:8">
      <c r="A360" s="24" t="s">
        <v>80</v>
      </c>
      <c r="B360" s="24" t="s">
        <v>345</v>
      </c>
      <c r="C360" s="25">
        <v>45931</v>
      </c>
      <c r="D360" s="24" t="s">
        <v>2666</v>
      </c>
      <c r="E360" s="26">
        <v>0</v>
      </c>
      <c r="F360" s="26">
        <v>0</v>
      </c>
      <c r="G360" s="26">
        <v>0</v>
      </c>
      <c r="H360" s="26">
        <v>0</v>
      </c>
    </row>
    <row r="361" spans="1:8">
      <c r="A361" s="24" t="s">
        <v>80</v>
      </c>
      <c r="B361" s="24" t="s">
        <v>345</v>
      </c>
      <c r="C361" s="25">
        <v>45962</v>
      </c>
      <c r="D361" s="24" t="s">
        <v>2667</v>
      </c>
      <c r="E361" s="26">
        <v>25274.03</v>
      </c>
      <c r="F361" s="26">
        <v>0</v>
      </c>
      <c r="G361" s="26">
        <v>25274.03</v>
      </c>
      <c r="H361" s="26">
        <v>25274.03</v>
      </c>
    </row>
    <row r="362" spans="1:8">
      <c r="A362" s="24" t="s">
        <v>80</v>
      </c>
      <c r="B362" s="24" t="s">
        <v>345</v>
      </c>
      <c r="C362" s="25">
        <v>45992</v>
      </c>
      <c r="D362" s="24" t="s">
        <v>2668</v>
      </c>
      <c r="E362" s="26">
        <v>0</v>
      </c>
      <c r="F362" s="26">
        <v>0</v>
      </c>
      <c r="G362" s="26">
        <v>0</v>
      </c>
      <c r="H362" s="26">
        <v>25274.03</v>
      </c>
    </row>
    <row r="363" spans="1:8">
      <c r="A363" s="24" t="s">
        <v>123</v>
      </c>
      <c r="B363" s="24" t="s">
        <v>329</v>
      </c>
      <c r="C363" s="25">
        <v>45658</v>
      </c>
      <c r="D363" s="24" t="s">
        <v>2657</v>
      </c>
      <c r="E363" s="26">
        <v>0</v>
      </c>
      <c r="F363" s="26">
        <v>0</v>
      </c>
      <c r="G363" s="26">
        <v>0</v>
      </c>
      <c r="H363" s="26">
        <v>0</v>
      </c>
    </row>
    <row r="364" spans="1:8">
      <c r="A364" s="24" t="s">
        <v>123</v>
      </c>
      <c r="B364" s="24" t="s">
        <v>329</v>
      </c>
      <c r="C364" s="25">
        <v>45689</v>
      </c>
      <c r="D364" s="24" t="s">
        <v>2658</v>
      </c>
      <c r="E364" s="26">
        <v>0</v>
      </c>
      <c r="F364" s="26">
        <v>0</v>
      </c>
      <c r="G364" s="26">
        <v>0</v>
      </c>
      <c r="H364" s="26">
        <v>0</v>
      </c>
    </row>
    <row r="365" spans="1:8">
      <c r="A365" s="24" t="s">
        <v>123</v>
      </c>
      <c r="B365" s="24" t="s">
        <v>329</v>
      </c>
      <c r="C365" s="25">
        <v>45717</v>
      </c>
      <c r="D365" s="24" t="s">
        <v>2659</v>
      </c>
      <c r="E365" s="26">
        <v>0</v>
      </c>
      <c r="F365" s="26">
        <v>0</v>
      </c>
      <c r="G365" s="26">
        <v>0</v>
      </c>
      <c r="H365" s="26">
        <v>0</v>
      </c>
    </row>
    <row r="366" spans="1:8">
      <c r="A366" s="24" t="s">
        <v>123</v>
      </c>
      <c r="B366" s="24" t="s">
        <v>329</v>
      </c>
      <c r="C366" s="25">
        <v>45748</v>
      </c>
      <c r="D366" s="24" t="s">
        <v>2660</v>
      </c>
      <c r="E366" s="26">
        <v>0</v>
      </c>
      <c r="F366" s="26">
        <v>0</v>
      </c>
      <c r="G366" s="26">
        <v>0</v>
      </c>
      <c r="H366" s="26">
        <v>0</v>
      </c>
    </row>
    <row r="367" spans="1:8">
      <c r="A367" s="24" t="s">
        <v>123</v>
      </c>
      <c r="B367" s="24" t="s">
        <v>329</v>
      </c>
      <c r="C367" s="25">
        <v>45778</v>
      </c>
      <c r="D367" s="24" t="s">
        <v>2661</v>
      </c>
      <c r="E367" s="26">
        <v>0</v>
      </c>
      <c r="F367" s="26">
        <v>0</v>
      </c>
      <c r="G367" s="26">
        <v>0</v>
      </c>
      <c r="H367" s="26">
        <v>0</v>
      </c>
    </row>
    <row r="368" spans="1:8">
      <c r="A368" s="24" t="s">
        <v>123</v>
      </c>
      <c r="B368" s="24" t="s">
        <v>329</v>
      </c>
      <c r="C368" s="25">
        <v>45809</v>
      </c>
      <c r="D368" s="24" t="s">
        <v>2662</v>
      </c>
      <c r="E368" s="26">
        <v>0</v>
      </c>
      <c r="F368" s="26">
        <v>0</v>
      </c>
      <c r="G368" s="26">
        <v>0</v>
      </c>
      <c r="H368" s="26">
        <v>0</v>
      </c>
    </row>
    <row r="369" spans="1:8">
      <c r="A369" s="24" t="s">
        <v>123</v>
      </c>
      <c r="B369" s="24" t="s">
        <v>329</v>
      </c>
      <c r="C369" s="25">
        <v>45839</v>
      </c>
      <c r="D369" s="24" t="s">
        <v>2663</v>
      </c>
      <c r="E369" s="26">
        <v>0</v>
      </c>
      <c r="F369" s="26">
        <v>0</v>
      </c>
      <c r="G369" s="26">
        <v>0</v>
      </c>
      <c r="H369" s="26">
        <v>0</v>
      </c>
    </row>
    <row r="370" spans="1:8">
      <c r="A370" s="24" t="s">
        <v>123</v>
      </c>
      <c r="B370" s="24" t="s">
        <v>329</v>
      </c>
      <c r="C370" s="25">
        <v>45870</v>
      </c>
      <c r="D370" s="24" t="s">
        <v>2664</v>
      </c>
      <c r="E370" s="26">
        <v>0</v>
      </c>
      <c r="F370" s="26">
        <v>0</v>
      </c>
      <c r="G370" s="26">
        <v>0</v>
      </c>
      <c r="H370" s="26">
        <v>0</v>
      </c>
    </row>
    <row r="371" spans="1:8">
      <c r="A371" s="24" t="s">
        <v>123</v>
      </c>
      <c r="B371" s="24" t="s">
        <v>329</v>
      </c>
      <c r="C371" s="25">
        <v>45901</v>
      </c>
      <c r="D371" s="24" t="s">
        <v>2665</v>
      </c>
      <c r="E371" s="26">
        <v>0</v>
      </c>
      <c r="F371" s="26">
        <v>0</v>
      </c>
      <c r="G371" s="26">
        <v>0</v>
      </c>
      <c r="H371" s="26">
        <v>0</v>
      </c>
    </row>
    <row r="372" spans="1:8">
      <c r="A372" s="24" t="s">
        <v>123</v>
      </c>
      <c r="B372" s="24" t="s">
        <v>329</v>
      </c>
      <c r="C372" s="25">
        <v>45931</v>
      </c>
      <c r="D372" s="24" t="s">
        <v>2666</v>
      </c>
      <c r="E372" s="26">
        <v>0</v>
      </c>
      <c r="F372" s="26">
        <v>0</v>
      </c>
      <c r="G372" s="26">
        <v>0</v>
      </c>
      <c r="H372" s="26">
        <v>0</v>
      </c>
    </row>
    <row r="373" spans="1:8">
      <c r="A373" s="24" t="s">
        <v>123</v>
      </c>
      <c r="B373" s="24" t="s">
        <v>329</v>
      </c>
      <c r="C373" s="25">
        <v>45962</v>
      </c>
      <c r="D373" s="24" t="s">
        <v>2667</v>
      </c>
      <c r="E373" s="26">
        <v>0</v>
      </c>
      <c r="F373" s="26">
        <v>0</v>
      </c>
      <c r="G373" s="26">
        <v>0</v>
      </c>
      <c r="H373" s="26">
        <v>0</v>
      </c>
    </row>
    <row r="374" spans="1:8">
      <c r="A374" s="24" t="s">
        <v>123</v>
      </c>
      <c r="B374" s="24" t="s">
        <v>329</v>
      </c>
      <c r="C374" s="25">
        <v>45992</v>
      </c>
      <c r="D374" s="24" t="s">
        <v>2668</v>
      </c>
      <c r="E374" s="26">
        <v>0</v>
      </c>
      <c r="F374" s="26">
        <v>0</v>
      </c>
      <c r="G374" s="26">
        <v>0</v>
      </c>
      <c r="H374" s="26">
        <v>0</v>
      </c>
    </row>
    <row r="375" spans="1:8">
      <c r="A375" s="24" t="s">
        <v>186</v>
      </c>
      <c r="B375" s="24" t="s">
        <v>329</v>
      </c>
      <c r="C375" s="25">
        <v>45658</v>
      </c>
      <c r="D375" s="24" t="s">
        <v>2657</v>
      </c>
      <c r="E375" s="26">
        <v>0</v>
      </c>
      <c r="F375" s="26">
        <v>0</v>
      </c>
      <c r="G375" s="26">
        <v>0</v>
      </c>
      <c r="H375" s="26">
        <v>0</v>
      </c>
    </row>
    <row r="376" spans="1:8">
      <c r="A376" s="24" t="s">
        <v>186</v>
      </c>
      <c r="B376" s="24" t="s">
        <v>329</v>
      </c>
      <c r="C376" s="25">
        <v>45689</v>
      </c>
      <c r="D376" s="24" t="s">
        <v>2658</v>
      </c>
      <c r="E376" s="26">
        <v>0</v>
      </c>
      <c r="F376" s="26">
        <v>0</v>
      </c>
      <c r="G376" s="26">
        <v>0</v>
      </c>
      <c r="H376" s="26">
        <v>0</v>
      </c>
    </row>
    <row r="377" spans="1:8">
      <c r="A377" s="24" t="s">
        <v>186</v>
      </c>
      <c r="B377" s="24" t="s">
        <v>329</v>
      </c>
      <c r="C377" s="25">
        <v>45717</v>
      </c>
      <c r="D377" s="24" t="s">
        <v>2659</v>
      </c>
      <c r="E377" s="26">
        <v>0</v>
      </c>
      <c r="F377" s="26">
        <v>0</v>
      </c>
      <c r="G377" s="26">
        <v>0</v>
      </c>
      <c r="H377" s="26">
        <v>0</v>
      </c>
    </row>
    <row r="378" spans="1:8">
      <c r="A378" s="24" t="s">
        <v>186</v>
      </c>
      <c r="B378" s="24" t="s">
        <v>329</v>
      </c>
      <c r="C378" s="25">
        <v>45748</v>
      </c>
      <c r="D378" s="24" t="s">
        <v>2660</v>
      </c>
      <c r="E378" s="26">
        <v>0</v>
      </c>
      <c r="F378" s="26">
        <v>0</v>
      </c>
      <c r="G378" s="26">
        <v>0</v>
      </c>
      <c r="H378" s="26">
        <v>0</v>
      </c>
    </row>
    <row r="379" spans="1:8">
      <c r="A379" s="24" t="s">
        <v>186</v>
      </c>
      <c r="B379" s="24" t="s">
        <v>329</v>
      </c>
      <c r="C379" s="25">
        <v>45778</v>
      </c>
      <c r="D379" s="24" t="s">
        <v>2661</v>
      </c>
      <c r="E379" s="26">
        <v>0</v>
      </c>
      <c r="F379" s="26">
        <v>0</v>
      </c>
      <c r="G379" s="26">
        <v>0</v>
      </c>
      <c r="H379" s="26">
        <v>0</v>
      </c>
    </row>
    <row r="380" spans="1:8">
      <c r="A380" s="24" t="s">
        <v>186</v>
      </c>
      <c r="B380" s="24" t="s">
        <v>329</v>
      </c>
      <c r="C380" s="25">
        <v>45809</v>
      </c>
      <c r="D380" s="24" t="s">
        <v>2662</v>
      </c>
      <c r="E380" s="26">
        <v>0</v>
      </c>
      <c r="F380" s="26">
        <v>0</v>
      </c>
      <c r="G380" s="26">
        <v>0</v>
      </c>
      <c r="H380" s="26">
        <v>0</v>
      </c>
    </row>
    <row r="381" spans="1:8">
      <c r="A381" s="24" t="s">
        <v>186</v>
      </c>
      <c r="B381" s="24" t="s">
        <v>329</v>
      </c>
      <c r="C381" s="25">
        <v>45839</v>
      </c>
      <c r="D381" s="24" t="s">
        <v>2663</v>
      </c>
      <c r="E381" s="26">
        <v>0</v>
      </c>
      <c r="F381" s="26">
        <v>0</v>
      </c>
      <c r="G381" s="26">
        <v>0</v>
      </c>
      <c r="H381" s="26">
        <v>0</v>
      </c>
    </row>
    <row r="382" spans="1:8">
      <c r="A382" s="24" t="s">
        <v>186</v>
      </c>
      <c r="B382" s="24" t="s">
        <v>329</v>
      </c>
      <c r="C382" s="25">
        <v>45870</v>
      </c>
      <c r="D382" s="24" t="s">
        <v>2664</v>
      </c>
      <c r="E382" s="26">
        <v>0</v>
      </c>
      <c r="F382" s="26">
        <v>0</v>
      </c>
      <c r="G382" s="26">
        <v>0</v>
      </c>
      <c r="H382" s="26">
        <v>0</v>
      </c>
    </row>
    <row r="383" spans="1:8">
      <c r="A383" s="24" t="s">
        <v>186</v>
      </c>
      <c r="B383" s="24" t="s">
        <v>329</v>
      </c>
      <c r="C383" s="25">
        <v>45901</v>
      </c>
      <c r="D383" s="24" t="s">
        <v>2665</v>
      </c>
      <c r="E383" s="26">
        <v>0</v>
      </c>
      <c r="F383" s="26">
        <v>0</v>
      </c>
      <c r="G383" s="26">
        <v>0</v>
      </c>
      <c r="H383" s="26">
        <v>0</v>
      </c>
    </row>
    <row r="384" spans="1:8">
      <c r="A384" s="24" t="s">
        <v>186</v>
      </c>
      <c r="B384" s="24" t="s">
        <v>329</v>
      </c>
      <c r="C384" s="25">
        <v>45931</v>
      </c>
      <c r="D384" s="24" t="s">
        <v>2666</v>
      </c>
      <c r="E384" s="26">
        <v>0</v>
      </c>
      <c r="F384" s="26">
        <v>0</v>
      </c>
      <c r="G384" s="26">
        <v>0</v>
      </c>
      <c r="H384" s="26">
        <v>0</v>
      </c>
    </row>
    <row r="385" spans="1:8">
      <c r="A385" s="24" t="s">
        <v>186</v>
      </c>
      <c r="B385" s="24" t="s">
        <v>329</v>
      </c>
      <c r="C385" s="25">
        <v>45962</v>
      </c>
      <c r="D385" s="24" t="s">
        <v>2667</v>
      </c>
      <c r="E385" s="26">
        <v>0</v>
      </c>
      <c r="F385" s="26">
        <v>30829.81</v>
      </c>
      <c r="G385" s="26">
        <v>-30829.81</v>
      </c>
      <c r="H385" s="26">
        <v>-30829.81</v>
      </c>
    </row>
    <row r="386" spans="1:8">
      <c r="A386" s="24" t="s">
        <v>186</v>
      </c>
      <c r="B386" s="24" t="s">
        <v>329</v>
      </c>
      <c r="C386" s="25">
        <v>45992</v>
      </c>
      <c r="D386" s="24" t="s">
        <v>2668</v>
      </c>
      <c r="E386" s="26">
        <v>0</v>
      </c>
      <c r="F386" s="26">
        <v>22880.57</v>
      </c>
      <c r="G386" s="26">
        <v>-22880.57</v>
      </c>
      <c r="H386" s="26">
        <v>-53710.38</v>
      </c>
    </row>
    <row r="387" spans="1:8">
      <c r="A387" s="24" t="s">
        <v>262</v>
      </c>
      <c r="B387" s="24" t="s">
        <v>329</v>
      </c>
      <c r="C387" s="25">
        <v>45658</v>
      </c>
      <c r="D387" s="24" t="s">
        <v>2657</v>
      </c>
      <c r="E387" s="26">
        <v>0</v>
      </c>
      <c r="F387" s="26">
        <v>0</v>
      </c>
      <c r="G387" s="26">
        <v>0</v>
      </c>
      <c r="H387" s="26">
        <v>0</v>
      </c>
    </row>
    <row r="388" spans="1:8">
      <c r="A388" s="24" t="s">
        <v>262</v>
      </c>
      <c r="B388" s="24" t="s">
        <v>329</v>
      </c>
      <c r="C388" s="25">
        <v>45689</v>
      </c>
      <c r="D388" s="24" t="s">
        <v>2658</v>
      </c>
      <c r="E388" s="26">
        <v>0</v>
      </c>
      <c r="F388" s="26">
        <v>0</v>
      </c>
      <c r="G388" s="26">
        <v>0</v>
      </c>
      <c r="H388" s="26">
        <v>0</v>
      </c>
    </row>
    <row r="389" spans="1:8">
      <c r="A389" s="24" t="s">
        <v>262</v>
      </c>
      <c r="B389" s="24" t="s">
        <v>329</v>
      </c>
      <c r="C389" s="25">
        <v>45717</v>
      </c>
      <c r="D389" s="24" t="s">
        <v>2659</v>
      </c>
      <c r="E389" s="26">
        <v>0</v>
      </c>
      <c r="F389" s="26">
        <v>0</v>
      </c>
      <c r="G389" s="26">
        <v>0</v>
      </c>
      <c r="H389" s="26">
        <v>0</v>
      </c>
    </row>
    <row r="390" spans="1:8">
      <c r="A390" s="24" t="s">
        <v>262</v>
      </c>
      <c r="B390" s="24" t="s">
        <v>329</v>
      </c>
      <c r="C390" s="25">
        <v>45748</v>
      </c>
      <c r="D390" s="24" t="s">
        <v>2660</v>
      </c>
      <c r="E390" s="26">
        <v>0</v>
      </c>
      <c r="F390" s="26">
        <v>0</v>
      </c>
      <c r="G390" s="26">
        <v>0</v>
      </c>
      <c r="H390" s="26">
        <v>0</v>
      </c>
    </row>
    <row r="391" spans="1:8">
      <c r="A391" s="24" t="s">
        <v>262</v>
      </c>
      <c r="B391" s="24" t="s">
        <v>329</v>
      </c>
      <c r="C391" s="25">
        <v>45778</v>
      </c>
      <c r="D391" s="24" t="s">
        <v>2661</v>
      </c>
      <c r="E391" s="26">
        <v>0</v>
      </c>
      <c r="F391" s="26">
        <v>0</v>
      </c>
      <c r="G391" s="26">
        <v>0</v>
      </c>
      <c r="H391" s="26">
        <v>0</v>
      </c>
    </row>
    <row r="392" spans="1:8">
      <c r="A392" s="24" t="s">
        <v>262</v>
      </c>
      <c r="B392" s="24" t="s">
        <v>329</v>
      </c>
      <c r="C392" s="25">
        <v>45809</v>
      </c>
      <c r="D392" s="24" t="s">
        <v>2662</v>
      </c>
      <c r="E392" s="26">
        <v>0</v>
      </c>
      <c r="F392" s="26">
        <v>0</v>
      </c>
      <c r="G392" s="26">
        <v>0</v>
      </c>
      <c r="H392" s="26">
        <v>0</v>
      </c>
    </row>
    <row r="393" spans="1:8">
      <c r="A393" s="24" t="s">
        <v>262</v>
      </c>
      <c r="B393" s="24" t="s">
        <v>329</v>
      </c>
      <c r="C393" s="25">
        <v>45839</v>
      </c>
      <c r="D393" s="24" t="s">
        <v>2663</v>
      </c>
      <c r="E393" s="26">
        <v>0</v>
      </c>
      <c r="F393" s="26">
        <v>0</v>
      </c>
      <c r="G393" s="26">
        <v>0</v>
      </c>
      <c r="H393" s="26">
        <v>0</v>
      </c>
    </row>
    <row r="394" spans="1:8">
      <c r="A394" s="24" t="s">
        <v>262</v>
      </c>
      <c r="B394" s="24" t="s">
        <v>329</v>
      </c>
      <c r="C394" s="25">
        <v>45870</v>
      </c>
      <c r="D394" s="24" t="s">
        <v>2664</v>
      </c>
      <c r="E394" s="26">
        <v>0</v>
      </c>
      <c r="F394" s="26">
        <v>0</v>
      </c>
      <c r="G394" s="26">
        <v>0</v>
      </c>
      <c r="H394" s="26">
        <v>0</v>
      </c>
    </row>
    <row r="395" spans="1:8">
      <c r="A395" s="24" t="s">
        <v>262</v>
      </c>
      <c r="B395" s="24" t="s">
        <v>329</v>
      </c>
      <c r="C395" s="25">
        <v>45901</v>
      </c>
      <c r="D395" s="24" t="s">
        <v>2665</v>
      </c>
      <c r="E395" s="26">
        <v>0</v>
      </c>
      <c r="F395" s="26">
        <v>0</v>
      </c>
      <c r="G395" s="26">
        <v>0</v>
      </c>
      <c r="H395" s="26">
        <v>0</v>
      </c>
    </row>
    <row r="396" spans="1:8">
      <c r="A396" s="24" t="s">
        <v>262</v>
      </c>
      <c r="B396" s="24" t="s">
        <v>329</v>
      </c>
      <c r="C396" s="25">
        <v>45931</v>
      </c>
      <c r="D396" s="24" t="s">
        <v>2666</v>
      </c>
      <c r="E396" s="26">
        <v>0</v>
      </c>
      <c r="F396" s="26">
        <v>0</v>
      </c>
      <c r="G396" s="26">
        <v>0</v>
      </c>
      <c r="H396" s="26">
        <v>0</v>
      </c>
    </row>
    <row r="397" spans="1:8">
      <c r="A397" s="24" t="s">
        <v>262</v>
      </c>
      <c r="B397" s="24" t="s">
        <v>329</v>
      </c>
      <c r="C397" s="25">
        <v>45962</v>
      </c>
      <c r="D397" s="24" t="s">
        <v>2667</v>
      </c>
      <c r="E397" s="26">
        <v>0</v>
      </c>
      <c r="F397" s="26">
        <v>0</v>
      </c>
      <c r="G397" s="26">
        <v>0</v>
      </c>
      <c r="H397" s="26">
        <v>0</v>
      </c>
    </row>
    <row r="398" spans="1:8">
      <c r="A398" s="24" t="s">
        <v>262</v>
      </c>
      <c r="B398" s="24" t="s">
        <v>329</v>
      </c>
      <c r="C398" s="25">
        <v>45992</v>
      </c>
      <c r="D398" s="24" t="s">
        <v>2668</v>
      </c>
      <c r="E398" s="26">
        <v>0</v>
      </c>
      <c r="F398" s="26">
        <v>0</v>
      </c>
      <c r="G398" s="26">
        <v>0</v>
      </c>
      <c r="H398" s="26">
        <v>0</v>
      </c>
    </row>
    <row r="399" spans="1:8">
      <c r="A399" s="24" t="s">
        <v>23</v>
      </c>
      <c r="B399" s="24" t="s">
        <v>329</v>
      </c>
      <c r="C399" s="25">
        <v>45658</v>
      </c>
      <c r="D399" s="24" t="s">
        <v>2657</v>
      </c>
      <c r="E399" s="26">
        <v>0</v>
      </c>
      <c r="F399" s="26">
        <v>0</v>
      </c>
      <c r="G399" s="26">
        <v>0</v>
      </c>
      <c r="H399" s="26">
        <v>0</v>
      </c>
    </row>
    <row r="400" spans="1:8">
      <c r="A400" s="24" t="s">
        <v>23</v>
      </c>
      <c r="B400" s="24" t="s">
        <v>329</v>
      </c>
      <c r="C400" s="25">
        <v>45689</v>
      </c>
      <c r="D400" s="24" t="s">
        <v>2658</v>
      </c>
      <c r="E400" s="26">
        <v>0</v>
      </c>
      <c r="F400" s="26">
        <v>0</v>
      </c>
      <c r="G400" s="26">
        <v>0</v>
      </c>
      <c r="H400" s="26">
        <v>0</v>
      </c>
    </row>
    <row r="401" spans="1:8">
      <c r="A401" s="24" t="s">
        <v>23</v>
      </c>
      <c r="B401" s="24" t="s">
        <v>329</v>
      </c>
      <c r="C401" s="25">
        <v>45717</v>
      </c>
      <c r="D401" s="24" t="s">
        <v>2659</v>
      </c>
      <c r="E401" s="26">
        <v>0</v>
      </c>
      <c r="F401" s="26">
        <v>0</v>
      </c>
      <c r="G401" s="26">
        <v>0</v>
      </c>
      <c r="H401" s="26">
        <v>0</v>
      </c>
    </row>
    <row r="402" spans="1:8">
      <c r="A402" s="24" t="s">
        <v>23</v>
      </c>
      <c r="B402" s="24" t="s">
        <v>329</v>
      </c>
      <c r="C402" s="25">
        <v>45748</v>
      </c>
      <c r="D402" s="24" t="s">
        <v>2660</v>
      </c>
      <c r="E402" s="26">
        <v>0</v>
      </c>
      <c r="F402" s="26">
        <v>0</v>
      </c>
      <c r="G402" s="26">
        <v>0</v>
      </c>
      <c r="H402" s="26">
        <v>0</v>
      </c>
    </row>
    <row r="403" spans="1:8">
      <c r="A403" s="24" t="s">
        <v>23</v>
      </c>
      <c r="B403" s="24" t="s">
        <v>329</v>
      </c>
      <c r="C403" s="25">
        <v>45778</v>
      </c>
      <c r="D403" s="24" t="s">
        <v>2661</v>
      </c>
      <c r="E403" s="26">
        <v>0</v>
      </c>
      <c r="F403" s="26">
        <v>0</v>
      </c>
      <c r="G403" s="26">
        <v>0</v>
      </c>
      <c r="H403" s="26">
        <v>0</v>
      </c>
    </row>
    <row r="404" spans="1:8">
      <c r="A404" s="24" t="s">
        <v>23</v>
      </c>
      <c r="B404" s="24" t="s">
        <v>329</v>
      </c>
      <c r="C404" s="25">
        <v>45809</v>
      </c>
      <c r="D404" s="24" t="s">
        <v>2662</v>
      </c>
      <c r="E404" s="26">
        <v>0</v>
      </c>
      <c r="F404" s="26">
        <v>0</v>
      </c>
      <c r="G404" s="26">
        <v>0</v>
      </c>
      <c r="H404" s="26">
        <v>0</v>
      </c>
    </row>
    <row r="405" spans="1:8">
      <c r="A405" s="24" t="s">
        <v>23</v>
      </c>
      <c r="B405" s="24" t="s">
        <v>329</v>
      </c>
      <c r="C405" s="25">
        <v>45839</v>
      </c>
      <c r="D405" s="24" t="s">
        <v>2663</v>
      </c>
      <c r="E405" s="26">
        <v>0</v>
      </c>
      <c r="F405" s="26">
        <v>0</v>
      </c>
      <c r="G405" s="26">
        <v>0</v>
      </c>
      <c r="H405" s="26">
        <v>0</v>
      </c>
    </row>
    <row r="406" spans="1:8">
      <c r="A406" s="24" t="s">
        <v>23</v>
      </c>
      <c r="B406" s="24" t="s">
        <v>329</v>
      </c>
      <c r="C406" s="25">
        <v>45870</v>
      </c>
      <c r="D406" s="24" t="s">
        <v>2664</v>
      </c>
      <c r="E406" s="26">
        <v>0</v>
      </c>
      <c r="F406" s="26">
        <v>40273.06</v>
      </c>
      <c r="G406" s="26">
        <v>-40273.06</v>
      </c>
      <c r="H406" s="26">
        <v>-40273.06</v>
      </c>
    </row>
    <row r="407" spans="1:8">
      <c r="A407" s="24" t="s">
        <v>23</v>
      </c>
      <c r="B407" s="24" t="s">
        <v>329</v>
      </c>
      <c r="C407" s="25">
        <v>45901</v>
      </c>
      <c r="D407" s="24" t="s">
        <v>2665</v>
      </c>
      <c r="E407" s="26">
        <v>0</v>
      </c>
      <c r="F407" s="26">
        <v>0</v>
      </c>
      <c r="G407" s="26">
        <v>0</v>
      </c>
      <c r="H407" s="26">
        <v>-40273.06</v>
      </c>
    </row>
    <row r="408" spans="1:8">
      <c r="A408" s="24" t="s">
        <v>23</v>
      </c>
      <c r="B408" s="24" t="s">
        <v>329</v>
      </c>
      <c r="C408" s="25">
        <v>45931</v>
      </c>
      <c r="D408" s="24" t="s">
        <v>2666</v>
      </c>
      <c r="E408" s="26">
        <v>0</v>
      </c>
      <c r="F408" s="26">
        <v>0</v>
      </c>
      <c r="G408" s="26">
        <v>0</v>
      </c>
      <c r="H408" s="26">
        <v>-40273.06</v>
      </c>
    </row>
    <row r="409" spans="1:8">
      <c r="A409" s="24" t="s">
        <v>23</v>
      </c>
      <c r="B409" s="24" t="s">
        <v>329</v>
      </c>
      <c r="C409" s="25">
        <v>45962</v>
      </c>
      <c r="D409" s="24" t="s">
        <v>2667</v>
      </c>
      <c r="E409" s="26">
        <v>0</v>
      </c>
      <c r="F409" s="26">
        <v>0</v>
      </c>
      <c r="G409" s="26">
        <v>0</v>
      </c>
      <c r="H409" s="26">
        <v>-40273.06</v>
      </c>
    </row>
    <row r="410" spans="1:8">
      <c r="A410" s="24" t="s">
        <v>23</v>
      </c>
      <c r="B410" s="24" t="s">
        <v>329</v>
      </c>
      <c r="C410" s="25">
        <v>45992</v>
      </c>
      <c r="D410" s="24" t="s">
        <v>2668</v>
      </c>
      <c r="E410" s="26">
        <v>0</v>
      </c>
      <c r="F410" s="26">
        <v>0</v>
      </c>
      <c r="G410" s="26">
        <v>0</v>
      </c>
      <c r="H410" s="26">
        <v>-40273.06</v>
      </c>
    </row>
    <row r="411" spans="1:8">
      <c r="A411" s="24" t="s">
        <v>131</v>
      </c>
      <c r="B411" s="24" t="s">
        <v>337</v>
      </c>
      <c r="C411" s="25">
        <v>45658</v>
      </c>
      <c r="D411" s="24" t="s">
        <v>2657</v>
      </c>
      <c r="E411" s="26">
        <v>0</v>
      </c>
      <c r="F411" s="26">
        <v>0</v>
      </c>
      <c r="G411" s="26">
        <v>0</v>
      </c>
      <c r="H411" s="26">
        <v>0</v>
      </c>
    </row>
    <row r="412" spans="1:8">
      <c r="A412" s="24" t="s">
        <v>131</v>
      </c>
      <c r="B412" s="24" t="s">
        <v>337</v>
      </c>
      <c r="C412" s="25">
        <v>45689</v>
      </c>
      <c r="D412" s="24" t="s">
        <v>2658</v>
      </c>
      <c r="E412" s="26">
        <v>0</v>
      </c>
      <c r="F412" s="26">
        <v>0</v>
      </c>
      <c r="G412" s="26">
        <v>0</v>
      </c>
      <c r="H412" s="26">
        <v>0</v>
      </c>
    </row>
    <row r="413" spans="1:8">
      <c r="A413" s="24" t="s">
        <v>131</v>
      </c>
      <c r="B413" s="24" t="s">
        <v>337</v>
      </c>
      <c r="C413" s="25">
        <v>45717</v>
      </c>
      <c r="D413" s="24" t="s">
        <v>2659</v>
      </c>
      <c r="E413" s="26">
        <v>0</v>
      </c>
      <c r="F413" s="26">
        <v>0</v>
      </c>
      <c r="G413" s="26">
        <v>0</v>
      </c>
      <c r="H413" s="26">
        <v>0</v>
      </c>
    </row>
    <row r="414" spans="1:8">
      <c r="A414" s="24" t="s">
        <v>131</v>
      </c>
      <c r="B414" s="24" t="s">
        <v>337</v>
      </c>
      <c r="C414" s="25">
        <v>45748</v>
      </c>
      <c r="D414" s="24" t="s">
        <v>2660</v>
      </c>
      <c r="E414" s="26">
        <v>0</v>
      </c>
      <c r="F414" s="26">
        <v>0</v>
      </c>
      <c r="G414" s="26">
        <v>0</v>
      </c>
      <c r="H414" s="26">
        <v>0</v>
      </c>
    </row>
    <row r="415" spans="1:8">
      <c r="A415" s="24" t="s">
        <v>131</v>
      </c>
      <c r="B415" s="24" t="s">
        <v>337</v>
      </c>
      <c r="C415" s="25">
        <v>45778</v>
      </c>
      <c r="D415" s="24" t="s">
        <v>2661</v>
      </c>
      <c r="E415" s="26">
        <v>0</v>
      </c>
      <c r="F415" s="26">
        <v>0</v>
      </c>
      <c r="G415" s="26">
        <v>0</v>
      </c>
      <c r="H415" s="26">
        <v>0</v>
      </c>
    </row>
    <row r="416" spans="1:8">
      <c r="A416" s="24" t="s">
        <v>131</v>
      </c>
      <c r="B416" s="24" t="s">
        <v>337</v>
      </c>
      <c r="C416" s="25">
        <v>45809</v>
      </c>
      <c r="D416" s="24" t="s">
        <v>2662</v>
      </c>
      <c r="E416" s="26">
        <v>0</v>
      </c>
      <c r="F416" s="26">
        <v>0</v>
      </c>
      <c r="G416" s="26">
        <v>0</v>
      </c>
      <c r="H416" s="26">
        <v>0</v>
      </c>
    </row>
    <row r="417" spans="1:8">
      <c r="A417" s="24" t="s">
        <v>131</v>
      </c>
      <c r="B417" s="24" t="s">
        <v>337</v>
      </c>
      <c r="C417" s="25">
        <v>45839</v>
      </c>
      <c r="D417" s="24" t="s">
        <v>2663</v>
      </c>
      <c r="E417" s="26">
        <v>0</v>
      </c>
      <c r="F417" s="26">
        <v>0</v>
      </c>
      <c r="G417" s="26">
        <v>0</v>
      </c>
      <c r="H417" s="26">
        <v>0</v>
      </c>
    </row>
    <row r="418" spans="1:8">
      <c r="A418" s="24" t="s">
        <v>131</v>
      </c>
      <c r="B418" s="24" t="s">
        <v>337</v>
      </c>
      <c r="C418" s="25">
        <v>45870</v>
      </c>
      <c r="D418" s="24" t="s">
        <v>2664</v>
      </c>
      <c r="E418" s="26">
        <v>0</v>
      </c>
      <c r="F418" s="26">
        <v>0</v>
      </c>
      <c r="G418" s="26">
        <v>0</v>
      </c>
      <c r="H418" s="26">
        <v>0</v>
      </c>
    </row>
    <row r="419" spans="1:8">
      <c r="A419" s="24" t="s">
        <v>131</v>
      </c>
      <c r="B419" s="24" t="s">
        <v>337</v>
      </c>
      <c r="C419" s="25">
        <v>45901</v>
      </c>
      <c r="D419" s="24" t="s">
        <v>2665</v>
      </c>
      <c r="E419" s="26">
        <v>0</v>
      </c>
      <c r="F419" s="26">
        <v>97746.51</v>
      </c>
      <c r="G419" s="26">
        <v>-97746.51</v>
      </c>
      <c r="H419" s="26">
        <v>-97746.51</v>
      </c>
    </row>
    <row r="420" spans="1:8">
      <c r="A420" s="24" t="s">
        <v>131</v>
      </c>
      <c r="B420" s="24" t="s">
        <v>337</v>
      </c>
      <c r="C420" s="25">
        <v>45931</v>
      </c>
      <c r="D420" s="24" t="s">
        <v>2666</v>
      </c>
      <c r="E420" s="26">
        <v>0</v>
      </c>
      <c r="F420" s="26">
        <v>0</v>
      </c>
      <c r="G420" s="26">
        <v>0</v>
      </c>
      <c r="H420" s="26">
        <v>-97746.51</v>
      </c>
    </row>
    <row r="421" spans="1:8">
      <c r="A421" s="24" t="s">
        <v>131</v>
      </c>
      <c r="B421" s="24" t="s">
        <v>337</v>
      </c>
      <c r="C421" s="25">
        <v>45962</v>
      </c>
      <c r="D421" s="24" t="s">
        <v>2667</v>
      </c>
      <c r="E421" s="26">
        <v>0</v>
      </c>
      <c r="F421" s="26">
        <v>0</v>
      </c>
      <c r="G421" s="26">
        <v>0</v>
      </c>
      <c r="H421" s="26">
        <v>-97746.51</v>
      </c>
    </row>
    <row r="422" spans="1:8">
      <c r="A422" s="24" t="s">
        <v>131</v>
      </c>
      <c r="B422" s="24" t="s">
        <v>337</v>
      </c>
      <c r="C422" s="25">
        <v>45992</v>
      </c>
      <c r="D422" s="24" t="s">
        <v>2668</v>
      </c>
      <c r="E422" s="26">
        <v>0</v>
      </c>
      <c r="F422" s="26">
        <v>0</v>
      </c>
      <c r="G422" s="26">
        <v>0</v>
      </c>
      <c r="H422" s="26">
        <v>-97746.51</v>
      </c>
    </row>
    <row r="423" spans="1:8">
      <c r="A423" s="24" t="s">
        <v>106</v>
      </c>
      <c r="B423" s="24" t="s">
        <v>324</v>
      </c>
      <c r="C423" s="25">
        <v>45658</v>
      </c>
      <c r="D423" s="24" t="s">
        <v>2657</v>
      </c>
      <c r="E423" s="26">
        <v>0</v>
      </c>
      <c r="F423" s="26">
        <v>0</v>
      </c>
      <c r="G423" s="26">
        <v>0</v>
      </c>
      <c r="H423" s="26">
        <v>0</v>
      </c>
    </row>
    <row r="424" spans="1:8">
      <c r="A424" s="24" t="s">
        <v>106</v>
      </c>
      <c r="B424" s="24" t="s">
        <v>324</v>
      </c>
      <c r="C424" s="25">
        <v>45689</v>
      </c>
      <c r="D424" s="24" t="s">
        <v>2658</v>
      </c>
      <c r="E424" s="26">
        <v>0</v>
      </c>
      <c r="F424" s="26">
        <v>0</v>
      </c>
      <c r="G424" s="26">
        <v>0</v>
      </c>
      <c r="H424" s="26">
        <v>0</v>
      </c>
    </row>
    <row r="425" spans="1:8">
      <c r="A425" s="24" t="s">
        <v>106</v>
      </c>
      <c r="B425" s="24" t="s">
        <v>324</v>
      </c>
      <c r="C425" s="25">
        <v>45717</v>
      </c>
      <c r="D425" s="24" t="s">
        <v>2659</v>
      </c>
      <c r="E425" s="26">
        <v>0</v>
      </c>
      <c r="F425" s="26">
        <v>0</v>
      </c>
      <c r="G425" s="26">
        <v>0</v>
      </c>
      <c r="H425" s="26">
        <v>0</v>
      </c>
    </row>
    <row r="426" spans="1:8">
      <c r="A426" s="24" t="s">
        <v>106</v>
      </c>
      <c r="B426" s="24" t="s">
        <v>324</v>
      </c>
      <c r="C426" s="25">
        <v>45748</v>
      </c>
      <c r="D426" s="24" t="s">
        <v>2660</v>
      </c>
      <c r="E426" s="26">
        <v>0</v>
      </c>
      <c r="F426" s="26">
        <v>0</v>
      </c>
      <c r="G426" s="26">
        <v>0</v>
      </c>
      <c r="H426" s="26">
        <v>0</v>
      </c>
    </row>
    <row r="427" spans="1:8">
      <c r="A427" s="24" t="s">
        <v>106</v>
      </c>
      <c r="B427" s="24" t="s">
        <v>324</v>
      </c>
      <c r="C427" s="25">
        <v>45778</v>
      </c>
      <c r="D427" s="24" t="s">
        <v>2661</v>
      </c>
      <c r="E427" s="26">
        <v>0</v>
      </c>
      <c r="F427" s="26">
        <v>0</v>
      </c>
      <c r="G427" s="26">
        <v>0</v>
      </c>
      <c r="H427" s="26">
        <v>0</v>
      </c>
    </row>
    <row r="428" spans="1:8">
      <c r="A428" s="24" t="s">
        <v>106</v>
      </c>
      <c r="B428" s="24" t="s">
        <v>324</v>
      </c>
      <c r="C428" s="25">
        <v>45809</v>
      </c>
      <c r="D428" s="24" t="s">
        <v>2662</v>
      </c>
      <c r="E428" s="26">
        <v>0</v>
      </c>
      <c r="F428" s="26">
        <v>0</v>
      </c>
      <c r="G428" s="26">
        <v>0</v>
      </c>
      <c r="H428" s="26">
        <v>0</v>
      </c>
    </row>
    <row r="429" spans="1:8">
      <c r="A429" s="24" t="s">
        <v>106</v>
      </c>
      <c r="B429" s="24" t="s">
        <v>324</v>
      </c>
      <c r="C429" s="25">
        <v>45839</v>
      </c>
      <c r="D429" s="24" t="s">
        <v>2663</v>
      </c>
      <c r="E429" s="26">
        <v>0</v>
      </c>
      <c r="F429" s="26">
        <v>0</v>
      </c>
      <c r="G429" s="26">
        <v>0</v>
      </c>
      <c r="H429" s="26">
        <v>0</v>
      </c>
    </row>
    <row r="430" spans="1:8">
      <c r="A430" s="24" t="s">
        <v>106</v>
      </c>
      <c r="B430" s="24" t="s">
        <v>324</v>
      </c>
      <c r="C430" s="25">
        <v>45870</v>
      </c>
      <c r="D430" s="24" t="s">
        <v>2664</v>
      </c>
      <c r="E430" s="26">
        <v>0</v>
      </c>
      <c r="F430" s="26">
        <v>115127.75</v>
      </c>
      <c r="G430" s="26">
        <v>-115127.75</v>
      </c>
      <c r="H430" s="26">
        <v>-115127.75</v>
      </c>
    </row>
    <row r="431" spans="1:8">
      <c r="A431" s="24" t="s">
        <v>106</v>
      </c>
      <c r="B431" s="24" t="s">
        <v>324</v>
      </c>
      <c r="C431" s="25">
        <v>45901</v>
      </c>
      <c r="D431" s="24" t="s">
        <v>2665</v>
      </c>
      <c r="E431" s="26">
        <v>0</v>
      </c>
      <c r="F431" s="26">
        <v>68239.75</v>
      </c>
      <c r="G431" s="26">
        <v>-68239.75</v>
      </c>
      <c r="H431" s="26">
        <v>-183367.5</v>
      </c>
    </row>
    <row r="432" spans="1:8">
      <c r="A432" s="24" t="s">
        <v>106</v>
      </c>
      <c r="B432" s="24" t="s">
        <v>324</v>
      </c>
      <c r="C432" s="25">
        <v>45931</v>
      </c>
      <c r="D432" s="24" t="s">
        <v>2666</v>
      </c>
      <c r="E432" s="26">
        <v>0</v>
      </c>
      <c r="F432" s="26">
        <v>0</v>
      </c>
      <c r="G432" s="26">
        <v>0</v>
      </c>
      <c r="H432" s="26">
        <v>-183367.5</v>
      </c>
    </row>
    <row r="433" spans="1:8">
      <c r="A433" s="24" t="s">
        <v>106</v>
      </c>
      <c r="B433" s="24" t="s">
        <v>324</v>
      </c>
      <c r="C433" s="25">
        <v>45962</v>
      </c>
      <c r="D433" s="24" t="s">
        <v>2667</v>
      </c>
      <c r="E433" s="26">
        <v>0</v>
      </c>
      <c r="F433" s="26">
        <v>0</v>
      </c>
      <c r="G433" s="26">
        <v>0</v>
      </c>
      <c r="H433" s="26">
        <v>-183367.5</v>
      </c>
    </row>
    <row r="434" spans="1:8">
      <c r="A434" s="24" t="s">
        <v>106</v>
      </c>
      <c r="B434" s="24" t="s">
        <v>324</v>
      </c>
      <c r="C434" s="25">
        <v>45992</v>
      </c>
      <c r="D434" s="24" t="s">
        <v>2668</v>
      </c>
      <c r="E434" s="26">
        <v>0</v>
      </c>
      <c r="F434" s="26">
        <v>6398.97</v>
      </c>
      <c r="G434" s="26">
        <v>-6398.97</v>
      </c>
      <c r="H434" s="26">
        <v>-189766.47</v>
      </c>
    </row>
    <row r="435" spans="1:8">
      <c r="A435" s="24" t="s">
        <v>225</v>
      </c>
      <c r="B435" s="24" t="s">
        <v>318</v>
      </c>
      <c r="C435" s="25">
        <v>45658</v>
      </c>
      <c r="D435" s="24" t="s">
        <v>2657</v>
      </c>
      <c r="E435" s="26">
        <v>0</v>
      </c>
      <c r="F435" s="26">
        <v>0</v>
      </c>
      <c r="G435" s="26">
        <v>0</v>
      </c>
      <c r="H435" s="26">
        <v>0</v>
      </c>
    </row>
    <row r="436" spans="1:8">
      <c r="A436" s="24" t="s">
        <v>225</v>
      </c>
      <c r="B436" s="24" t="s">
        <v>318</v>
      </c>
      <c r="C436" s="25">
        <v>45689</v>
      </c>
      <c r="D436" s="24" t="s">
        <v>2658</v>
      </c>
      <c r="E436" s="26">
        <v>0</v>
      </c>
      <c r="F436" s="26">
        <v>0</v>
      </c>
      <c r="G436" s="26">
        <v>0</v>
      </c>
      <c r="H436" s="26">
        <v>0</v>
      </c>
    </row>
    <row r="437" spans="1:8">
      <c r="A437" s="24" t="s">
        <v>225</v>
      </c>
      <c r="B437" s="24" t="s">
        <v>318</v>
      </c>
      <c r="C437" s="25">
        <v>45717</v>
      </c>
      <c r="D437" s="24" t="s">
        <v>2659</v>
      </c>
      <c r="E437" s="26">
        <v>0</v>
      </c>
      <c r="F437" s="26">
        <v>0</v>
      </c>
      <c r="G437" s="26">
        <v>0</v>
      </c>
      <c r="H437" s="26">
        <v>0</v>
      </c>
    </row>
    <row r="438" spans="1:8">
      <c r="A438" s="24" t="s">
        <v>225</v>
      </c>
      <c r="B438" s="24" t="s">
        <v>318</v>
      </c>
      <c r="C438" s="25">
        <v>45748</v>
      </c>
      <c r="D438" s="24" t="s">
        <v>2660</v>
      </c>
      <c r="E438" s="26">
        <v>0</v>
      </c>
      <c r="F438" s="26">
        <v>0</v>
      </c>
      <c r="G438" s="26">
        <v>0</v>
      </c>
      <c r="H438" s="26">
        <v>0</v>
      </c>
    </row>
    <row r="439" spans="1:8">
      <c r="A439" s="24" t="s">
        <v>225</v>
      </c>
      <c r="B439" s="24" t="s">
        <v>318</v>
      </c>
      <c r="C439" s="25">
        <v>45778</v>
      </c>
      <c r="D439" s="24" t="s">
        <v>2661</v>
      </c>
      <c r="E439" s="26">
        <v>0</v>
      </c>
      <c r="F439" s="26">
        <v>0</v>
      </c>
      <c r="G439" s="26">
        <v>0</v>
      </c>
      <c r="H439" s="26">
        <v>0</v>
      </c>
    </row>
    <row r="440" spans="1:8">
      <c r="A440" s="24" t="s">
        <v>225</v>
      </c>
      <c r="B440" s="24" t="s">
        <v>318</v>
      </c>
      <c r="C440" s="25">
        <v>45809</v>
      </c>
      <c r="D440" s="24" t="s">
        <v>2662</v>
      </c>
      <c r="E440" s="26">
        <v>0</v>
      </c>
      <c r="F440" s="26">
        <v>0</v>
      </c>
      <c r="G440" s="26">
        <v>0</v>
      </c>
      <c r="H440" s="26">
        <v>0</v>
      </c>
    </row>
    <row r="441" spans="1:8">
      <c r="A441" s="24" t="s">
        <v>225</v>
      </c>
      <c r="B441" s="24" t="s">
        <v>318</v>
      </c>
      <c r="C441" s="25">
        <v>45839</v>
      </c>
      <c r="D441" s="24" t="s">
        <v>2663</v>
      </c>
      <c r="E441" s="26">
        <v>0</v>
      </c>
      <c r="F441" s="26">
        <v>0</v>
      </c>
      <c r="G441" s="26">
        <v>0</v>
      </c>
      <c r="H441" s="26">
        <v>0</v>
      </c>
    </row>
    <row r="442" spans="1:8">
      <c r="A442" s="24" t="s">
        <v>225</v>
      </c>
      <c r="B442" s="24" t="s">
        <v>318</v>
      </c>
      <c r="C442" s="25">
        <v>45870</v>
      </c>
      <c r="D442" s="24" t="s">
        <v>2664</v>
      </c>
      <c r="E442" s="26">
        <v>0</v>
      </c>
      <c r="F442" s="26">
        <v>0</v>
      </c>
      <c r="G442" s="26">
        <v>0</v>
      </c>
      <c r="H442" s="26">
        <v>0</v>
      </c>
    </row>
    <row r="443" spans="1:8">
      <c r="A443" s="24" t="s">
        <v>225</v>
      </c>
      <c r="B443" s="24" t="s">
        <v>318</v>
      </c>
      <c r="C443" s="25">
        <v>45901</v>
      </c>
      <c r="D443" s="24" t="s">
        <v>2665</v>
      </c>
      <c r="E443" s="26">
        <v>0</v>
      </c>
      <c r="F443" s="26">
        <v>0</v>
      </c>
      <c r="G443" s="26">
        <v>0</v>
      </c>
      <c r="H443" s="26">
        <v>0</v>
      </c>
    </row>
    <row r="444" spans="1:8">
      <c r="A444" s="24" t="s">
        <v>225</v>
      </c>
      <c r="B444" s="24" t="s">
        <v>318</v>
      </c>
      <c r="C444" s="25">
        <v>45931</v>
      </c>
      <c r="D444" s="24" t="s">
        <v>2666</v>
      </c>
      <c r="E444" s="26">
        <v>0</v>
      </c>
      <c r="F444" s="26">
        <v>0</v>
      </c>
      <c r="G444" s="26">
        <v>0</v>
      </c>
      <c r="H444" s="26">
        <v>0</v>
      </c>
    </row>
    <row r="445" spans="1:8">
      <c r="A445" s="24" t="s">
        <v>225</v>
      </c>
      <c r="B445" s="24" t="s">
        <v>318</v>
      </c>
      <c r="C445" s="25">
        <v>45962</v>
      </c>
      <c r="D445" s="24" t="s">
        <v>2667</v>
      </c>
      <c r="E445" s="26">
        <v>0</v>
      </c>
      <c r="F445" s="26">
        <v>0</v>
      </c>
      <c r="G445" s="26">
        <v>0</v>
      </c>
      <c r="H445" s="26">
        <v>0</v>
      </c>
    </row>
    <row r="446" spans="1:8">
      <c r="A446" s="24" t="s">
        <v>225</v>
      </c>
      <c r="B446" s="24" t="s">
        <v>318</v>
      </c>
      <c r="C446" s="25">
        <v>45992</v>
      </c>
      <c r="D446" s="24" t="s">
        <v>2668</v>
      </c>
      <c r="E446" s="26">
        <v>135523.72</v>
      </c>
      <c r="F446" s="26">
        <v>0</v>
      </c>
      <c r="G446" s="26">
        <v>135523.72</v>
      </c>
      <c r="H446" s="26">
        <v>135523.72</v>
      </c>
    </row>
    <row r="447" spans="1:8">
      <c r="A447" s="24" t="s">
        <v>144</v>
      </c>
      <c r="B447" s="24" t="s">
        <v>329</v>
      </c>
      <c r="C447" s="25">
        <v>45658</v>
      </c>
      <c r="D447" s="24" t="s">
        <v>2657</v>
      </c>
      <c r="E447" s="26">
        <v>0</v>
      </c>
      <c r="F447" s="26">
        <v>0</v>
      </c>
      <c r="G447" s="26">
        <v>0</v>
      </c>
      <c r="H447" s="26">
        <v>0</v>
      </c>
    </row>
    <row r="448" spans="1:8">
      <c r="A448" s="24" t="s">
        <v>144</v>
      </c>
      <c r="B448" s="24" t="s">
        <v>329</v>
      </c>
      <c r="C448" s="25">
        <v>45689</v>
      </c>
      <c r="D448" s="24" t="s">
        <v>2658</v>
      </c>
      <c r="E448" s="26">
        <v>0</v>
      </c>
      <c r="F448" s="26">
        <v>0</v>
      </c>
      <c r="G448" s="26">
        <v>0</v>
      </c>
      <c r="H448" s="26">
        <v>0</v>
      </c>
    </row>
    <row r="449" spans="1:8">
      <c r="A449" s="24" t="s">
        <v>144</v>
      </c>
      <c r="B449" s="24" t="s">
        <v>329</v>
      </c>
      <c r="C449" s="25">
        <v>45717</v>
      </c>
      <c r="D449" s="24" t="s">
        <v>2659</v>
      </c>
      <c r="E449" s="26">
        <v>0</v>
      </c>
      <c r="F449" s="26">
        <v>0</v>
      </c>
      <c r="G449" s="26">
        <v>0</v>
      </c>
      <c r="H449" s="26">
        <v>0</v>
      </c>
    </row>
    <row r="450" spans="1:8">
      <c r="A450" s="24" t="s">
        <v>144</v>
      </c>
      <c r="B450" s="24" t="s">
        <v>329</v>
      </c>
      <c r="C450" s="25">
        <v>45748</v>
      </c>
      <c r="D450" s="24" t="s">
        <v>2660</v>
      </c>
      <c r="E450" s="26">
        <v>0</v>
      </c>
      <c r="F450" s="26">
        <v>0</v>
      </c>
      <c r="G450" s="26">
        <v>0</v>
      </c>
      <c r="H450" s="26">
        <v>0</v>
      </c>
    </row>
    <row r="451" spans="1:8">
      <c r="A451" s="24" t="s">
        <v>144</v>
      </c>
      <c r="B451" s="24" t="s">
        <v>329</v>
      </c>
      <c r="C451" s="25">
        <v>45778</v>
      </c>
      <c r="D451" s="24" t="s">
        <v>2661</v>
      </c>
      <c r="E451" s="26">
        <v>0</v>
      </c>
      <c r="F451" s="26">
        <v>0</v>
      </c>
      <c r="G451" s="26">
        <v>0</v>
      </c>
      <c r="H451" s="26">
        <v>0</v>
      </c>
    </row>
    <row r="452" spans="1:8">
      <c r="A452" s="24" t="s">
        <v>144</v>
      </c>
      <c r="B452" s="24" t="s">
        <v>329</v>
      </c>
      <c r="C452" s="25">
        <v>45809</v>
      </c>
      <c r="D452" s="24" t="s">
        <v>2662</v>
      </c>
      <c r="E452" s="26">
        <v>0</v>
      </c>
      <c r="F452" s="26">
        <v>0</v>
      </c>
      <c r="G452" s="26">
        <v>0</v>
      </c>
      <c r="H452" s="26">
        <v>0</v>
      </c>
    </row>
    <row r="453" spans="1:8">
      <c r="A453" s="24" t="s">
        <v>144</v>
      </c>
      <c r="B453" s="24" t="s">
        <v>329</v>
      </c>
      <c r="C453" s="25">
        <v>45839</v>
      </c>
      <c r="D453" s="24" t="s">
        <v>2663</v>
      </c>
      <c r="E453" s="26">
        <v>0</v>
      </c>
      <c r="F453" s="26">
        <v>0</v>
      </c>
      <c r="G453" s="26">
        <v>0</v>
      </c>
      <c r="H453" s="26">
        <v>0</v>
      </c>
    </row>
    <row r="454" spans="1:8">
      <c r="A454" s="24" t="s">
        <v>144</v>
      </c>
      <c r="B454" s="24" t="s">
        <v>329</v>
      </c>
      <c r="C454" s="25">
        <v>45870</v>
      </c>
      <c r="D454" s="24" t="s">
        <v>2664</v>
      </c>
      <c r="E454" s="26">
        <v>0</v>
      </c>
      <c r="F454" s="26">
        <v>0</v>
      </c>
      <c r="G454" s="26">
        <v>0</v>
      </c>
      <c r="H454" s="26">
        <v>0</v>
      </c>
    </row>
    <row r="455" spans="1:8">
      <c r="A455" s="24" t="s">
        <v>144</v>
      </c>
      <c r="B455" s="24" t="s">
        <v>329</v>
      </c>
      <c r="C455" s="25">
        <v>45901</v>
      </c>
      <c r="D455" s="24" t="s">
        <v>2665</v>
      </c>
      <c r="E455" s="26">
        <v>0</v>
      </c>
      <c r="F455" s="26">
        <v>0</v>
      </c>
      <c r="G455" s="26">
        <v>0</v>
      </c>
      <c r="H455" s="26">
        <v>0</v>
      </c>
    </row>
    <row r="456" spans="1:8">
      <c r="A456" s="24" t="s">
        <v>144</v>
      </c>
      <c r="B456" s="24" t="s">
        <v>329</v>
      </c>
      <c r="C456" s="25">
        <v>45931</v>
      </c>
      <c r="D456" s="24" t="s">
        <v>2666</v>
      </c>
      <c r="E456" s="26">
        <v>0</v>
      </c>
      <c r="F456" s="26">
        <v>0</v>
      </c>
      <c r="G456" s="26">
        <v>0</v>
      </c>
      <c r="H456" s="26">
        <v>0</v>
      </c>
    </row>
    <row r="457" spans="1:8">
      <c r="A457" s="24" t="s">
        <v>144</v>
      </c>
      <c r="B457" s="24" t="s">
        <v>329</v>
      </c>
      <c r="C457" s="25">
        <v>45962</v>
      </c>
      <c r="D457" s="24" t="s">
        <v>2667</v>
      </c>
      <c r="E457" s="26">
        <v>0</v>
      </c>
      <c r="F457" s="26">
        <v>0</v>
      </c>
      <c r="G457" s="26">
        <v>0</v>
      </c>
      <c r="H457" s="26">
        <v>0</v>
      </c>
    </row>
    <row r="458" spans="1:8">
      <c r="A458" s="24" t="s">
        <v>144</v>
      </c>
      <c r="B458" s="24" t="s">
        <v>329</v>
      </c>
      <c r="C458" s="25">
        <v>45992</v>
      </c>
      <c r="D458" s="24" t="s">
        <v>2668</v>
      </c>
      <c r="E458" s="26">
        <v>0</v>
      </c>
      <c r="F458" s="26">
        <v>193557.65</v>
      </c>
      <c r="G458" s="26">
        <v>-193557.65</v>
      </c>
      <c r="H458" s="26">
        <v>-193557.65</v>
      </c>
    </row>
    <row r="459" spans="1:8">
      <c r="A459" s="24" t="s">
        <v>196</v>
      </c>
      <c r="B459" s="24" t="s">
        <v>324</v>
      </c>
      <c r="C459" s="25">
        <v>45658</v>
      </c>
      <c r="D459" s="24" t="s">
        <v>2657</v>
      </c>
      <c r="E459" s="26">
        <v>0</v>
      </c>
      <c r="F459" s="26">
        <v>0</v>
      </c>
      <c r="G459" s="26">
        <v>0</v>
      </c>
      <c r="H459" s="26">
        <v>0</v>
      </c>
    </row>
    <row r="460" spans="1:8">
      <c r="A460" s="24" t="s">
        <v>196</v>
      </c>
      <c r="B460" s="24" t="s">
        <v>324</v>
      </c>
      <c r="C460" s="25">
        <v>45689</v>
      </c>
      <c r="D460" s="24" t="s">
        <v>2658</v>
      </c>
      <c r="E460" s="26">
        <v>0</v>
      </c>
      <c r="F460" s="26">
        <v>0</v>
      </c>
      <c r="G460" s="26">
        <v>0</v>
      </c>
      <c r="H460" s="26">
        <v>0</v>
      </c>
    </row>
    <row r="461" spans="1:8">
      <c r="A461" s="24" t="s">
        <v>196</v>
      </c>
      <c r="B461" s="24" t="s">
        <v>324</v>
      </c>
      <c r="C461" s="25">
        <v>45717</v>
      </c>
      <c r="D461" s="24" t="s">
        <v>2659</v>
      </c>
      <c r="E461" s="26">
        <v>0</v>
      </c>
      <c r="F461" s="26">
        <v>0</v>
      </c>
      <c r="G461" s="26">
        <v>0</v>
      </c>
      <c r="H461" s="26">
        <v>0</v>
      </c>
    </row>
    <row r="462" spans="1:8">
      <c r="A462" s="24" t="s">
        <v>196</v>
      </c>
      <c r="B462" s="24" t="s">
        <v>324</v>
      </c>
      <c r="C462" s="25">
        <v>45748</v>
      </c>
      <c r="D462" s="24" t="s">
        <v>2660</v>
      </c>
      <c r="E462" s="26">
        <v>0</v>
      </c>
      <c r="F462" s="26">
        <v>0</v>
      </c>
      <c r="G462" s="26">
        <v>0</v>
      </c>
      <c r="H462" s="26">
        <v>0</v>
      </c>
    </row>
    <row r="463" spans="1:8">
      <c r="A463" s="24" t="s">
        <v>196</v>
      </c>
      <c r="B463" s="24" t="s">
        <v>324</v>
      </c>
      <c r="C463" s="25">
        <v>45778</v>
      </c>
      <c r="D463" s="24" t="s">
        <v>2661</v>
      </c>
      <c r="E463" s="26">
        <v>0</v>
      </c>
      <c r="F463" s="26">
        <v>0</v>
      </c>
      <c r="G463" s="26">
        <v>0</v>
      </c>
      <c r="H463" s="26">
        <v>0</v>
      </c>
    </row>
    <row r="464" spans="1:8">
      <c r="A464" s="24" t="s">
        <v>196</v>
      </c>
      <c r="B464" s="24" t="s">
        <v>324</v>
      </c>
      <c r="C464" s="25">
        <v>45809</v>
      </c>
      <c r="D464" s="24" t="s">
        <v>2662</v>
      </c>
      <c r="E464" s="26">
        <v>0</v>
      </c>
      <c r="F464" s="26">
        <v>0</v>
      </c>
      <c r="G464" s="26">
        <v>0</v>
      </c>
      <c r="H464" s="26">
        <v>0</v>
      </c>
    </row>
    <row r="465" spans="1:8">
      <c r="A465" s="24" t="s">
        <v>196</v>
      </c>
      <c r="B465" s="24" t="s">
        <v>324</v>
      </c>
      <c r="C465" s="25">
        <v>45839</v>
      </c>
      <c r="D465" s="24" t="s">
        <v>2663</v>
      </c>
      <c r="E465" s="26">
        <v>0</v>
      </c>
      <c r="F465" s="26">
        <v>0</v>
      </c>
      <c r="G465" s="26">
        <v>0</v>
      </c>
      <c r="H465" s="26">
        <v>0</v>
      </c>
    </row>
    <row r="466" spans="1:8">
      <c r="A466" s="24" t="s">
        <v>196</v>
      </c>
      <c r="B466" s="24" t="s">
        <v>324</v>
      </c>
      <c r="C466" s="25">
        <v>45870</v>
      </c>
      <c r="D466" s="24" t="s">
        <v>2664</v>
      </c>
      <c r="E466" s="26">
        <v>53241.46</v>
      </c>
      <c r="F466" s="26">
        <v>20787.86</v>
      </c>
      <c r="G466" s="26">
        <v>32453.599999999999</v>
      </c>
      <c r="H466" s="26">
        <v>32453.599999999999</v>
      </c>
    </row>
    <row r="467" spans="1:8">
      <c r="A467" s="24" t="s">
        <v>196</v>
      </c>
      <c r="B467" s="24" t="s">
        <v>324</v>
      </c>
      <c r="C467" s="25">
        <v>45901</v>
      </c>
      <c r="D467" s="24" t="s">
        <v>2665</v>
      </c>
      <c r="E467" s="26">
        <v>21409.599999999999</v>
      </c>
      <c r="F467" s="26">
        <v>0</v>
      </c>
      <c r="G467" s="26">
        <v>21409.599999999999</v>
      </c>
      <c r="H467" s="26">
        <v>53863.199999999997</v>
      </c>
    </row>
    <row r="468" spans="1:8">
      <c r="A468" s="24" t="s">
        <v>196</v>
      </c>
      <c r="B468" s="24" t="s">
        <v>324</v>
      </c>
      <c r="C468" s="25">
        <v>45931</v>
      </c>
      <c r="D468" s="24" t="s">
        <v>2666</v>
      </c>
      <c r="E468" s="26">
        <v>0</v>
      </c>
      <c r="F468" s="26">
        <v>0</v>
      </c>
      <c r="G468" s="26">
        <v>0</v>
      </c>
      <c r="H468" s="26">
        <v>53863.199999999997</v>
      </c>
    </row>
    <row r="469" spans="1:8">
      <c r="A469" s="24" t="s">
        <v>196</v>
      </c>
      <c r="B469" s="24" t="s">
        <v>324</v>
      </c>
      <c r="C469" s="25">
        <v>45962</v>
      </c>
      <c r="D469" s="24" t="s">
        <v>2667</v>
      </c>
      <c r="E469" s="26">
        <v>0</v>
      </c>
      <c r="F469" s="26">
        <v>55609.77</v>
      </c>
      <c r="G469" s="26">
        <v>-55609.77</v>
      </c>
      <c r="H469" s="26">
        <v>-1746.57</v>
      </c>
    </row>
    <row r="470" spans="1:8">
      <c r="A470" s="24" t="s">
        <v>196</v>
      </c>
      <c r="B470" s="24" t="s">
        <v>324</v>
      </c>
      <c r="C470" s="25">
        <v>45992</v>
      </c>
      <c r="D470" s="24" t="s">
        <v>2668</v>
      </c>
      <c r="E470" s="26">
        <v>0</v>
      </c>
      <c r="F470" s="26">
        <v>0</v>
      </c>
      <c r="G470" s="26">
        <v>0</v>
      </c>
      <c r="H470" s="26">
        <v>-1746.57</v>
      </c>
    </row>
    <row r="471" spans="1:8">
      <c r="A471" s="24" t="s">
        <v>295</v>
      </c>
      <c r="B471" s="24" t="s">
        <v>318</v>
      </c>
      <c r="C471" s="25">
        <v>45658</v>
      </c>
      <c r="D471" s="24" t="s">
        <v>2657</v>
      </c>
      <c r="E471" s="26">
        <v>0</v>
      </c>
      <c r="F471" s="26">
        <v>0</v>
      </c>
      <c r="G471" s="26">
        <v>0</v>
      </c>
      <c r="H471" s="26">
        <v>0</v>
      </c>
    </row>
    <row r="472" spans="1:8">
      <c r="A472" s="24" t="s">
        <v>295</v>
      </c>
      <c r="B472" s="24" t="s">
        <v>318</v>
      </c>
      <c r="C472" s="25">
        <v>45689</v>
      </c>
      <c r="D472" s="24" t="s">
        <v>2658</v>
      </c>
      <c r="E472" s="26">
        <v>0</v>
      </c>
      <c r="F472" s="26">
        <v>0</v>
      </c>
      <c r="G472" s="26">
        <v>0</v>
      </c>
      <c r="H472" s="26">
        <v>0</v>
      </c>
    </row>
    <row r="473" spans="1:8">
      <c r="A473" s="24" t="s">
        <v>295</v>
      </c>
      <c r="B473" s="24" t="s">
        <v>318</v>
      </c>
      <c r="C473" s="25">
        <v>45717</v>
      </c>
      <c r="D473" s="24" t="s">
        <v>2659</v>
      </c>
      <c r="E473" s="26">
        <v>0</v>
      </c>
      <c r="F473" s="26">
        <v>0</v>
      </c>
      <c r="G473" s="26">
        <v>0</v>
      </c>
      <c r="H473" s="26">
        <v>0</v>
      </c>
    </row>
    <row r="474" spans="1:8">
      <c r="A474" s="24" t="s">
        <v>295</v>
      </c>
      <c r="B474" s="24" t="s">
        <v>318</v>
      </c>
      <c r="C474" s="25">
        <v>45748</v>
      </c>
      <c r="D474" s="24" t="s">
        <v>2660</v>
      </c>
      <c r="E474" s="26">
        <v>0</v>
      </c>
      <c r="F474" s="26">
        <v>0</v>
      </c>
      <c r="G474" s="26">
        <v>0</v>
      </c>
      <c r="H474" s="26">
        <v>0</v>
      </c>
    </row>
    <row r="475" spans="1:8">
      <c r="A475" s="24" t="s">
        <v>295</v>
      </c>
      <c r="B475" s="24" t="s">
        <v>318</v>
      </c>
      <c r="C475" s="25">
        <v>45778</v>
      </c>
      <c r="D475" s="24" t="s">
        <v>2661</v>
      </c>
      <c r="E475" s="26">
        <v>0</v>
      </c>
      <c r="F475" s="26">
        <v>0</v>
      </c>
      <c r="G475" s="26">
        <v>0</v>
      </c>
      <c r="H475" s="26">
        <v>0</v>
      </c>
    </row>
    <row r="476" spans="1:8">
      <c r="A476" s="24" t="s">
        <v>295</v>
      </c>
      <c r="B476" s="24" t="s">
        <v>318</v>
      </c>
      <c r="C476" s="25">
        <v>45809</v>
      </c>
      <c r="D476" s="24" t="s">
        <v>2662</v>
      </c>
      <c r="E476" s="26">
        <v>0</v>
      </c>
      <c r="F476" s="26">
        <v>0</v>
      </c>
      <c r="G476" s="26">
        <v>0</v>
      </c>
      <c r="H476" s="26">
        <v>0</v>
      </c>
    </row>
    <row r="477" spans="1:8">
      <c r="A477" s="24" t="s">
        <v>295</v>
      </c>
      <c r="B477" s="24" t="s">
        <v>318</v>
      </c>
      <c r="C477" s="25">
        <v>45839</v>
      </c>
      <c r="D477" s="24" t="s">
        <v>2663</v>
      </c>
      <c r="E477" s="26">
        <v>0</v>
      </c>
      <c r="F477" s="26">
        <v>0</v>
      </c>
      <c r="G477" s="26">
        <v>0</v>
      </c>
      <c r="H477" s="26">
        <v>0</v>
      </c>
    </row>
    <row r="478" spans="1:8">
      <c r="A478" s="24" t="s">
        <v>295</v>
      </c>
      <c r="B478" s="24" t="s">
        <v>318</v>
      </c>
      <c r="C478" s="25">
        <v>45870</v>
      </c>
      <c r="D478" s="24" t="s">
        <v>2664</v>
      </c>
      <c r="E478" s="26">
        <v>0</v>
      </c>
      <c r="F478" s="26">
        <v>0</v>
      </c>
      <c r="G478" s="26">
        <v>0</v>
      </c>
      <c r="H478" s="26">
        <v>0</v>
      </c>
    </row>
    <row r="479" spans="1:8">
      <c r="A479" s="24" t="s">
        <v>295</v>
      </c>
      <c r="B479" s="24" t="s">
        <v>318</v>
      </c>
      <c r="C479" s="25">
        <v>45901</v>
      </c>
      <c r="D479" s="24" t="s">
        <v>2665</v>
      </c>
      <c r="E479" s="26">
        <v>0</v>
      </c>
      <c r="F479" s="26">
        <v>96377.27</v>
      </c>
      <c r="G479" s="26">
        <v>-96377.27</v>
      </c>
      <c r="H479" s="26">
        <v>-96377.27</v>
      </c>
    </row>
    <row r="480" spans="1:8">
      <c r="A480" s="24" t="s">
        <v>295</v>
      </c>
      <c r="B480" s="24" t="s">
        <v>318</v>
      </c>
      <c r="C480" s="25">
        <v>45931</v>
      </c>
      <c r="D480" s="24" t="s">
        <v>2666</v>
      </c>
      <c r="E480" s="26">
        <v>0</v>
      </c>
      <c r="F480" s="26">
        <v>108959.85</v>
      </c>
      <c r="G480" s="26">
        <v>-108959.85</v>
      </c>
      <c r="H480" s="26">
        <v>-205337.12</v>
      </c>
    </row>
    <row r="481" spans="1:8">
      <c r="A481" s="24" t="s">
        <v>295</v>
      </c>
      <c r="B481" s="24" t="s">
        <v>318</v>
      </c>
      <c r="C481" s="25">
        <v>45962</v>
      </c>
      <c r="D481" s="24" t="s">
        <v>2667</v>
      </c>
      <c r="E481" s="26">
        <v>78578.720000000001</v>
      </c>
      <c r="F481" s="26">
        <v>67706.570000000007</v>
      </c>
      <c r="G481" s="26">
        <v>10872.149999999991</v>
      </c>
      <c r="H481" s="26">
        <v>-194464.97</v>
      </c>
    </row>
    <row r="482" spans="1:8">
      <c r="A482" s="24" t="s">
        <v>295</v>
      </c>
      <c r="B482" s="24" t="s">
        <v>318</v>
      </c>
      <c r="C482" s="25">
        <v>45992</v>
      </c>
      <c r="D482" s="24" t="s">
        <v>2668</v>
      </c>
      <c r="E482" s="26">
        <v>0</v>
      </c>
      <c r="F482" s="26">
        <v>87478.45</v>
      </c>
      <c r="G482" s="26">
        <v>-87478.45</v>
      </c>
      <c r="H482" s="26">
        <v>-281943.42</v>
      </c>
    </row>
    <row r="483" spans="1:8">
      <c r="A483" s="24" t="s">
        <v>199</v>
      </c>
      <c r="B483" s="24" t="s">
        <v>324</v>
      </c>
      <c r="C483" s="25">
        <v>45658</v>
      </c>
      <c r="D483" s="24" t="s">
        <v>2657</v>
      </c>
      <c r="E483" s="26">
        <v>0</v>
      </c>
      <c r="F483" s="26">
        <v>0</v>
      </c>
      <c r="G483" s="26">
        <v>0</v>
      </c>
      <c r="H483" s="26">
        <v>0</v>
      </c>
    </row>
    <row r="484" spans="1:8">
      <c r="A484" s="24" t="s">
        <v>199</v>
      </c>
      <c r="B484" s="24" t="s">
        <v>324</v>
      </c>
      <c r="C484" s="25">
        <v>45689</v>
      </c>
      <c r="D484" s="24" t="s">
        <v>2658</v>
      </c>
      <c r="E484" s="26">
        <v>0</v>
      </c>
      <c r="F484" s="26">
        <v>0</v>
      </c>
      <c r="G484" s="26">
        <v>0</v>
      </c>
      <c r="H484" s="26">
        <v>0</v>
      </c>
    </row>
    <row r="485" spans="1:8">
      <c r="A485" s="24" t="s">
        <v>199</v>
      </c>
      <c r="B485" s="24" t="s">
        <v>324</v>
      </c>
      <c r="C485" s="25">
        <v>45717</v>
      </c>
      <c r="D485" s="24" t="s">
        <v>2659</v>
      </c>
      <c r="E485" s="26">
        <v>0</v>
      </c>
      <c r="F485" s="26">
        <v>0</v>
      </c>
      <c r="G485" s="26">
        <v>0</v>
      </c>
      <c r="H485" s="26">
        <v>0</v>
      </c>
    </row>
    <row r="486" spans="1:8">
      <c r="A486" s="24" t="s">
        <v>199</v>
      </c>
      <c r="B486" s="24" t="s">
        <v>324</v>
      </c>
      <c r="C486" s="25">
        <v>45748</v>
      </c>
      <c r="D486" s="24" t="s">
        <v>2660</v>
      </c>
      <c r="E486" s="26">
        <v>0</v>
      </c>
      <c r="F486" s="26">
        <v>0</v>
      </c>
      <c r="G486" s="26">
        <v>0</v>
      </c>
      <c r="H486" s="26">
        <v>0</v>
      </c>
    </row>
    <row r="487" spans="1:8">
      <c r="A487" s="24" t="s">
        <v>199</v>
      </c>
      <c r="B487" s="24" t="s">
        <v>324</v>
      </c>
      <c r="C487" s="25">
        <v>45778</v>
      </c>
      <c r="D487" s="24" t="s">
        <v>2661</v>
      </c>
      <c r="E487" s="26">
        <v>0</v>
      </c>
      <c r="F487" s="26">
        <v>0</v>
      </c>
      <c r="G487" s="26">
        <v>0</v>
      </c>
      <c r="H487" s="26">
        <v>0</v>
      </c>
    </row>
    <row r="488" spans="1:8">
      <c r="A488" s="24" t="s">
        <v>199</v>
      </c>
      <c r="B488" s="24" t="s">
        <v>324</v>
      </c>
      <c r="C488" s="25">
        <v>45809</v>
      </c>
      <c r="D488" s="24" t="s">
        <v>2662</v>
      </c>
      <c r="E488" s="26">
        <v>0</v>
      </c>
      <c r="F488" s="26">
        <v>0</v>
      </c>
      <c r="G488" s="26">
        <v>0</v>
      </c>
      <c r="H488" s="26">
        <v>0</v>
      </c>
    </row>
    <row r="489" spans="1:8">
      <c r="A489" s="24" t="s">
        <v>199</v>
      </c>
      <c r="B489" s="24" t="s">
        <v>324</v>
      </c>
      <c r="C489" s="25">
        <v>45839</v>
      </c>
      <c r="D489" s="24" t="s">
        <v>2663</v>
      </c>
      <c r="E489" s="26">
        <v>0</v>
      </c>
      <c r="F489" s="26">
        <v>0</v>
      </c>
      <c r="G489" s="26">
        <v>0</v>
      </c>
      <c r="H489" s="26">
        <v>0</v>
      </c>
    </row>
    <row r="490" spans="1:8">
      <c r="A490" s="24" t="s">
        <v>199</v>
      </c>
      <c r="B490" s="24" t="s">
        <v>324</v>
      </c>
      <c r="C490" s="25">
        <v>45870</v>
      </c>
      <c r="D490" s="24" t="s">
        <v>2664</v>
      </c>
      <c r="E490" s="26">
        <v>0</v>
      </c>
      <c r="F490" s="26">
        <v>0</v>
      </c>
      <c r="G490" s="26">
        <v>0</v>
      </c>
      <c r="H490" s="26">
        <v>0</v>
      </c>
    </row>
    <row r="491" spans="1:8">
      <c r="A491" s="24" t="s">
        <v>199</v>
      </c>
      <c r="B491" s="24" t="s">
        <v>324</v>
      </c>
      <c r="C491" s="25">
        <v>45901</v>
      </c>
      <c r="D491" s="24" t="s">
        <v>2665</v>
      </c>
      <c r="E491" s="26">
        <v>0</v>
      </c>
      <c r="F491" s="26">
        <v>69387.179999999993</v>
      </c>
      <c r="G491" s="26">
        <v>-69387.179999999993</v>
      </c>
      <c r="H491" s="26">
        <v>-69387.179999999993</v>
      </c>
    </row>
    <row r="492" spans="1:8">
      <c r="A492" s="24" t="s">
        <v>199</v>
      </c>
      <c r="B492" s="24" t="s">
        <v>324</v>
      </c>
      <c r="C492" s="25">
        <v>45931</v>
      </c>
      <c r="D492" s="24" t="s">
        <v>2666</v>
      </c>
      <c r="E492" s="26">
        <v>0</v>
      </c>
      <c r="F492" s="26">
        <v>0</v>
      </c>
      <c r="G492" s="26">
        <v>0</v>
      </c>
      <c r="H492" s="26">
        <v>-69387.179999999993</v>
      </c>
    </row>
    <row r="493" spans="1:8">
      <c r="A493" s="24" t="s">
        <v>199</v>
      </c>
      <c r="B493" s="24" t="s">
        <v>324</v>
      </c>
      <c r="C493" s="25">
        <v>45962</v>
      </c>
      <c r="D493" s="24" t="s">
        <v>2667</v>
      </c>
      <c r="E493" s="26">
        <v>0</v>
      </c>
      <c r="F493" s="26">
        <v>0</v>
      </c>
      <c r="G493" s="26">
        <v>0</v>
      </c>
      <c r="H493" s="26">
        <v>-69387.179999999993</v>
      </c>
    </row>
    <row r="494" spans="1:8">
      <c r="A494" s="24" t="s">
        <v>199</v>
      </c>
      <c r="B494" s="24" t="s">
        <v>324</v>
      </c>
      <c r="C494" s="25">
        <v>45992</v>
      </c>
      <c r="D494" s="24" t="s">
        <v>2668</v>
      </c>
      <c r="E494" s="26">
        <v>0</v>
      </c>
      <c r="F494" s="26">
        <v>0</v>
      </c>
      <c r="G494" s="26">
        <v>0</v>
      </c>
      <c r="H494" s="26">
        <v>-69387.179999999993</v>
      </c>
    </row>
    <row r="495" spans="1:8">
      <c r="A495" s="24" t="s">
        <v>171</v>
      </c>
      <c r="B495" s="24" t="s">
        <v>337</v>
      </c>
      <c r="C495" s="25">
        <v>45658</v>
      </c>
      <c r="D495" s="24" t="s">
        <v>2657</v>
      </c>
      <c r="E495" s="26">
        <v>0</v>
      </c>
      <c r="F495" s="26">
        <v>0</v>
      </c>
      <c r="G495" s="26">
        <v>0</v>
      </c>
      <c r="H495" s="26">
        <v>0</v>
      </c>
    </row>
    <row r="496" spans="1:8">
      <c r="A496" s="24" t="s">
        <v>171</v>
      </c>
      <c r="B496" s="24" t="s">
        <v>337</v>
      </c>
      <c r="C496" s="25">
        <v>45689</v>
      </c>
      <c r="D496" s="24" t="s">
        <v>2658</v>
      </c>
      <c r="E496" s="26">
        <v>0</v>
      </c>
      <c r="F496" s="26">
        <v>0</v>
      </c>
      <c r="G496" s="26">
        <v>0</v>
      </c>
      <c r="H496" s="26">
        <v>0</v>
      </c>
    </row>
    <row r="497" spans="1:8">
      <c r="A497" s="24" t="s">
        <v>171</v>
      </c>
      <c r="B497" s="24" t="s">
        <v>337</v>
      </c>
      <c r="C497" s="25">
        <v>45717</v>
      </c>
      <c r="D497" s="24" t="s">
        <v>2659</v>
      </c>
      <c r="E497" s="26">
        <v>0</v>
      </c>
      <c r="F497" s="26">
        <v>0</v>
      </c>
      <c r="G497" s="26">
        <v>0</v>
      </c>
      <c r="H497" s="26">
        <v>0</v>
      </c>
    </row>
    <row r="498" spans="1:8">
      <c r="A498" s="24" t="s">
        <v>171</v>
      </c>
      <c r="B498" s="24" t="s">
        <v>337</v>
      </c>
      <c r="C498" s="25">
        <v>45748</v>
      </c>
      <c r="D498" s="24" t="s">
        <v>2660</v>
      </c>
      <c r="E498" s="26">
        <v>0</v>
      </c>
      <c r="F498" s="26">
        <v>0</v>
      </c>
      <c r="G498" s="26">
        <v>0</v>
      </c>
      <c r="H498" s="26">
        <v>0</v>
      </c>
    </row>
    <row r="499" spans="1:8">
      <c r="A499" s="24" t="s">
        <v>171</v>
      </c>
      <c r="B499" s="24" t="s">
        <v>337</v>
      </c>
      <c r="C499" s="25">
        <v>45778</v>
      </c>
      <c r="D499" s="24" t="s">
        <v>2661</v>
      </c>
      <c r="E499" s="26">
        <v>0</v>
      </c>
      <c r="F499" s="26">
        <v>0</v>
      </c>
      <c r="G499" s="26">
        <v>0</v>
      </c>
      <c r="H499" s="26">
        <v>0</v>
      </c>
    </row>
    <row r="500" spans="1:8">
      <c r="A500" s="24" t="s">
        <v>171</v>
      </c>
      <c r="B500" s="24" t="s">
        <v>337</v>
      </c>
      <c r="C500" s="25">
        <v>45809</v>
      </c>
      <c r="D500" s="24" t="s">
        <v>2662</v>
      </c>
      <c r="E500" s="26">
        <v>0</v>
      </c>
      <c r="F500" s="26">
        <v>0</v>
      </c>
      <c r="G500" s="26">
        <v>0</v>
      </c>
      <c r="H500" s="26">
        <v>0</v>
      </c>
    </row>
    <row r="501" spans="1:8">
      <c r="A501" s="24" t="s">
        <v>171</v>
      </c>
      <c r="B501" s="24" t="s">
        <v>337</v>
      </c>
      <c r="C501" s="25">
        <v>45839</v>
      </c>
      <c r="D501" s="24" t="s">
        <v>2663</v>
      </c>
      <c r="E501" s="26">
        <v>0</v>
      </c>
      <c r="F501" s="26">
        <v>0</v>
      </c>
      <c r="G501" s="26">
        <v>0</v>
      </c>
      <c r="H501" s="26">
        <v>0</v>
      </c>
    </row>
    <row r="502" spans="1:8">
      <c r="A502" s="24" t="s">
        <v>171</v>
      </c>
      <c r="B502" s="24" t="s">
        <v>337</v>
      </c>
      <c r="C502" s="25">
        <v>45870</v>
      </c>
      <c r="D502" s="24" t="s">
        <v>2664</v>
      </c>
      <c r="E502" s="26">
        <v>0</v>
      </c>
      <c r="F502" s="26">
        <v>52650.73</v>
      </c>
      <c r="G502" s="26">
        <v>-52650.73</v>
      </c>
      <c r="H502" s="26">
        <v>-52650.73</v>
      </c>
    </row>
    <row r="503" spans="1:8">
      <c r="A503" s="24" t="s">
        <v>171</v>
      </c>
      <c r="B503" s="24" t="s">
        <v>337</v>
      </c>
      <c r="C503" s="25">
        <v>45901</v>
      </c>
      <c r="D503" s="24" t="s">
        <v>2665</v>
      </c>
      <c r="E503" s="26">
        <v>0</v>
      </c>
      <c r="F503" s="26">
        <v>108271.06</v>
      </c>
      <c r="G503" s="26">
        <v>-108271.06</v>
      </c>
      <c r="H503" s="26">
        <v>-160921.79</v>
      </c>
    </row>
    <row r="504" spans="1:8">
      <c r="A504" s="24" t="s">
        <v>171</v>
      </c>
      <c r="B504" s="24" t="s">
        <v>337</v>
      </c>
      <c r="C504" s="25">
        <v>45931</v>
      </c>
      <c r="D504" s="24" t="s">
        <v>2666</v>
      </c>
      <c r="E504" s="26">
        <v>0</v>
      </c>
      <c r="F504" s="26">
        <v>51299.399999999987</v>
      </c>
      <c r="G504" s="26">
        <v>-51299.399999999987</v>
      </c>
      <c r="H504" s="26">
        <v>-212221.19</v>
      </c>
    </row>
    <row r="505" spans="1:8">
      <c r="A505" s="24" t="s">
        <v>171</v>
      </c>
      <c r="B505" s="24" t="s">
        <v>337</v>
      </c>
      <c r="C505" s="25">
        <v>45962</v>
      </c>
      <c r="D505" s="24" t="s">
        <v>2667</v>
      </c>
      <c r="E505" s="26">
        <v>0</v>
      </c>
      <c r="F505" s="26">
        <v>0</v>
      </c>
      <c r="G505" s="26">
        <v>0</v>
      </c>
      <c r="H505" s="26">
        <v>-212221.19</v>
      </c>
    </row>
    <row r="506" spans="1:8">
      <c r="A506" s="24" t="s">
        <v>171</v>
      </c>
      <c r="B506" s="24" t="s">
        <v>337</v>
      </c>
      <c r="C506" s="25">
        <v>45992</v>
      </c>
      <c r="D506" s="24" t="s">
        <v>2668</v>
      </c>
      <c r="E506" s="26">
        <v>0</v>
      </c>
      <c r="F506" s="26">
        <v>0</v>
      </c>
      <c r="G506" s="26">
        <v>0</v>
      </c>
      <c r="H506" s="26">
        <v>-212221.19</v>
      </c>
    </row>
    <row r="507" spans="1:8">
      <c r="A507" s="24" t="s">
        <v>11</v>
      </c>
      <c r="B507" s="24" t="s">
        <v>318</v>
      </c>
      <c r="C507" s="25">
        <v>45658</v>
      </c>
      <c r="D507" s="24" t="s">
        <v>2657</v>
      </c>
      <c r="E507" s="26">
        <v>0</v>
      </c>
      <c r="F507" s="26">
        <v>0</v>
      </c>
      <c r="G507" s="26">
        <v>0</v>
      </c>
      <c r="H507" s="26">
        <v>0</v>
      </c>
    </row>
    <row r="508" spans="1:8">
      <c r="A508" s="24" t="s">
        <v>11</v>
      </c>
      <c r="B508" s="24" t="s">
        <v>318</v>
      </c>
      <c r="C508" s="25">
        <v>45689</v>
      </c>
      <c r="D508" s="24" t="s">
        <v>2658</v>
      </c>
      <c r="E508" s="26">
        <v>0</v>
      </c>
      <c r="F508" s="26">
        <v>0</v>
      </c>
      <c r="G508" s="26">
        <v>0</v>
      </c>
      <c r="H508" s="26">
        <v>0</v>
      </c>
    </row>
    <row r="509" spans="1:8">
      <c r="A509" s="24" t="s">
        <v>11</v>
      </c>
      <c r="B509" s="24" t="s">
        <v>318</v>
      </c>
      <c r="C509" s="25">
        <v>45717</v>
      </c>
      <c r="D509" s="24" t="s">
        <v>2659</v>
      </c>
      <c r="E509" s="26">
        <v>0</v>
      </c>
      <c r="F509" s="26">
        <v>0</v>
      </c>
      <c r="G509" s="26">
        <v>0</v>
      </c>
      <c r="H509" s="26">
        <v>0</v>
      </c>
    </row>
    <row r="510" spans="1:8">
      <c r="A510" s="24" t="s">
        <v>11</v>
      </c>
      <c r="B510" s="24" t="s">
        <v>318</v>
      </c>
      <c r="C510" s="25">
        <v>45748</v>
      </c>
      <c r="D510" s="24" t="s">
        <v>2660</v>
      </c>
      <c r="E510" s="26">
        <v>0</v>
      </c>
      <c r="F510" s="26">
        <v>0</v>
      </c>
      <c r="G510" s="26">
        <v>0</v>
      </c>
      <c r="H510" s="26">
        <v>0</v>
      </c>
    </row>
    <row r="511" spans="1:8">
      <c r="A511" s="24" t="s">
        <v>11</v>
      </c>
      <c r="B511" s="24" t="s">
        <v>318</v>
      </c>
      <c r="C511" s="25">
        <v>45778</v>
      </c>
      <c r="D511" s="24" t="s">
        <v>2661</v>
      </c>
      <c r="E511" s="26">
        <v>0</v>
      </c>
      <c r="F511" s="26">
        <v>0</v>
      </c>
      <c r="G511" s="26">
        <v>0</v>
      </c>
      <c r="H511" s="26">
        <v>0</v>
      </c>
    </row>
    <row r="512" spans="1:8">
      <c r="A512" s="24" t="s">
        <v>11</v>
      </c>
      <c r="B512" s="24" t="s">
        <v>318</v>
      </c>
      <c r="C512" s="25">
        <v>45809</v>
      </c>
      <c r="D512" s="24" t="s">
        <v>2662</v>
      </c>
      <c r="E512" s="26">
        <v>0</v>
      </c>
      <c r="F512" s="26">
        <v>0</v>
      </c>
      <c r="G512" s="26">
        <v>0</v>
      </c>
      <c r="H512" s="26">
        <v>0</v>
      </c>
    </row>
    <row r="513" spans="1:8">
      <c r="A513" s="24" t="s">
        <v>11</v>
      </c>
      <c r="B513" s="24" t="s">
        <v>318</v>
      </c>
      <c r="C513" s="25">
        <v>45839</v>
      </c>
      <c r="D513" s="24" t="s">
        <v>2663</v>
      </c>
      <c r="E513" s="26">
        <v>0</v>
      </c>
      <c r="F513" s="26">
        <v>0</v>
      </c>
      <c r="G513" s="26">
        <v>0</v>
      </c>
      <c r="H513" s="26">
        <v>0</v>
      </c>
    </row>
    <row r="514" spans="1:8">
      <c r="A514" s="24" t="s">
        <v>11</v>
      </c>
      <c r="B514" s="24" t="s">
        <v>318</v>
      </c>
      <c r="C514" s="25">
        <v>45870</v>
      </c>
      <c r="D514" s="24" t="s">
        <v>2664</v>
      </c>
      <c r="E514" s="26">
        <v>0</v>
      </c>
      <c r="F514" s="26">
        <v>0</v>
      </c>
      <c r="G514" s="26">
        <v>0</v>
      </c>
      <c r="H514" s="26">
        <v>0</v>
      </c>
    </row>
    <row r="515" spans="1:8">
      <c r="A515" s="24" t="s">
        <v>11</v>
      </c>
      <c r="B515" s="24" t="s">
        <v>318</v>
      </c>
      <c r="C515" s="25">
        <v>45901</v>
      </c>
      <c r="D515" s="24" t="s">
        <v>2665</v>
      </c>
      <c r="E515" s="26">
        <v>0</v>
      </c>
      <c r="F515" s="26">
        <v>0</v>
      </c>
      <c r="G515" s="26">
        <v>0</v>
      </c>
      <c r="H515" s="26">
        <v>0</v>
      </c>
    </row>
    <row r="516" spans="1:8">
      <c r="A516" s="24" t="s">
        <v>11</v>
      </c>
      <c r="B516" s="24" t="s">
        <v>318</v>
      </c>
      <c r="C516" s="25">
        <v>45931</v>
      </c>
      <c r="D516" s="24" t="s">
        <v>2666</v>
      </c>
      <c r="E516" s="26">
        <v>0</v>
      </c>
      <c r="F516" s="26">
        <v>0</v>
      </c>
      <c r="G516" s="26">
        <v>0</v>
      </c>
      <c r="H516" s="26">
        <v>0</v>
      </c>
    </row>
    <row r="517" spans="1:8">
      <c r="A517" s="24" t="s">
        <v>11</v>
      </c>
      <c r="B517" s="24" t="s">
        <v>318</v>
      </c>
      <c r="C517" s="25">
        <v>45962</v>
      </c>
      <c r="D517" s="24" t="s">
        <v>2667</v>
      </c>
      <c r="E517" s="26">
        <v>0</v>
      </c>
      <c r="F517" s="26">
        <v>0</v>
      </c>
      <c r="G517" s="26">
        <v>0</v>
      </c>
      <c r="H517" s="26">
        <v>0</v>
      </c>
    </row>
    <row r="518" spans="1:8">
      <c r="A518" s="24" t="s">
        <v>11</v>
      </c>
      <c r="B518" s="24" t="s">
        <v>318</v>
      </c>
      <c r="C518" s="25">
        <v>45992</v>
      </c>
      <c r="D518" s="24" t="s">
        <v>2668</v>
      </c>
      <c r="E518" s="26">
        <v>0</v>
      </c>
      <c r="F518" s="26">
        <v>0</v>
      </c>
      <c r="G518" s="26">
        <v>0</v>
      </c>
      <c r="H518" s="26">
        <v>0</v>
      </c>
    </row>
    <row r="519" spans="1:8">
      <c r="A519" s="24" t="s">
        <v>217</v>
      </c>
      <c r="B519" s="24" t="s">
        <v>337</v>
      </c>
      <c r="C519" s="25">
        <v>45658</v>
      </c>
      <c r="D519" s="24" t="s">
        <v>2657</v>
      </c>
      <c r="E519" s="26">
        <v>0</v>
      </c>
      <c r="F519" s="26">
        <v>0</v>
      </c>
      <c r="G519" s="26">
        <v>0</v>
      </c>
      <c r="H519" s="26">
        <v>0</v>
      </c>
    </row>
    <row r="520" spans="1:8">
      <c r="A520" s="24" t="s">
        <v>217</v>
      </c>
      <c r="B520" s="24" t="s">
        <v>337</v>
      </c>
      <c r="C520" s="25">
        <v>45689</v>
      </c>
      <c r="D520" s="24" t="s">
        <v>2658</v>
      </c>
      <c r="E520" s="26">
        <v>0</v>
      </c>
      <c r="F520" s="26">
        <v>0</v>
      </c>
      <c r="G520" s="26">
        <v>0</v>
      </c>
      <c r="H520" s="26">
        <v>0</v>
      </c>
    </row>
    <row r="521" spans="1:8">
      <c r="A521" s="24" t="s">
        <v>217</v>
      </c>
      <c r="B521" s="24" t="s">
        <v>337</v>
      </c>
      <c r="C521" s="25">
        <v>45717</v>
      </c>
      <c r="D521" s="24" t="s">
        <v>2659</v>
      </c>
      <c r="E521" s="26">
        <v>0</v>
      </c>
      <c r="F521" s="26">
        <v>0</v>
      </c>
      <c r="G521" s="26">
        <v>0</v>
      </c>
      <c r="H521" s="26">
        <v>0</v>
      </c>
    </row>
    <row r="522" spans="1:8">
      <c r="A522" s="24" t="s">
        <v>217</v>
      </c>
      <c r="B522" s="24" t="s">
        <v>337</v>
      </c>
      <c r="C522" s="25">
        <v>45748</v>
      </c>
      <c r="D522" s="24" t="s">
        <v>2660</v>
      </c>
      <c r="E522" s="26">
        <v>0</v>
      </c>
      <c r="F522" s="26">
        <v>0</v>
      </c>
      <c r="G522" s="26">
        <v>0</v>
      </c>
      <c r="H522" s="26">
        <v>0</v>
      </c>
    </row>
    <row r="523" spans="1:8">
      <c r="A523" s="24" t="s">
        <v>217</v>
      </c>
      <c r="B523" s="24" t="s">
        <v>337</v>
      </c>
      <c r="C523" s="25">
        <v>45778</v>
      </c>
      <c r="D523" s="24" t="s">
        <v>2661</v>
      </c>
      <c r="E523" s="26">
        <v>0</v>
      </c>
      <c r="F523" s="26">
        <v>0</v>
      </c>
      <c r="G523" s="26">
        <v>0</v>
      </c>
      <c r="H523" s="26">
        <v>0</v>
      </c>
    </row>
    <row r="524" spans="1:8">
      <c r="A524" s="24" t="s">
        <v>217</v>
      </c>
      <c r="B524" s="24" t="s">
        <v>337</v>
      </c>
      <c r="C524" s="25">
        <v>45809</v>
      </c>
      <c r="D524" s="24" t="s">
        <v>2662</v>
      </c>
      <c r="E524" s="26">
        <v>0</v>
      </c>
      <c r="F524" s="26">
        <v>0</v>
      </c>
      <c r="G524" s="26">
        <v>0</v>
      </c>
      <c r="H524" s="26">
        <v>0</v>
      </c>
    </row>
    <row r="525" spans="1:8">
      <c r="A525" s="24" t="s">
        <v>217</v>
      </c>
      <c r="B525" s="24" t="s">
        <v>337</v>
      </c>
      <c r="C525" s="25">
        <v>45839</v>
      </c>
      <c r="D525" s="24" t="s">
        <v>2663</v>
      </c>
      <c r="E525" s="26">
        <v>0</v>
      </c>
      <c r="F525" s="26">
        <v>0</v>
      </c>
      <c r="G525" s="26">
        <v>0</v>
      </c>
      <c r="H525" s="26">
        <v>0</v>
      </c>
    </row>
    <row r="526" spans="1:8">
      <c r="A526" s="24" t="s">
        <v>217</v>
      </c>
      <c r="B526" s="24" t="s">
        <v>337</v>
      </c>
      <c r="C526" s="25">
        <v>45870</v>
      </c>
      <c r="D526" s="24" t="s">
        <v>2664</v>
      </c>
      <c r="E526" s="26">
        <v>0</v>
      </c>
      <c r="F526" s="26">
        <v>0</v>
      </c>
      <c r="G526" s="26">
        <v>0</v>
      </c>
      <c r="H526" s="26">
        <v>0</v>
      </c>
    </row>
    <row r="527" spans="1:8">
      <c r="A527" s="24" t="s">
        <v>217</v>
      </c>
      <c r="B527" s="24" t="s">
        <v>337</v>
      </c>
      <c r="C527" s="25">
        <v>45901</v>
      </c>
      <c r="D527" s="24" t="s">
        <v>2665</v>
      </c>
      <c r="E527" s="26">
        <v>0</v>
      </c>
      <c r="F527" s="26">
        <v>0</v>
      </c>
      <c r="G527" s="26">
        <v>0</v>
      </c>
      <c r="H527" s="26">
        <v>0</v>
      </c>
    </row>
    <row r="528" spans="1:8">
      <c r="A528" s="24" t="s">
        <v>217</v>
      </c>
      <c r="B528" s="24" t="s">
        <v>337</v>
      </c>
      <c r="C528" s="25">
        <v>45931</v>
      </c>
      <c r="D528" s="24" t="s">
        <v>2666</v>
      </c>
      <c r="E528" s="26">
        <v>0</v>
      </c>
      <c r="F528" s="26">
        <v>57315.76</v>
      </c>
      <c r="G528" s="26">
        <v>-57315.76</v>
      </c>
      <c r="H528" s="26">
        <v>-57315.76</v>
      </c>
    </row>
    <row r="529" spans="1:8">
      <c r="A529" s="24" t="s">
        <v>217</v>
      </c>
      <c r="B529" s="24" t="s">
        <v>337</v>
      </c>
      <c r="C529" s="25">
        <v>45962</v>
      </c>
      <c r="D529" s="24" t="s">
        <v>2667</v>
      </c>
      <c r="E529" s="26">
        <v>0</v>
      </c>
      <c r="F529" s="26">
        <v>126180.79</v>
      </c>
      <c r="G529" s="26">
        <v>-126180.79</v>
      </c>
      <c r="H529" s="26">
        <v>-183496.55</v>
      </c>
    </row>
    <row r="530" spans="1:8">
      <c r="A530" s="24" t="s">
        <v>217</v>
      </c>
      <c r="B530" s="24" t="s">
        <v>337</v>
      </c>
      <c r="C530" s="25">
        <v>45992</v>
      </c>
      <c r="D530" s="24" t="s">
        <v>2668</v>
      </c>
      <c r="E530" s="26">
        <v>0</v>
      </c>
      <c r="F530" s="26">
        <v>0</v>
      </c>
      <c r="G530" s="26">
        <v>0</v>
      </c>
      <c r="H530" s="26">
        <v>-183496.55</v>
      </c>
    </row>
    <row r="531" spans="1:8">
      <c r="A531" s="24" t="s">
        <v>253</v>
      </c>
      <c r="B531" s="24" t="s">
        <v>329</v>
      </c>
      <c r="C531" s="25">
        <v>45658</v>
      </c>
      <c r="D531" s="24" t="s">
        <v>2657</v>
      </c>
      <c r="E531" s="26">
        <v>0</v>
      </c>
      <c r="F531" s="26">
        <v>0</v>
      </c>
      <c r="G531" s="26">
        <v>0</v>
      </c>
      <c r="H531" s="26">
        <v>0</v>
      </c>
    </row>
    <row r="532" spans="1:8">
      <c r="A532" s="24" t="s">
        <v>253</v>
      </c>
      <c r="B532" s="24" t="s">
        <v>329</v>
      </c>
      <c r="C532" s="25">
        <v>45689</v>
      </c>
      <c r="D532" s="24" t="s">
        <v>2658</v>
      </c>
      <c r="E532" s="26">
        <v>0</v>
      </c>
      <c r="F532" s="26">
        <v>0</v>
      </c>
      <c r="G532" s="26">
        <v>0</v>
      </c>
      <c r="H532" s="26">
        <v>0</v>
      </c>
    </row>
    <row r="533" spans="1:8">
      <c r="A533" s="24" t="s">
        <v>253</v>
      </c>
      <c r="B533" s="24" t="s">
        <v>329</v>
      </c>
      <c r="C533" s="25">
        <v>45717</v>
      </c>
      <c r="D533" s="24" t="s">
        <v>2659</v>
      </c>
      <c r="E533" s="26">
        <v>0</v>
      </c>
      <c r="F533" s="26">
        <v>0</v>
      </c>
      <c r="G533" s="26">
        <v>0</v>
      </c>
      <c r="H533" s="26">
        <v>0</v>
      </c>
    </row>
    <row r="534" spans="1:8">
      <c r="A534" s="24" t="s">
        <v>253</v>
      </c>
      <c r="B534" s="24" t="s">
        <v>329</v>
      </c>
      <c r="C534" s="25">
        <v>45748</v>
      </c>
      <c r="D534" s="24" t="s">
        <v>2660</v>
      </c>
      <c r="E534" s="26">
        <v>0</v>
      </c>
      <c r="F534" s="26">
        <v>0</v>
      </c>
      <c r="G534" s="26">
        <v>0</v>
      </c>
      <c r="H534" s="26">
        <v>0</v>
      </c>
    </row>
    <row r="535" spans="1:8">
      <c r="A535" s="24" t="s">
        <v>253</v>
      </c>
      <c r="B535" s="24" t="s">
        <v>329</v>
      </c>
      <c r="C535" s="25">
        <v>45778</v>
      </c>
      <c r="D535" s="24" t="s">
        <v>2661</v>
      </c>
      <c r="E535" s="26">
        <v>0</v>
      </c>
      <c r="F535" s="26">
        <v>0</v>
      </c>
      <c r="G535" s="26">
        <v>0</v>
      </c>
      <c r="H535" s="26">
        <v>0</v>
      </c>
    </row>
    <row r="536" spans="1:8">
      <c r="A536" s="24" t="s">
        <v>253</v>
      </c>
      <c r="B536" s="24" t="s">
        <v>329</v>
      </c>
      <c r="C536" s="25">
        <v>45809</v>
      </c>
      <c r="D536" s="24" t="s">
        <v>2662</v>
      </c>
      <c r="E536" s="26">
        <v>0</v>
      </c>
      <c r="F536" s="26">
        <v>0</v>
      </c>
      <c r="G536" s="26">
        <v>0</v>
      </c>
      <c r="H536" s="26">
        <v>0</v>
      </c>
    </row>
    <row r="537" spans="1:8">
      <c r="A537" s="24" t="s">
        <v>253</v>
      </c>
      <c r="B537" s="24" t="s">
        <v>329</v>
      </c>
      <c r="C537" s="25">
        <v>45839</v>
      </c>
      <c r="D537" s="24" t="s">
        <v>2663</v>
      </c>
      <c r="E537" s="26">
        <v>0</v>
      </c>
      <c r="F537" s="26">
        <v>0</v>
      </c>
      <c r="G537" s="26">
        <v>0</v>
      </c>
      <c r="H537" s="26">
        <v>0</v>
      </c>
    </row>
    <row r="538" spans="1:8">
      <c r="A538" s="24" t="s">
        <v>253</v>
      </c>
      <c r="B538" s="24" t="s">
        <v>329</v>
      </c>
      <c r="C538" s="25">
        <v>45870</v>
      </c>
      <c r="D538" s="24" t="s">
        <v>2664</v>
      </c>
      <c r="E538" s="26">
        <v>0</v>
      </c>
      <c r="F538" s="26">
        <v>0</v>
      </c>
      <c r="G538" s="26">
        <v>0</v>
      </c>
      <c r="H538" s="26">
        <v>0</v>
      </c>
    </row>
    <row r="539" spans="1:8">
      <c r="A539" s="24" t="s">
        <v>253</v>
      </c>
      <c r="B539" s="24" t="s">
        <v>329</v>
      </c>
      <c r="C539" s="25">
        <v>45901</v>
      </c>
      <c r="D539" s="24" t="s">
        <v>2665</v>
      </c>
      <c r="E539" s="26">
        <v>0</v>
      </c>
      <c r="F539" s="26">
        <v>0</v>
      </c>
      <c r="G539" s="26">
        <v>0</v>
      </c>
      <c r="H539" s="26">
        <v>0</v>
      </c>
    </row>
    <row r="540" spans="1:8">
      <c r="A540" s="24" t="s">
        <v>253</v>
      </c>
      <c r="B540" s="24" t="s">
        <v>329</v>
      </c>
      <c r="C540" s="25">
        <v>45931</v>
      </c>
      <c r="D540" s="24" t="s">
        <v>2666</v>
      </c>
      <c r="E540" s="26">
        <v>0</v>
      </c>
      <c r="F540" s="26">
        <v>0</v>
      </c>
      <c r="G540" s="26">
        <v>0</v>
      </c>
      <c r="H540" s="26">
        <v>0</v>
      </c>
    </row>
    <row r="541" spans="1:8">
      <c r="A541" s="24" t="s">
        <v>253</v>
      </c>
      <c r="B541" s="24" t="s">
        <v>329</v>
      </c>
      <c r="C541" s="25">
        <v>45962</v>
      </c>
      <c r="D541" s="24" t="s">
        <v>2667</v>
      </c>
      <c r="E541" s="26">
        <v>0</v>
      </c>
      <c r="F541" s="26">
        <v>11962.74</v>
      </c>
      <c r="G541" s="26">
        <v>-11962.74</v>
      </c>
      <c r="H541" s="26">
        <v>-11962.74</v>
      </c>
    </row>
    <row r="542" spans="1:8">
      <c r="A542" s="24" t="s">
        <v>253</v>
      </c>
      <c r="B542" s="24" t="s">
        <v>329</v>
      </c>
      <c r="C542" s="25">
        <v>45992</v>
      </c>
      <c r="D542" s="24" t="s">
        <v>2668</v>
      </c>
      <c r="E542" s="26">
        <v>0</v>
      </c>
      <c r="F542" s="26">
        <v>7587.89</v>
      </c>
      <c r="G542" s="26">
        <v>-7587.89</v>
      </c>
      <c r="H542" s="26">
        <v>-19550.63</v>
      </c>
    </row>
    <row r="543" spans="1:8">
      <c r="A543" s="24" t="s">
        <v>151</v>
      </c>
      <c r="B543" s="24" t="s">
        <v>337</v>
      </c>
      <c r="C543" s="25">
        <v>45658</v>
      </c>
      <c r="D543" s="24" t="s">
        <v>2657</v>
      </c>
      <c r="E543" s="26">
        <v>0</v>
      </c>
      <c r="F543" s="26">
        <v>0</v>
      </c>
      <c r="G543" s="26">
        <v>0</v>
      </c>
      <c r="H543" s="26">
        <v>0</v>
      </c>
    </row>
    <row r="544" spans="1:8">
      <c r="A544" s="24" t="s">
        <v>151</v>
      </c>
      <c r="B544" s="24" t="s">
        <v>337</v>
      </c>
      <c r="C544" s="25">
        <v>45689</v>
      </c>
      <c r="D544" s="24" t="s">
        <v>2658</v>
      </c>
      <c r="E544" s="26">
        <v>0</v>
      </c>
      <c r="F544" s="26">
        <v>0</v>
      </c>
      <c r="G544" s="26">
        <v>0</v>
      </c>
      <c r="H544" s="26">
        <v>0</v>
      </c>
    </row>
    <row r="545" spans="1:8">
      <c r="A545" s="24" t="s">
        <v>151</v>
      </c>
      <c r="B545" s="24" t="s">
        <v>337</v>
      </c>
      <c r="C545" s="25">
        <v>45717</v>
      </c>
      <c r="D545" s="24" t="s">
        <v>2659</v>
      </c>
      <c r="E545" s="26">
        <v>0</v>
      </c>
      <c r="F545" s="26">
        <v>0</v>
      </c>
      <c r="G545" s="26">
        <v>0</v>
      </c>
      <c r="H545" s="26">
        <v>0</v>
      </c>
    </row>
    <row r="546" spans="1:8">
      <c r="A546" s="24" t="s">
        <v>151</v>
      </c>
      <c r="B546" s="24" t="s">
        <v>337</v>
      </c>
      <c r="C546" s="25">
        <v>45748</v>
      </c>
      <c r="D546" s="24" t="s">
        <v>2660</v>
      </c>
      <c r="E546" s="26">
        <v>0</v>
      </c>
      <c r="F546" s="26">
        <v>0</v>
      </c>
      <c r="G546" s="26">
        <v>0</v>
      </c>
      <c r="H546" s="26">
        <v>0</v>
      </c>
    </row>
    <row r="547" spans="1:8">
      <c r="A547" s="24" t="s">
        <v>151</v>
      </c>
      <c r="B547" s="24" t="s">
        <v>337</v>
      </c>
      <c r="C547" s="25">
        <v>45778</v>
      </c>
      <c r="D547" s="24" t="s">
        <v>2661</v>
      </c>
      <c r="E547" s="26">
        <v>0</v>
      </c>
      <c r="F547" s="26">
        <v>0</v>
      </c>
      <c r="G547" s="26">
        <v>0</v>
      </c>
      <c r="H547" s="26">
        <v>0</v>
      </c>
    </row>
    <row r="548" spans="1:8">
      <c r="A548" s="24" t="s">
        <v>151</v>
      </c>
      <c r="B548" s="24" t="s">
        <v>337</v>
      </c>
      <c r="C548" s="25">
        <v>45809</v>
      </c>
      <c r="D548" s="24" t="s">
        <v>2662</v>
      </c>
      <c r="E548" s="26">
        <v>0</v>
      </c>
      <c r="F548" s="26">
        <v>0</v>
      </c>
      <c r="G548" s="26">
        <v>0</v>
      </c>
      <c r="H548" s="26">
        <v>0</v>
      </c>
    </row>
    <row r="549" spans="1:8">
      <c r="A549" s="24" t="s">
        <v>151</v>
      </c>
      <c r="B549" s="24" t="s">
        <v>337</v>
      </c>
      <c r="C549" s="25">
        <v>45839</v>
      </c>
      <c r="D549" s="24" t="s">
        <v>2663</v>
      </c>
      <c r="E549" s="26">
        <v>0</v>
      </c>
      <c r="F549" s="26">
        <v>0</v>
      </c>
      <c r="G549" s="26">
        <v>0</v>
      </c>
      <c r="H549" s="26">
        <v>0</v>
      </c>
    </row>
    <row r="550" spans="1:8">
      <c r="A550" s="24" t="s">
        <v>151</v>
      </c>
      <c r="B550" s="24" t="s">
        <v>337</v>
      </c>
      <c r="C550" s="25">
        <v>45870</v>
      </c>
      <c r="D550" s="24" t="s">
        <v>2664</v>
      </c>
      <c r="E550" s="26">
        <v>0</v>
      </c>
      <c r="F550" s="26">
        <v>0</v>
      </c>
      <c r="G550" s="26">
        <v>0</v>
      </c>
      <c r="H550" s="26">
        <v>0</v>
      </c>
    </row>
    <row r="551" spans="1:8">
      <c r="A551" s="24" t="s">
        <v>151</v>
      </c>
      <c r="B551" s="24" t="s">
        <v>337</v>
      </c>
      <c r="C551" s="25">
        <v>45901</v>
      </c>
      <c r="D551" s="24" t="s">
        <v>2665</v>
      </c>
      <c r="E551" s="26">
        <v>0</v>
      </c>
      <c r="F551" s="26">
        <v>117023.31</v>
      </c>
      <c r="G551" s="26">
        <v>-117023.31</v>
      </c>
      <c r="H551" s="26">
        <v>-117023.31</v>
      </c>
    </row>
    <row r="552" spans="1:8">
      <c r="A552" s="24" t="s">
        <v>151</v>
      </c>
      <c r="B552" s="24" t="s">
        <v>337</v>
      </c>
      <c r="C552" s="25">
        <v>45931</v>
      </c>
      <c r="D552" s="24" t="s">
        <v>2666</v>
      </c>
      <c r="E552" s="26">
        <v>0</v>
      </c>
      <c r="F552" s="26">
        <v>135927.71</v>
      </c>
      <c r="G552" s="26">
        <v>-135927.71</v>
      </c>
      <c r="H552" s="26">
        <v>-252951.02</v>
      </c>
    </row>
    <row r="553" spans="1:8">
      <c r="A553" s="24" t="s">
        <v>151</v>
      </c>
      <c r="B553" s="24" t="s">
        <v>337</v>
      </c>
      <c r="C553" s="25">
        <v>45962</v>
      </c>
      <c r="D553" s="24" t="s">
        <v>2667</v>
      </c>
      <c r="E553" s="26">
        <v>0</v>
      </c>
      <c r="F553" s="26">
        <v>0</v>
      </c>
      <c r="G553" s="26">
        <v>0</v>
      </c>
      <c r="H553" s="26">
        <v>-252951.02</v>
      </c>
    </row>
    <row r="554" spans="1:8">
      <c r="A554" s="24" t="s">
        <v>151</v>
      </c>
      <c r="B554" s="24" t="s">
        <v>337</v>
      </c>
      <c r="C554" s="25">
        <v>45992</v>
      </c>
      <c r="D554" s="24" t="s">
        <v>2668</v>
      </c>
      <c r="E554" s="26">
        <v>60692.39</v>
      </c>
      <c r="F554" s="26">
        <v>0</v>
      </c>
      <c r="G554" s="26">
        <v>60692.39</v>
      </c>
      <c r="H554" s="26">
        <v>-192258.63</v>
      </c>
    </row>
    <row r="555" spans="1:8">
      <c r="A555" s="24" t="s">
        <v>351</v>
      </c>
      <c r="B555" s="24" t="s">
        <v>324</v>
      </c>
      <c r="C555" s="25">
        <v>45658</v>
      </c>
      <c r="D555" s="24" t="s">
        <v>2657</v>
      </c>
      <c r="E555" s="26">
        <v>0</v>
      </c>
      <c r="F555" s="26">
        <v>0</v>
      </c>
      <c r="G555" s="26">
        <v>0</v>
      </c>
      <c r="H555" s="26">
        <v>0</v>
      </c>
    </row>
    <row r="556" spans="1:8">
      <c r="A556" s="24" t="s">
        <v>351</v>
      </c>
      <c r="B556" s="24" t="s">
        <v>324</v>
      </c>
      <c r="C556" s="25">
        <v>45689</v>
      </c>
      <c r="D556" s="24" t="s">
        <v>2658</v>
      </c>
      <c r="E556" s="26">
        <v>0</v>
      </c>
      <c r="F556" s="26">
        <v>0</v>
      </c>
      <c r="G556" s="26">
        <v>0</v>
      </c>
      <c r="H556" s="26">
        <v>0</v>
      </c>
    </row>
    <row r="557" spans="1:8">
      <c r="A557" s="24" t="s">
        <v>351</v>
      </c>
      <c r="B557" s="24" t="s">
        <v>324</v>
      </c>
      <c r="C557" s="25">
        <v>45717</v>
      </c>
      <c r="D557" s="24" t="s">
        <v>2659</v>
      </c>
      <c r="E557" s="26">
        <v>0</v>
      </c>
      <c r="F557" s="26">
        <v>0</v>
      </c>
      <c r="G557" s="26">
        <v>0</v>
      </c>
      <c r="H557" s="26">
        <v>0</v>
      </c>
    </row>
    <row r="558" spans="1:8">
      <c r="A558" s="24" t="s">
        <v>351</v>
      </c>
      <c r="B558" s="24" t="s">
        <v>324</v>
      </c>
      <c r="C558" s="25">
        <v>45748</v>
      </c>
      <c r="D558" s="24" t="s">
        <v>2660</v>
      </c>
      <c r="E558" s="26">
        <v>0</v>
      </c>
      <c r="F558" s="26">
        <v>0</v>
      </c>
      <c r="G558" s="26">
        <v>0</v>
      </c>
      <c r="H558" s="26">
        <v>0</v>
      </c>
    </row>
    <row r="559" spans="1:8">
      <c r="A559" s="24" t="s">
        <v>351</v>
      </c>
      <c r="B559" s="24" t="s">
        <v>324</v>
      </c>
      <c r="C559" s="25">
        <v>45778</v>
      </c>
      <c r="D559" s="24" t="s">
        <v>2661</v>
      </c>
      <c r="E559" s="26">
        <v>0</v>
      </c>
      <c r="F559" s="26">
        <v>0</v>
      </c>
      <c r="G559" s="26">
        <v>0</v>
      </c>
      <c r="H559" s="26">
        <v>0</v>
      </c>
    </row>
    <row r="560" spans="1:8">
      <c r="A560" s="24" t="s">
        <v>351</v>
      </c>
      <c r="B560" s="24" t="s">
        <v>324</v>
      </c>
      <c r="C560" s="25">
        <v>45809</v>
      </c>
      <c r="D560" s="24" t="s">
        <v>2662</v>
      </c>
      <c r="E560" s="26">
        <v>0</v>
      </c>
      <c r="F560" s="26">
        <v>0</v>
      </c>
      <c r="G560" s="26">
        <v>0</v>
      </c>
      <c r="H560" s="26">
        <v>0</v>
      </c>
    </row>
    <row r="561" spans="1:8">
      <c r="A561" s="24" t="s">
        <v>351</v>
      </c>
      <c r="B561" s="24" t="s">
        <v>324</v>
      </c>
      <c r="C561" s="25">
        <v>45839</v>
      </c>
      <c r="D561" s="24" t="s">
        <v>2663</v>
      </c>
      <c r="E561" s="26">
        <v>0</v>
      </c>
      <c r="F561" s="26">
        <v>0</v>
      </c>
      <c r="G561" s="26">
        <v>0</v>
      </c>
      <c r="H561" s="26">
        <v>0</v>
      </c>
    </row>
    <row r="562" spans="1:8">
      <c r="A562" s="24" t="s">
        <v>351</v>
      </c>
      <c r="B562" s="24" t="s">
        <v>324</v>
      </c>
      <c r="C562" s="25">
        <v>45870</v>
      </c>
      <c r="D562" s="24" t="s">
        <v>2664</v>
      </c>
      <c r="E562" s="26">
        <v>0</v>
      </c>
      <c r="F562" s="26">
        <v>0</v>
      </c>
      <c r="G562" s="26">
        <v>0</v>
      </c>
      <c r="H562" s="26">
        <v>0</v>
      </c>
    </row>
    <row r="563" spans="1:8">
      <c r="A563" s="24" t="s">
        <v>351</v>
      </c>
      <c r="B563" s="24" t="s">
        <v>324</v>
      </c>
      <c r="C563" s="25">
        <v>45901</v>
      </c>
      <c r="D563" s="24" t="s">
        <v>2665</v>
      </c>
      <c r="E563" s="26">
        <v>0</v>
      </c>
      <c r="F563" s="26">
        <v>0</v>
      </c>
      <c r="G563" s="26">
        <v>0</v>
      </c>
      <c r="H563" s="26">
        <v>0</v>
      </c>
    </row>
    <row r="564" spans="1:8">
      <c r="A564" s="24" t="s">
        <v>351</v>
      </c>
      <c r="B564" s="24" t="s">
        <v>324</v>
      </c>
      <c r="C564" s="25">
        <v>45931</v>
      </c>
      <c r="D564" s="24" t="s">
        <v>2666</v>
      </c>
      <c r="E564" s="26">
        <v>0</v>
      </c>
      <c r="F564" s="26">
        <v>0</v>
      </c>
      <c r="G564" s="26">
        <v>0</v>
      </c>
      <c r="H564" s="26">
        <v>0</v>
      </c>
    </row>
    <row r="565" spans="1:8">
      <c r="A565" s="24" t="s">
        <v>351</v>
      </c>
      <c r="B565" s="24" t="s">
        <v>324</v>
      </c>
      <c r="C565" s="25">
        <v>45962</v>
      </c>
      <c r="D565" s="24" t="s">
        <v>2667</v>
      </c>
      <c r="E565" s="26">
        <v>0</v>
      </c>
      <c r="F565" s="26">
        <v>0</v>
      </c>
      <c r="G565" s="26">
        <v>0</v>
      </c>
      <c r="H565" s="26">
        <v>0</v>
      </c>
    </row>
    <row r="566" spans="1:8">
      <c r="A566" s="24" t="s">
        <v>351</v>
      </c>
      <c r="B566" s="24" t="s">
        <v>324</v>
      </c>
      <c r="C566" s="25">
        <v>45992</v>
      </c>
      <c r="D566" s="24" t="s">
        <v>2668</v>
      </c>
      <c r="E566" s="26">
        <v>0</v>
      </c>
      <c r="F566" s="26">
        <v>36533.589999999997</v>
      </c>
      <c r="G566" s="26">
        <v>-36533.589999999997</v>
      </c>
      <c r="H566" s="26">
        <v>-36533.589999999997</v>
      </c>
    </row>
    <row r="567" spans="1:8">
      <c r="A567" s="24" t="s">
        <v>91</v>
      </c>
      <c r="B567" s="24" t="s">
        <v>318</v>
      </c>
      <c r="C567" s="25">
        <v>45658</v>
      </c>
      <c r="D567" s="24" t="s">
        <v>2657</v>
      </c>
      <c r="E567" s="26">
        <v>0</v>
      </c>
      <c r="F567" s="26">
        <v>0</v>
      </c>
      <c r="G567" s="26">
        <v>0</v>
      </c>
      <c r="H567" s="26">
        <v>0</v>
      </c>
    </row>
    <row r="568" spans="1:8">
      <c r="A568" s="24" t="s">
        <v>91</v>
      </c>
      <c r="B568" s="24" t="s">
        <v>318</v>
      </c>
      <c r="C568" s="25">
        <v>45689</v>
      </c>
      <c r="D568" s="24" t="s">
        <v>2658</v>
      </c>
      <c r="E568" s="26">
        <v>0</v>
      </c>
      <c r="F568" s="26">
        <v>0</v>
      </c>
      <c r="G568" s="26">
        <v>0</v>
      </c>
      <c r="H568" s="26">
        <v>0</v>
      </c>
    </row>
    <row r="569" spans="1:8">
      <c r="A569" s="24" t="s">
        <v>91</v>
      </c>
      <c r="B569" s="24" t="s">
        <v>318</v>
      </c>
      <c r="C569" s="25">
        <v>45717</v>
      </c>
      <c r="D569" s="24" t="s">
        <v>2659</v>
      </c>
      <c r="E569" s="26">
        <v>0</v>
      </c>
      <c r="F569" s="26">
        <v>0</v>
      </c>
      <c r="G569" s="26">
        <v>0</v>
      </c>
      <c r="H569" s="26">
        <v>0</v>
      </c>
    </row>
    <row r="570" spans="1:8">
      <c r="A570" s="24" t="s">
        <v>91</v>
      </c>
      <c r="B570" s="24" t="s">
        <v>318</v>
      </c>
      <c r="C570" s="25">
        <v>45748</v>
      </c>
      <c r="D570" s="24" t="s">
        <v>2660</v>
      </c>
      <c r="E570" s="26">
        <v>0</v>
      </c>
      <c r="F570" s="26">
        <v>0</v>
      </c>
      <c r="G570" s="26">
        <v>0</v>
      </c>
      <c r="H570" s="26">
        <v>0</v>
      </c>
    </row>
    <row r="571" spans="1:8">
      <c r="A571" s="24" t="s">
        <v>91</v>
      </c>
      <c r="B571" s="24" t="s">
        <v>318</v>
      </c>
      <c r="C571" s="25">
        <v>45778</v>
      </c>
      <c r="D571" s="24" t="s">
        <v>2661</v>
      </c>
      <c r="E571" s="26">
        <v>0</v>
      </c>
      <c r="F571" s="26">
        <v>0</v>
      </c>
      <c r="G571" s="26">
        <v>0</v>
      </c>
      <c r="H571" s="26">
        <v>0</v>
      </c>
    </row>
    <row r="572" spans="1:8">
      <c r="A572" s="24" t="s">
        <v>91</v>
      </c>
      <c r="B572" s="24" t="s">
        <v>318</v>
      </c>
      <c r="C572" s="25">
        <v>45809</v>
      </c>
      <c r="D572" s="24" t="s">
        <v>2662</v>
      </c>
      <c r="E572" s="26">
        <v>0</v>
      </c>
      <c r="F572" s="26">
        <v>0</v>
      </c>
      <c r="G572" s="26">
        <v>0</v>
      </c>
      <c r="H572" s="26">
        <v>0</v>
      </c>
    </row>
    <row r="573" spans="1:8">
      <c r="A573" s="24" t="s">
        <v>91</v>
      </c>
      <c r="B573" s="24" t="s">
        <v>318</v>
      </c>
      <c r="C573" s="25">
        <v>45839</v>
      </c>
      <c r="D573" s="24" t="s">
        <v>2663</v>
      </c>
      <c r="E573" s="26">
        <v>0</v>
      </c>
      <c r="F573" s="26">
        <v>73937.539999999994</v>
      </c>
      <c r="G573" s="26">
        <v>-73937.539999999994</v>
      </c>
      <c r="H573" s="26">
        <v>-73937.539999999994</v>
      </c>
    </row>
    <row r="574" spans="1:8">
      <c r="A574" s="24" t="s">
        <v>91</v>
      </c>
      <c r="B574" s="24" t="s">
        <v>318</v>
      </c>
      <c r="C574" s="25">
        <v>45870</v>
      </c>
      <c r="D574" s="24" t="s">
        <v>2664</v>
      </c>
      <c r="E574" s="26">
        <v>0</v>
      </c>
      <c r="F574" s="26">
        <v>0</v>
      </c>
      <c r="G574" s="26">
        <v>0</v>
      </c>
      <c r="H574" s="26">
        <v>-73937.539999999994</v>
      </c>
    </row>
    <row r="575" spans="1:8">
      <c r="A575" s="24" t="s">
        <v>91</v>
      </c>
      <c r="B575" s="24" t="s">
        <v>318</v>
      </c>
      <c r="C575" s="25">
        <v>45901</v>
      </c>
      <c r="D575" s="24" t="s">
        <v>2665</v>
      </c>
      <c r="E575" s="26">
        <v>0</v>
      </c>
      <c r="F575" s="26">
        <v>12916.43</v>
      </c>
      <c r="G575" s="26">
        <v>-12916.43</v>
      </c>
      <c r="H575" s="26">
        <v>-86853.97</v>
      </c>
    </row>
    <row r="576" spans="1:8">
      <c r="A576" s="24" t="s">
        <v>91</v>
      </c>
      <c r="B576" s="24" t="s">
        <v>318</v>
      </c>
      <c r="C576" s="25">
        <v>45931</v>
      </c>
      <c r="D576" s="24" t="s">
        <v>2666</v>
      </c>
      <c r="E576" s="26">
        <v>0</v>
      </c>
      <c r="F576" s="26">
        <v>112049.9</v>
      </c>
      <c r="G576" s="26">
        <v>-112049.9</v>
      </c>
      <c r="H576" s="26">
        <v>-198903.87</v>
      </c>
    </row>
    <row r="577" spans="1:8">
      <c r="A577" s="24" t="s">
        <v>91</v>
      </c>
      <c r="B577" s="24" t="s">
        <v>318</v>
      </c>
      <c r="C577" s="25">
        <v>45962</v>
      </c>
      <c r="D577" s="24" t="s">
        <v>2667</v>
      </c>
      <c r="E577" s="26">
        <v>0</v>
      </c>
      <c r="F577" s="26">
        <v>0</v>
      </c>
      <c r="G577" s="26">
        <v>0</v>
      </c>
      <c r="H577" s="26">
        <v>-198903.87</v>
      </c>
    </row>
    <row r="578" spans="1:8">
      <c r="A578" s="24" t="s">
        <v>91</v>
      </c>
      <c r="B578" s="24" t="s">
        <v>318</v>
      </c>
      <c r="C578" s="25">
        <v>45992</v>
      </c>
      <c r="D578" s="24" t="s">
        <v>2668</v>
      </c>
      <c r="E578" s="26">
        <v>0</v>
      </c>
      <c r="F578" s="26">
        <v>0</v>
      </c>
      <c r="G578" s="26">
        <v>0</v>
      </c>
      <c r="H578" s="26">
        <v>-198903.87</v>
      </c>
    </row>
    <row r="579" spans="1:8">
      <c r="A579" s="24" t="s">
        <v>67</v>
      </c>
      <c r="B579" s="24" t="s">
        <v>337</v>
      </c>
      <c r="C579" s="25">
        <v>45658</v>
      </c>
      <c r="D579" s="24" t="s">
        <v>2657</v>
      </c>
      <c r="E579" s="26">
        <v>0</v>
      </c>
      <c r="F579" s="26">
        <v>0</v>
      </c>
      <c r="G579" s="26">
        <v>0</v>
      </c>
      <c r="H579" s="26">
        <v>0</v>
      </c>
    </row>
    <row r="580" spans="1:8">
      <c r="A580" s="24" t="s">
        <v>67</v>
      </c>
      <c r="B580" s="24" t="s">
        <v>337</v>
      </c>
      <c r="C580" s="25">
        <v>45689</v>
      </c>
      <c r="D580" s="24" t="s">
        <v>2658</v>
      </c>
      <c r="E580" s="26">
        <v>0</v>
      </c>
      <c r="F580" s="26">
        <v>0</v>
      </c>
      <c r="G580" s="26">
        <v>0</v>
      </c>
      <c r="H580" s="26">
        <v>0</v>
      </c>
    </row>
    <row r="581" spans="1:8">
      <c r="A581" s="24" t="s">
        <v>67</v>
      </c>
      <c r="B581" s="24" t="s">
        <v>337</v>
      </c>
      <c r="C581" s="25">
        <v>45717</v>
      </c>
      <c r="D581" s="24" t="s">
        <v>2659</v>
      </c>
      <c r="E581" s="26">
        <v>0</v>
      </c>
      <c r="F581" s="26">
        <v>0</v>
      </c>
      <c r="G581" s="26">
        <v>0</v>
      </c>
      <c r="H581" s="26">
        <v>0</v>
      </c>
    </row>
    <row r="582" spans="1:8">
      <c r="A582" s="24" t="s">
        <v>67</v>
      </c>
      <c r="B582" s="24" t="s">
        <v>337</v>
      </c>
      <c r="C582" s="25">
        <v>45748</v>
      </c>
      <c r="D582" s="24" t="s">
        <v>2660</v>
      </c>
      <c r="E582" s="26">
        <v>0</v>
      </c>
      <c r="F582" s="26">
        <v>0</v>
      </c>
      <c r="G582" s="26">
        <v>0</v>
      </c>
      <c r="H582" s="26">
        <v>0</v>
      </c>
    </row>
    <row r="583" spans="1:8">
      <c r="A583" s="24" t="s">
        <v>67</v>
      </c>
      <c r="B583" s="24" t="s">
        <v>337</v>
      </c>
      <c r="C583" s="25">
        <v>45778</v>
      </c>
      <c r="D583" s="24" t="s">
        <v>2661</v>
      </c>
      <c r="E583" s="26">
        <v>0</v>
      </c>
      <c r="F583" s="26">
        <v>0</v>
      </c>
      <c r="G583" s="26">
        <v>0</v>
      </c>
      <c r="H583" s="26">
        <v>0</v>
      </c>
    </row>
    <row r="584" spans="1:8">
      <c r="A584" s="24" t="s">
        <v>67</v>
      </c>
      <c r="B584" s="24" t="s">
        <v>337</v>
      </c>
      <c r="C584" s="25">
        <v>45809</v>
      </c>
      <c r="D584" s="24" t="s">
        <v>2662</v>
      </c>
      <c r="E584" s="26">
        <v>0</v>
      </c>
      <c r="F584" s="26">
        <v>0</v>
      </c>
      <c r="G584" s="26">
        <v>0</v>
      </c>
      <c r="H584" s="26">
        <v>0</v>
      </c>
    </row>
    <row r="585" spans="1:8">
      <c r="A585" s="24" t="s">
        <v>67</v>
      </c>
      <c r="B585" s="24" t="s">
        <v>337</v>
      </c>
      <c r="C585" s="25">
        <v>45839</v>
      </c>
      <c r="D585" s="24" t="s">
        <v>2663</v>
      </c>
      <c r="E585" s="26">
        <v>0</v>
      </c>
      <c r="F585" s="26">
        <v>0</v>
      </c>
      <c r="G585" s="26">
        <v>0</v>
      </c>
      <c r="H585" s="26">
        <v>0</v>
      </c>
    </row>
    <row r="586" spans="1:8">
      <c r="A586" s="24" t="s">
        <v>67</v>
      </c>
      <c r="B586" s="24" t="s">
        <v>337</v>
      </c>
      <c r="C586" s="25">
        <v>45870</v>
      </c>
      <c r="D586" s="24" t="s">
        <v>2664</v>
      </c>
      <c r="E586" s="26">
        <v>0</v>
      </c>
      <c r="F586" s="26">
        <v>0</v>
      </c>
      <c r="G586" s="26">
        <v>0</v>
      </c>
      <c r="H586" s="26">
        <v>0</v>
      </c>
    </row>
    <row r="587" spans="1:8">
      <c r="A587" s="24" t="s">
        <v>67</v>
      </c>
      <c r="B587" s="24" t="s">
        <v>337</v>
      </c>
      <c r="C587" s="25">
        <v>45901</v>
      </c>
      <c r="D587" s="24" t="s">
        <v>2665</v>
      </c>
      <c r="E587" s="26">
        <v>0</v>
      </c>
      <c r="F587" s="26">
        <v>0</v>
      </c>
      <c r="G587" s="26">
        <v>0</v>
      </c>
      <c r="H587" s="26">
        <v>0</v>
      </c>
    </row>
    <row r="588" spans="1:8">
      <c r="A588" s="24" t="s">
        <v>67</v>
      </c>
      <c r="B588" s="24" t="s">
        <v>337</v>
      </c>
      <c r="C588" s="25">
        <v>45931</v>
      </c>
      <c r="D588" s="24" t="s">
        <v>2666</v>
      </c>
      <c r="E588" s="26">
        <v>0</v>
      </c>
      <c r="F588" s="26">
        <v>0</v>
      </c>
      <c r="G588" s="26">
        <v>0</v>
      </c>
      <c r="H588" s="26">
        <v>0</v>
      </c>
    </row>
    <row r="589" spans="1:8">
      <c r="A589" s="24" t="s">
        <v>67</v>
      </c>
      <c r="B589" s="24" t="s">
        <v>337</v>
      </c>
      <c r="C589" s="25">
        <v>45962</v>
      </c>
      <c r="D589" s="24" t="s">
        <v>2667</v>
      </c>
      <c r="E589" s="26">
        <v>0</v>
      </c>
      <c r="F589" s="26">
        <v>0</v>
      </c>
      <c r="G589" s="26">
        <v>0</v>
      </c>
      <c r="H589" s="26">
        <v>0</v>
      </c>
    </row>
    <row r="590" spans="1:8">
      <c r="A590" s="24" t="s">
        <v>67</v>
      </c>
      <c r="B590" s="24" t="s">
        <v>337</v>
      </c>
      <c r="C590" s="25">
        <v>45992</v>
      </c>
      <c r="D590" s="24" t="s">
        <v>2668</v>
      </c>
      <c r="E590" s="26">
        <v>0</v>
      </c>
      <c r="F590" s="26">
        <v>0</v>
      </c>
      <c r="G590" s="26">
        <v>0</v>
      </c>
      <c r="H590" s="26">
        <v>0</v>
      </c>
    </row>
    <row r="591" spans="1:8">
      <c r="A591" s="24" t="s">
        <v>159</v>
      </c>
      <c r="B591" s="24" t="s">
        <v>337</v>
      </c>
      <c r="C591" s="25">
        <v>45658</v>
      </c>
      <c r="D591" s="24" t="s">
        <v>2657</v>
      </c>
      <c r="E591" s="26">
        <v>0</v>
      </c>
      <c r="F591" s="26">
        <v>0</v>
      </c>
      <c r="G591" s="26">
        <v>0</v>
      </c>
      <c r="H591" s="26">
        <v>0</v>
      </c>
    </row>
    <row r="592" spans="1:8">
      <c r="A592" s="24" t="s">
        <v>159</v>
      </c>
      <c r="B592" s="24" t="s">
        <v>337</v>
      </c>
      <c r="C592" s="25">
        <v>45689</v>
      </c>
      <c r="D592" s="24" t="s">
        <v>2658</v>
      </c>
      <c r="E592" s="26">
        <v>0</v>
      </c>
      <c r="F592" s="26">
        <v>0</v>
      </c>
      <c r="G592" s="26">
        <v>0</v>
      </c>
      <c r="H592" s="26">
        <v>0</v>
      </c>
    </row>
    <row r="593" spans="1:8">
      <c r="A593" s="24" t="s">
        <v>159</v>
      </c>
      <c r="B593" s="24" t="s">
        <v>337</v>
      </c>
      <c r="C593" s="25">
        <v>45717</v>
      </c>
      <c r="D593" s="24" t="s">
        <v>2659</v>
      </c>
      <c r="E593" s="26">
        <v>0</v>
      </c>
      <c r="F593" s="26">
        <v>0</v>
      </c>
      <c r="G593" s="26">
        <v>0</v>
      </c>
      <c r="H593" s="26">
        <v>0</v>
      </c>
    </row>
    <row r="594" spans="1:8">
      <c r="A594" s="24" t="s">
        <v>159</v>
      </c>
      <c r="B594" s="24" t="s">
        <v>337</v>
      </c>
      <c r="C594" s="25">
        <v>45748</v>
      </c>
      <c r="D594" s="24" t="s">
        <v>2660</v>
      </c>
      <c r="E594" s="26">
        <v>0</v>
      </c>
      <c r="F594" s="26">
        <v>0</v>
      </c>
      <c r="G594" s="26">
        <v>0</v>
      </c>
      <c r="H594" s="26">
        <v>0</v>
      </c>
    </row>
    <row r="595" spans="1:8">
      <c r="A595" s="24" t="s">
        <v>159</v>
      </c>
      <c r="B595" s="24" t="s">
        <v>337</v>
      </c>
      <c r="C595" s="25">
        <v>45778</v>
      </c>
      <c r="D595" s="24" t="s">
        <v>2661</v>
      </c>
      <c r="E595" s="26">
        <v>0</v>
      </c>
      <c r="F595" s="26">
        <v>0</v>
      </c>
      <c r="G595" s="26">
        <v>0</v>
      </c>
      <c r="H595" s="26">
        <v>0</v>
      </c>
    </row>
    <row r="596" spans="1:8">
      <c r="A596" s="24" t="s">
        <v>159</v>
      </c>
      <c r="B596" s="24" t="s">
        <v>337</v>
      </c>
      <c r="C596" s="25">
        <v>45809</v>
      </c>
      <c r="D596" s="24" t="s">
        <v>2662</v>
      </c>
      <c r="E596" s="26">
        <v>0</v>
      </c>
      <c r="F596" s="26">
        <v>0</v>
      </c>
      <c r="G596" s="26">
        <v>0</v>
      </c>
      <c r="H596" s="26">
        <v>0</v>
      </c>
    </row>
    <row r="597" spans="1:8">
      <c r="A597" s="24" t="s">
        <v>159</v>
      </c>
      <c r="B597" s="24" t="s">
        <v>337</v>
      </c>
      <c r="C597" s="25">
        <v>45839</v>
      </c>
      <c r="D597" s="24" t="s">
        <v>2663</v>
      </c>
      <c r="E597" s="26">
        <v>0</v>
      </c>
      <c r="F597" s="26">
        <v>0</v>
      </c>
      <c r="G597" s="26">
        <v>0</v>
      </c>
      <c r="H597" s="26">
        <v>0</v>
      </c>
    </row>
    <row r="598" spans="1:8">
      <c r="A598" s="24" t="s">
        <v>159</v>
      </c>
      <c r="B598" s="24" t="s">
        <v>337</v>
      </c>
      <c r="C598" s="25">
        <v>45870</v>
      </c>
      <c r="D598" s="24" t="s">
        <v>2664</v>
      </c>
      <c r="E598" s="26">
        <v>0</v>
      </c>
      <c r="F598" s="26">
        <v>0</v>
      </c>
      <c r="G598" s="26">
        <v>0</v>
      </c>
      <c r="H598" s="26">
        <v>0</v>
      </c>
    </row>
    <row r="599" spans="1:8">
      <c r="A599" s="24" t="s">
        <v>159</v>
      </c>
      <c r="B599" s="24" t="s">
        <v>337</v>
      </c>
      <c r="C599" s="25">
        <v>45901</v>
      </c>
      <c r="D599" s="24" t="s">
        <v>2665</v>
      </c>
      <c r="E599" s="26">
        <v>0</v>
      </c>
      <c r="F599" s="26">
        <v>0</v>
      </c>
      <c r="G599" s="26">
        <v>0</v>
      </c>
      <c r="H599" s="26">
        <v>0</v>
      </c>
    </row>
    <row r="600" spans="1:8">
      <c r="A600" s="24" t="s">
        <v>159</v>
      </c>
      <c r="B600" s="24" t="s">
        <v>337</v>
      </c>
      <c r="C600" s="25">
        <v>45931</v>
      </c>
      <c r="D600" s="24" t="s">
        <v>2666</v>
      </c>
      <c r="E600" s="26">
        <v>0</v>
      </c>
      <c r="F600" s="26">
        <v>51659.65</v>
      </c>
      <c r="G600" s="26">
        <v>-51659.65</v>
      </c>
      <c r="H600" s="26">
        <v>-51659.65</v>
      </c>
    </row>
    <row r="601" spans="1:8">
      <c r="A601" s="24" t="s">
        <v>159</v>
      </c>
      <c r="B601" s="24" t="s">
        <v>337</v>
      </c>
      <c r="C601" s="25">
        <v>45962</v>
      </c>
      <c r="D601" s="24" t="s">
        <v>2667</v>
      </c>
      <c r="E601" s="26">
        <v>0</v>
      </c>
      <c r="F601" s="26">
        <v>45242.27</v>
      </c>
      <c r="G601" s="26">
        <v>-45242.27</v>
      </c>
      <c r="H601" s="26">
        <v>-96901.92</v>
      </c>
    </row>
    <row r="602" spans="1:8">
      <c r="A602" s="24" t="s">
        <v>159</v>
      </c>
      <c r="B602" s="24" t="s">
        <v>337</v>
      </c>
      <c r="C602" s="25">
        <v>45992</v>
      </c>
      <c r="D602" s="24" t="s">
        <v>2668</v>
      </c>
      <c r="E602" s="26">
        <v>0</v>
      </c>
      <c r="F602" s="26">
        <v>0</v>
      </c>
      <c r="G602" s="26">
        <v>0</v>
      </c>
      <c r="H602" s="26">
        <v>-96901.92</v>
      </c>
    </row>
    <row r="603" spans="1:8">
      <c r="A603" s="24" t="s">
        <v>21</v>
      </c>
      <c r="B603" s="24" t="s">
        <v>337</v>
      </c>
      <c r="C603" s="25">
        <v>45658</v>
      </c>
      <c r="D603" s="24" t="s">
        <v>2657</v>
      </c>
      <c r="E603" s="26">
        <v>0</v>
      </c>
      <c r="F603" s="26">
        <v>0</v>
      </c>
      <c r="G603" s="26">
        <v>0</v>
      </c>
      <c r="H603" s="26">
        <v>0</v>
      </c>
    </row>
    <row r="604" spans="1:8">
      <c r="A604" s="24" t="s">
        <v>21</v>
      </c>
      <c r="B604" s="24" t="s">
        <v>337</v>
      </c>
      <c r="C604" s="25">
        <v>45689</v>
      </c>
      <c r="D604" s="24" t="s">
        <v>2658</v>
      </c>
      <c r="E604" s="26">
        <v>0</v>
      </c>
      <c r="F604" s="26">
        <v>0</v>
      </c>
      <c r="G604" s="26">
        <v>0</v>
      </c>
      <c r="H604" s="26">
        <v>0</v>
      </c>
    </row>
    <row r="605" spans="1:8">
      <c r="A605" s="24" t="s">
        <v>21</v>
      </c>
      <c r="B605" s="24" t="s">
        <v>337</v>
      </c>
      <c r="C605" s="25">
        <v>45717</v>
      </c>
      <c r="D605" s="24" t="s">
        <v>2659</v>
      </c>
      <c r="E605" s="26">
        <v>0</v>
      </c>
      <c r="F605" s="26">
        <v>0</v>
      </c>
      <c r="G605" s="26">
        <v>0</v>
      </c>
      <c r="H605" s="26">
        <v>0</v>
      </c>
    </row>
    <row r="606" spans="1:8">
      <c r="A606" s="24" t="s">
        <v>21</v>
      </c>
      <c r="B606" s="24" t="s">
        <v>337</v>
      </c>
      <c r="C606" s="25">
        <v>45748</v>
      </c>
      <c r="D606" s="24" t="s">
        <v>2660</v>
      </c>
      <c r="E606" s="26">
        <v>0</v>
      </c>
      <c r="F606" s="26">
        <v>0</v>
      </c>
      <c r="G606" s="26">
        <v>0</v>
      </c>
      <c r="H606" s="26">
        <v>0</v>
      </c>
    </row>
    <row r="607" spans="1:8">
      <c r="A607" s="24" t="s">
        <v>21</v>
      </c>
      <c r="B607" s="24" t="s">
        <v>337</v>
      </c>
      <c r="C607" s="25">
        <v>45778</v>
      </c>
      <c r="D607" s="24" t="s">
        <v>2661</v>
      </c>
      <c r="E607" s="26">
        <v>0</v>
      </c>
      <c r="F607" s="26">
        <v>0</v>
      </c>
      <c r="G607" s="26">
        <v>0</v>
      </c>
      <c r="H607" s="26">
        <v>0</v>
      </c>
    </row>
    <row r="608" spans="1:8">
      <c r="A608" s="24" t="s">
        <v>21</v>
      </c>
      <c r="B608" s="24" t="s">
        <v>337</v>
      </c>
      <c r="C608" s="25">
        <v>45809</v>
      </c>
      <c r="D608" s="24" t="s">
        <v>2662</v>
      </c>
      <c r="E608" s="26">
        <v>0</v>
      </c>
      <c r="F608" s="26">
        <v>0</v>
      </c>
      <c r="G608" s="26">
        <v>0</v>
      </c>
      <c r="H608" s="26">
        <v>0</v>
      </c>
    </row>
    <row r="609" spans="1:8">
      <c r="A609" s="24" t="s">
        <v>21</v>
      </c>
      <c r="B609" s="24" t="s">
        <v>337</v>
      </c>
      <c r="C609" s="25">
        <v>45839</v>
      </c>
      <c r="D609" s="24" t="s">
        <v>2663</v>
      </c>
      <c r="E609" s="26">
        <v>0</v>
      </c>
      <c r="F609" s="26">
        <v>0</v>
      </c>
      <c r="G609" s="26">
        <v>0</v>
      </c>
      <c r="H609" s="26">
        <v>0</v>
      </c>
    </row>
    <row r="610" spans="1:8">
      <c r="A610" s="24" t="s">
        <v>21</v>
      </c>
      <c r="B610" s="24" t="s">
        <v>337</v>
      </c>
      <c r="C610" s="25">
        <v>45870</v>
      </c>
      <c r="D610" s="24" t="s">
        <v>2664</v>
      </c>
      <c r="E610" s="26">
        <v>0</v>
      </c>
      <c r="F610" s="26">
        <v>0</v>
      </c>
      <c r="G610" s="26">
        <v>0</v>
      </c>
      <c r="H610" s="26">
        <v>0</v>
      </c>
    </row>
    <row r="611" spans="1:8">
      <c r="A611" s="24" t="s">
        <v>21</v>
      </c>
      <c r="B611" s="24" t="s">
        <v>337</v>
      </c>
      <c r="C611" s="25">
        <v>45901</v>
      </c>
      <c r="D611" s="24" t="s">
        <v>2665</v>
      </c>
      <c r="E611" s="26">
        <v>0</v>
      </c>
      <c r="F611" s="26">
        <v>0</v>
      </c>
      <c r="G611" s="26">
        <v>0</v>
      </c>
      <c r="H611" s="26">
        <v>0</v>
      </c>
    </row>
    <row r="612" spans="1:8">
      <c r="A612" s="24" t="s">
        <v>21</v>
      </c>
      <c r="B612" s="24" t="s">
        <v>337</v>
      </c>
      <c r="C612" s="25">
        <v>45931</v>
      </c>
      <c r="D612" s="24" t="s">
        <v>2666</v>
      </c>
      <c r="E612" s="26">
        <v>0</v>
      </c>
      <c r="F612" s="26">
        <v>114074.88</v>
      </c>
      <c r="G612" s="26">
        <v>-114074.88</v>
      </c>
      <c r="H612" s="26">
        <v>-114074.88</v>
      </c>
    </row>
    <row r="613" spans="1:8">
      <c r="A613" s="24" t="s">
        <v>21</v>
      </c>
      <c r="B613" s="24" t="s">
        <v>337</v>
      </c>
      <c r="C613" s="25">
        <v>45962</v>
      </c>
      <c r="D613" s="24" t="s">
        <v>2667</v>
      </c>
      <c r="E613" s="26">
        <v>0</v>
      </c>
      <c r="F613" s="26">
        <v>0</v>
      </c>
      <c r="G613" s="26">
        <v>0</v>
      </c>
      <c r="H613" s="26">
        <v>-114074.88</v>
      </c>
    </row>
    <row r="614" spans="1:8">
      <c r="A614" s="24" t="s">
        <v>21</v>
      </c>
      <c r="B614" s="24" t="s">
        <v>337</v>
      </c>
      <c r="C614" s="25">
        <v>45992</v>
      </c>
      <c r="D614" s="24" t="s">
        <v>2668</v>
      </c>
      <c r="E614" s="26">
        <v>0</v>
      </c>
      <c r="F614" s="26">
        <v>2393.79</v>
      </c>
      <c r="G614" s="26">
        <v>-2393.79</v>
      </c>
      <c r="H614" s="26">
        <v>-116468.67</v>
      </c>
    </row>
    <row r="615" spans="1:8">
      <c r="A615" s="24" t="s">
        <v>110</v>
      </c>
      <c r="B615" s="24" t="s">
        <v>324</v>
      </c>
      <c r="C615" s="25">
        <v>45658</v>
      </c>
      <c r="D615" s="24" t="s">
        <v>2657</v>
      </c>
      <c r="E615" s="26">
        <v>0</v>
      </c>
      <c r="F615" s="26">
        <v>0</v>
      </c>
      <c r="G615" s="26">
        <v>0</v>
      </c>
      <c r="H615" s="26">
        <v>0</v>
      </c>
    </row>
    <row r="616" spans="1:8">
      <c r="A616" s="24" t="s">
        <v>110</v>
      </c>
      <c r="B616" s="24" t="s">
        <v>324</v>
      </c>
      <c r="C616" s="25">
        <v>45689</v>
      </c>
      <c r="D616" s="24" t="s">
        <v>2658</v>
      </c>
      <c r="E616" s="26">
        <v>0</v>
      </c>
      <c r="F616" s="26">
        <v>0</v>
      </c>
      <c r="G616" s="26">
        <v>0</v>
      </c>
      <c r="H616" s="26">
        <v>0</v>
      </c>
    </row>
    <row r="617" spans="1:8">
      <c r="A617" s="24" t="s">
        <v>110</v>
      </c>
      <c r="B617" s="24" t="s">
        <v>324</v>
      </c>
      <c r="C617" s="25">
        <v>45717</v>
      </c>
      <c r="D617" s="24" t="s">
        <v>2659</v>
      </c>
      <c r="E617" s="26">
        <v>0</v>
      </c>
      <c r="F617" s="26">
        <v>0</v>
      </c>
      <c r="G617" s="26">
        <v>0</v>
      </c>
      <c r="H617" s="26">
        <v>0</v>
      </c>
    </row>
    <row r="618" spans="1:8">
      <c r="A618" s="24" t="s">
        <v>110</v>
      </c>
      <c r="B618" s="24" t="s">
        <v>324</v>
      </c>
      <c r="C618" s="25">
        <v>45748</v>
      </c>
      <c r="D618" s="24" t="s">
        <v>2660</v>
      </c>
      <c r="E618" s="26">
        <v>0</v>
      </c>
      <c r="F618" s="26">
        <v>0</v>
      </c>
      <c r="G618" s="26">
        <v>0</v>
      </c>
      <c r="H618" s="26">
        <v>0</v>
      </c>
    </row>
    <row r="619" spans="1:8">
      <c r="A619" s="24" t="s">
        <v>110</v>
      </c>
      <c r="B619" s="24" t="s">
        <v>324</v>
      </c>
      <c r="C619" s="25">
        <v>45778</v>
      </c>
      <c r="D619" s="24" t="s">
        <v>2661</v>
      </c>
      <c r="E619" s="26">
        <v>0</v>
      </c>
      <c r="F619" s="26">
        <v>0</v>
      </c>
      <c r="G619" s="26">
        <v>0</v>
      </c>
      <c r="H619" s="26">
        <v>0</v>
      </c>
    </row>
    <row r="620" spans="1:8">
      <c r="A620" s="24" t="s">
        <v>110</v>
      </c>
      <c r="B620" s="24" t="s">
        <v>324</v>
      </c>
      <c r="C620" s="25">
        <v>45809</v>
      </c>
      <c r="D620" s="24" t="s">
        <v>2662</v>
      </c>
      <c r="E620" s="26">
        <v>0</v>
      </c>
      <c r="F620" s="26">
        <v>0</v>
      </c>
      <c r="G620" s="26">
        <v>0</v>
      </c>
      <c r="H620" s="26">
        <v>0</v>
      </c>
    </row>
    <row r="621" spans="1:8">
      <c r="A621" s="24" t="s">
        <v>110</v>
      </c>
      <c r="B621" s="24" t="s">
        <v>324</v>
      </c>
      <c r="C621" s="25">
        <v>45839</v>
      </c>
      <c r="D621" s="24" t="s">
        <v>2663</v>
      </c>
      <c r="E621" s="26">
        <v>0</v>
      </c>
      <c r="F621" s="26">
        <v>36313.370000000003</v>
      </c>
      <c r="G621" s="26">
        <v>-36313.370000000003</v>
      </c>
      <c r="H621" s="26">
        <v>-36313.370000000003</v>
      </c>
    </row>
    <row r="622" spans="1:8">
      <c r="A622" s="24" t="s">
        <v>110</v>
      </c>
      <c r="B622" s="24" t="s">
        <v>324</v>
      </c>
      <c r="C622" s="25">
        <v>45870</v>
      </c>
      <c r="D622" s="24" t="s">
        <v>2664</v>
      </c>
      <c r="E622" s="26">
        <v>0</v>
      </c>
      <c r="F622" s="26">
        <v>43207.05</v>
      </c>
      <c r="G622" s="26">
        <v>-43207.05</v>
      </c>
      <c r="H622" s="26">
        <v>-79520.420000000013</v>
      </c>
    </row>
    <row r="623" spans="1:8">
      <c r="A623" s="24" t="s">
        <v>110</v>
      </c>
      <c r="B623" s="24" t="s">
        <v>324</v>
      </c>
      <c r="C623" s="25">
        <v>45901</v>
      </c>
      <c r="D623" s="24" t="s">
        <v>2665</v>
      </c>
      <c r="E623" s="26">
        <v>79540.009999999995</v>
      </c>
      <c r="F623" s="26">
        <v>0</v>
      </c>
      <c r="G623" s="26">
        <v>79540.009999999995</v>
      </c>
      <c r="H623" s="26">
        <v>19.589999999981959</v>
      </c>
    </row>
    <row r="624" spans="1:8">
      <c r="A624" s="24" t="s">
        <v>110</v>
      </c>
      <c r="B624" s="24" t="s">
        <v>324</v>
      </c>
      <c r="C624" s="25">
        <v>45931</v>
      </c>
      <c r="D624" s="24" t="s">
        <v>2666</v>
      </c>
      <c r="E624" s="26">
        <v>0</v>
      </c>
      <c r="F624" s="26">
        <v>0</v>
      </c>
      <c r="G624" s="26">
        <v>0</v>
      </c>
      <c r="H624" s="26">
        <v>19.589999999981959</v>
      </c>
    </row>
    <row r="625" spans="1:8">
      <c r="A625" s="24" t="s">
        <v>110</v>
      </c>
      <c r="B625" s="24" t="s">
        <v>324</v>
      </c>
      <c r="C625" s="25">
        <v>45962</v>
      </c>
      <c r="D625" s="24" t="s">
        <v>2667</v>
      </c>
      <c r="E625" s="26">
        <v>0</v>
      </c>
      <c r="F625" s="26">
        <v>0</v>
      </c>
      <c r="G625" s="26">
        <v>0</v>
      </c>
      <c r="H625" s="26">
        <v>19.589999999981959</v>
      </c>
    </row>
    <row r="626" spans="1:8">
      <c r="A626" s="24" t="s">
        <v>110</v>
      </c>
      <c r="B626" s="24" t="s">
        <v>324</v>
      </c>
      <c r="C626" s="25">
        <v>45992</v>
      </c>
      <c r="D626" s="24" t="s">
        <v>2668</v>
      </c>
      <c r="E626" s="26">
        <v>0</v>
      </c>
      <c r="F626" s="26">
        <v>1397.15</v>
      </c>
      <c r="G626" s="26">
        <v>-1397.15</v>
      </c>
      <c r="H626" s="26">
        <v>-1377.5600000000179</v>
      </c>
    </row>
    <row r="627" spans="1:8">
      <c r="A627" s="24" t="s">
        <v>281</v>
      </c>
      <c r="B627" s="24" t="s">
        <v>324</v>
      </c>
      <c r="C627" s="25">
        <v>45658</v>
      </c>
      <c r="D627" s="24" t="s">
        <v>2657</v>
      </c>
      <c r="E627" s="26">
        <v>0</v>
      </c>
      <c r="F627" s="26">
        <v>0</v>
      </c>
      <c r="G627" s="26">
        <v>0</v>
      </c>
      <c r="H627" s="26">
        <v>0</v>
      </c>
    </row>
    <row r="628" spans="1:8">
      <c r="A628" s="24" t="s">
        <v>281</v>
      </c>
      <c r="B628" s="24" t="s">
        <v>324</v>
      </c>
      <c r="C628" s="25">
        <v>45689</v>
      </c>
      <c r="D628" s="24" t="s">
        <v>2658</v>
      </c>
      <c r="E628" s="26">
        <v>0</v>
      </c>
      <c r="F628" s="26">
        <v>0</v>
      </c>
      <c r="G628" s="26">
        <v>0</v>
      </c>
      <c r="H628" s="26">
        <v>0</v>
      </c>
    </row>
    <row r="629" spans="1:8">
      <c r="A629" s="24" t="s">
        <v>281</v>
      </c>
      <c r="B629" s="24" t="s">
        <v>324</v>
      </c>
      <c r="C629" s="25">
        <v>45717</v>
      </c>
      <c r="D629" s="24" t="s">
        <v>2659</v>
      </c>
      <c r="E629" s="26">
        <v>0</v>
      </c>
      <c r="F629" s="26">
        <v>0</v>
      </c>
      <c r="G629" s="26">
        <v>0</v>
      </c>
      <c r="H629" s="26">
        <v>0</v>
      </c>
    </row>
    <row r="630" spans="1:8">
      <c r="A630" s="24" t="s">
        <v>281</v>
      </c>
      <c r="B630" s="24" t="s">
        <v>324</v>
      </c>
      <c r="C630" s="25">
        <v>45748</v>
      </c>
      <c r="D630" s="24" t="s">
        <v>2660</v>
      </c>
      <c r="E630" s="26">
        <v>0</v>
      </c>
      <c r="F630" s="26">
        <v>0</v>
      </c>
      <c r="G630" s="26">
        <v>0</v>
      </c>
      <c r="H630" s="26">
        <v>0</v>
      </c>
    </row>
    <row r="631" spans="1:8">
      <c r="A631" s="24" t="s">
        <v>281</v>
      </c>
      <c r="B631" s="24" t="s">
        <v>324</v>
      </c>
      <c r="C631" s="25">
        <v>45778</v>
      </c>
      <c r="D631" s="24" t="s">
        <v>2661</v>
      </c>
      <c r="E631" s="26">
        <v>0</v>
      </c>
      <c r="F631" s="26">
        <v>0</v>
      </c>
      <c r="G631" s="26">
        <v>0</v>
      </c>
      <c r="H631" s="26">
        <v>0</v>
      </c>
    </row>
    <row r="632" spans="1:8">
      <c r="A632" s="24" t="s">
        <v>281</v>
      </c>
      <c r="B632" s="24" t="s">
        <v>324</v>
      </c>
      <c r="C632" s="25">
        <v>45809</v>
      </c>
      <c r="D632" s="24" t="s">
        <v>2662</v>
      </c>
      <c r="E632" s="26">
        <v>0</v>
      </c>
      <c r="F632" s="26">
        <v>0</v>
      </c>
      <c r="G632" s="26">
        <v>0</v>
      </c>
      <c r="H632" s="26">
        <v>0</v>
      </c>
    </row>
    <row r="633" spans="1:8">
      <c r="A633" s="24" t="s">
        <v>281</v>
      </c>
      <c r="B633" s="24" t="s">
        <v>324</v>
      </c>
      <c r="C633" s="25">
        <v>45839</v>
      </c>
      <c r="D633" s="24" t="s">
        <v>2663</v>
      </c>
      <c r="E633" s="26">
        <v>0</v>
      </c>
      <c r="F633" s="26">
        <v>0</v>
      </c>
      <c r="G633" s="26">
        <v>0</v>
      </c>
      <c r="H633" s="26">
        <v>0</v>
      </c>
    </row>
    <row r="634" spans="1:8">
      <c r="A634" s="24" t="s">
        <v>281</v>
      </c>
      <c r="B634" s="24" t="s">
        <v>324</v>
      </c>
      <c r="C634" s="25">
        <v>45870</v>
      </c>
      <c r="D634" s="24" t="s">
        <v>2664</v>
      </c>
      <c r="E634" s="26">
        <v>0</v>
      </c>
      <c r="F634" s="26">
        <v>0</v>
      </c>
      <c r="G634" s="26">
        <v>0</v>
      </c>
      <c r="H634" s="26">
        <v>0</v>
      </c>
    </row>
    <row r="635" spans="1:8">
      <c r="A635" s="24" t="s">
        <v>281</v>
      </c>
      <c r="B635" s="24" t="s">
        <v>324</v>
      </c>
      <c r="C635" s="25">
        <v>45901</v>
      </c>
      <c r="D635" s="24" t="s">
        <v>2665</v>
      </c>
      <c r="E635" s="26">
        <v>0</v>
      </c>
      <c r="F635" s="26">
        <v>0</v>
      </c>
      <c r="G635" s="26">
        <v>0</v>
      </c>
      <c r="H635" s="26">
        <v>0</v>
      </c>
    </row>
    <row r="636" spans="1:8">
      <c r="A636" s="24" t="s">
        <v>281</v>
      </c>
      <c r="B636" s="24" t="s">
        <v>324</v>
      </c>
      <c r="C636" s="25">
        <v>45931</v>
      </c>
      <c r="D636" s="24" t="s">
        <v>2666</v>
      </c>
      <c r="E636" s="26">
        <v>0</v>
      </c>
      <c r="F636" s="26">
        <v>0</v>
      </c>
      <c r="G636" s="26">
        <v>0</v>
      </c>
      <c r="H636" s="26">
        <v>0</v>
      </c>
    </row>
    <row r="637" spans="1:8">
      <c r="A637" s="24" t="s">
        <v>281</v>
      </c>
      <c r="B637" s="24" t="s">
        <v>324</v>
      </c>
      <c r="C637" s="25">
        <v>45962</v>
      </c>
      <c r="D637" s="24" t="s">
        <v>2667</v>
      </c>
      <c r="E637" s="26">
        <v>0</v>
      </c>
      <c r="F637" s="26">
        <v>0</v>
      </c>
      <c r="G637" s="26">
        <v>0</v>
      </c>
      <c r="H637" s="26">
        <v>0</v>
      </c>
    </row>
    <row r="638" spans="1:8">
      <c r="A638" s="24" t="s">
        <v>281</v>
      </c>
      <c r="B638" s="24" t="s">
        <v>324</v>
      </c>
      <c r="C638" s="25">
        <v>45992</v>
      </c>
      <c r="D638" s="24" t="s">
        <v>2668</v>
      </c>
      <c r="E638" s="26">
        <v>0</v>
      </c>
      <c r="F638" s="26">
        <v>17892.060000000001</v>
      </c>
      <c r="G638" s="26">
        <v>-17892.060000000001</v>
      </c>
      <c r="H638" s="26">
        <v>-17892.060000000001</v>
      </c>
    </row>
    <row r="639" spans="1:8">
      <c r="A639" s="24" t="s">
        <v>247</v>
      </c>
      <c r="B639" s="24" t="s">
        <v>337</v>
      </c>
      <c r="C639" s="25">
        <v>45658</v>
      </c>
      <c r="D639" s="24" t="s">
        <v>2657</v>
      </c>
      <c r="E639" s="26">
        <v>0</v>
      </c>
      <c r="F639" s="26">
        <v>0</v>
      </c>
      <c r="G639" s="26">
        <v>0</v>
      </c>
      <c r="H639" s="26">
        <v>0</v>
      </c>
    </row>
    <row r="640" spans="1:8">
      <c r="A640" s="24" t="s">
        <v>247</v>
      </c>
      <c r="B640" s="24" t="s">
        <v>337</v>
      </c>
      <c r="C640" s="25">
        <v>45689</v>
      </c>
      <c r="D640" s="24" t="s">
        <v>2658</v>
      </c>
      <c r="E640" s="26">
        <v>0</v>
      </c>
      <c r="F640" s="26">
        <v>0</v>
      </c>
      <c r="G640" s="26">
        <v>0</v>
      </c>
      <c r="H640" s="26">
        <v>0</v>
      </c>
    </row>
    <row r="641" spans="1:8">
      <c r="A641" s="24" t="s">
        <v>247</v>
      </c>
      <c r="B641" s="24" t="s">
        <v>337</v>
      </c>
      <c r="C641" s="25">
        <v>45717</v>
      </c>
      <c r="D641" s="24" t="s">
        <v>2659</v>
      </c>
      <c r="E641" s="26">
        <v>0</v>
      </c>
      <c r="F641" s="26">
        <v>0</v>
      </c>
      <c r="G641" s="26">
        <v>0</v>
      </c>
      <c r="H641" s="26">
        <v>0</v>
      </c>
    </row>
    <row r="642" spans="1:8">
      <c r="A642" s="24" t="s">
        <v>247</v>
      </c>
      <c r="B642" s="24" t="s">
        <v>337</v>
      </c>
      <c r="C642" s="25">
        <v>45748</v>
      </c>
      <c r="D642" s="24" t="s">
        <v>2660</v>
      </c>
      <c r="E642" s="26">
        <v>0</v>
      </c>
      <c r="F642" s="26">
        <v>0</v>
      </c>
      <c r="G642" s="26">
        <v>0</v>
      </c>
      <c r="H642" s="26">
        <v>0</v>
      </c>
    </row>
    <row r="643" spans="1:8">
      <c r="A643" s="24" t="s">
        <v>247</v>
      </c>
      <c r="B643" s="24" t="s">
        <v>337</v>
      </c>
      <c r="C643" s="25">
        <v>45778</v>
      </c>
      <c r="D643" s="24" t="s">
        <v>2661</v>
      </c>
      <c r="E643" s="26">
        <v>0</v>
      </c>
      <c r="F643" s="26">
        <v>0</v>
      </c>
      <c r="G643" s="26">
        <v>0</v>
      </c>
      <c r="H643" s="26">
        <v>0</v>
      </c>
    </row>
    <row r="644" spans="1:8">
      <c r="A644" s="24" t="s">
        <v>247</v>
      </c>
      <c r="B644" s="24" t="s">
        <v>337</v>
      </c>
      <c r="C644" s="25">
        <v>45809</v>
      </c>
      <c r="D644" s="24" t="s">
        <v>2662</v>
      </c>
      <c r="E644" s="26">
        <v>0</v>
      </c>
      <c r="F644" s="26">
        <v>0</v>
      </c>
      <c r="G644" s="26">
        <v>0</v>
      </c>
      <c r="H644" s="26">
        <v>0</v>
      </c>
    </row>
    <row r="645" spans="1:8">
      <c r="A645" s="24" t="s">
        <v>247</v>
      </c>
      <c r="B645" s="24" t="s">
        <v>337</v>
      </c>
      <c r="C645" s="25">
        <v>45839</v>
      </c>
      <c r="D645" s="24" t="s">
        <v>2663</v>
      </c>
      <c r="E645" s="26">
        <v>0</v>
      </c>
      <c r="F645" s="26">
        <v>0</v>
      </c>
      <c r="G645" s="26">
        <v>0</v>
      </c>
      <c r="H645" s="26">
        <v>0</v>
      </c>
    </row>
    <row r="646" spans="1:8">
      <c r="A646" s="24" t="s">
        <v>247</v>
      </c>
      <c r="B646" s="24" t="s">
        <v>337</v>
      </c>
      <c r="C646" s="25">
        <v>45870</v>
      </c>
      <c r="D646" s="24" t="s">
        <v>2664</v>
      </c>
      <c r="E646" s="26">
        <v>0</v>
      </c>
      <c r="F646" s="26">
        <v>0</v>
      </c>
      <c r="G646" s="26">
        <v>0</v>
      </c>
      <c r="H646" s="26">
        <v>0</v>
      </c>
    </row>
    <row r="647" spans="1:8">
      <c r="A647" s="24" t="s">
        <v>247</v>
      </c>
      <c r="B647" s="24" t="s">
        <v>337</v>
      </c>
      <c r="C647" s="25">
        <v>45901</v>
      </c>
      <c r="D647" s="24" t="s">
        <v>2665</v>
      </c>
      <c r="E647" s="26">
        <v>0</v>
      </c>
      <c r="F647" s="26">
        <v>7669.71</v>
      </c>
      <c r="G647" s="26">
        <v>-7669.71</v>
      </c>
      <c r="H647" s="26">
        <v>-7669.71</v>
      </c>
    </row>
    <row r="648" spans="1:8">
      <c r="A648" s="24" t="s">
        <v>247</v>
      </c>
      <c r="B648" s="24" t="s">
        <v>337</v>
      </c>
      <c r="C648" s="25">
        <v>45931</v>
      </c>
      <c r="D648" s="24" t="s">
        <v>2666</v>
      </c>
      <c r="E648" s="26">
        <v>0</v>
      </c>
      <c r="F648" s="26">
        <v>26028.97</v>
      </c>
      <c r="G648" s="26">
        <v>-26028.97</v>
      </c>
      <c r="H648" s="26">
        <v>-33698.68</v>
      </c>
    </row>
    <row r="649" spans="1:8">
      <c r="A649" s="24" t="s">
        <v>247</v>
      </c>
      <c r="B649" s="24" t="s">
        <v>337</v>
      </c>
      <c r="C649" s="25">
        <v>45962</v>
      </c>
      <c r="D649" s="24" t="s">
        <v>2667</v>
      </c>
      <c r="E649" s="26">
        <v>0</v>
      </c>
      <c r="F649" s="26">
        <v>0</v>
      </c>
      <c r="G649" s="26">
        <v>0</v>
      </c>
      <c r="H649" s="26">
        <v>-33698.68</v>
      </c>
    </row>
    <row r="650" spans="1:8">
      <c r="A650" s="24" t="s">
        <v>247</v>
      </c>
      <c r="B650" s="24" t="s">
        <v>337</v>
      </c>
      <c r="C650" s="25">
        <v>45992</v>
      </c>
      <c r="D650" s="24" t="s">
        <v>2668</v>
      </c>
      <c r="E650" s="26">
        <v>0</v>
      </c>
      <c r="F650" s="26">
        <v>0</v>
      </c>
      <c r="G650" s="26">
        <v>0</v>
      </c>
      <c r="H650" s="26">
        <v>-33698.68</v>
      </c>
    </row>
    <row r="651" spans="1:8">
      <c r="A651" s="24" t="s">
        <v>208</v>
      </c>
      <c r="B651" s="24" t="s">
        <v>337</v>
      </c>
      <c r="C651" s="25">
        <v>45658</v>
      </c>
      <c r="D651" s="24" t="s">
        <v>2657</v>
      </c>
      <c r="E651" s="26">
        <v>0</v>
      </c>
      <c r="F651" s="26">
        <v>0</v>
      </c>
      <c r="G651" s="26">
        <v>0</v>
      </c>
      <c r="H651" s="26">
        <v>0</v>
      </c>
    </row>
    <row r="652" spans="1:8">
      <c r="A652" s="24" t="s">
        <v>208</v>
      </c>
      <c r="B652" s="24" t="s">
        <v>337</v>
      </c>
      <c r="C652" s="25">
        <v>45689</v>
      </c>
      <c r="D652" s="24" t="s">
        <v>2658</v>
      </c>
      <c r="E652" s="26">
        <v>0</v>
      </c>
      <c r="F652" s="26">
        <v>0</v>
      </c>
      <c r="G652" s="26">
        <v>0</v>
      </c>
      <c r="H652" s="26">
        <v>0</v>
      </c>
    </row>
    <row r="653" spans="1:8">
      <c r="A653" s="24" t="s">
        <v>208</v>
      </c>
      <c r="B653" s="24" t="s">
        <v>337</v>
      </c>
      <c r="C653" s="25">
        <v>45717</v>
      </c>
      <c r="D653" s="24" t="s">
        <v>2659</v>
      </c>
      <c r="E653" s="26">
        <v>0</v>
      </c>
      <c r="F653" s="26">
        <v>0</v>
      </c>
      <c r="G653" s="26">
        <v>0</v>
      </c>
      <c r="H653" s="26">
        <v>0</v>
      </c>
    </row>
    <row r="654" spans="1:8">
      <c r="A654" s="24" t="s">
        <v>208</v>
      </c>
      <c r="B654" s="24" t="s">
        <v>337</v>
      </c>
      <c r="C654" s="25">
        <v>45748</v>
      </c>
      <c r="D654" s="24" t="s">
        <v>2660</v>
      </c>
      <c r="E654" s="26">
        <v>0</v>
      </c>
      <c r="F654" s="26">
        <v>0</v>
      </c>
      <c r="G654" s="26">
        <v>0</v>
      </c>
      <c r="H654" s="26">
        <v>0</v>
      </c>
    </row>
    <row r="655" spans="1:8">
      <c r="A655" s="24" t="s">
        <v>208</v>
      </c>
      <c r="B655" s="24" t="s">
        <v>337</v>
      </c>
      <c r="C655" s="25">
        <v>45778</v>
      </c>
      <c r="D655" s="24" t="s">
        <v>2661</v>
      </c>
      <c r="E655" s="26">
        <v>0</v>
      </c>
      <c r="F655" s="26">
        <v>0</v>
      </c>
      <c r="G655" s="26">
        <v>0</v>
      </c>
      <c r="H655" s="26">
        <v>0</v>
      </c>
    </row>
    <row r="656" spans="1:8">
      <c r="A656" s="24" t="s">
        <v>208</v>
      </c>
      <c r="B656" s="24" t="s">
        <v>337</v>
      </c>
      <c r="C656" s="25">
        <v>45809</v>
      </c>
      <c r="D656" s="24" t="s">
        <v>2662</v>
      </c>
      <c r="E656" s="26">
        <v>0</v>
      </c>
      <c r="F656" s="26">
        <v>0</v>
      </c>
      <c r="G656" s="26">
        <v>0</v>
      </c>
      <c r="H656" s="26">
        <v>0</v>
      </c>
    </row>
    <row r="657" spans="1:8">
      <c r="A657" s="24" t="s">
        <v>208</v>
      </c>
      <c r="B657" s="24" t="s">
        <v>337</v>
      </c>
      <c r="C657" s="25">
        <v>45839</v>
      </c>
      <c r="D657" s="24" t="s">
        <v>2663</v>
      </c>
      <c r="E657" s="26">
        <v>0</v>
      </c>
      <c r="F657" s="26">
        <v>0</v>
      </c>
      <c r="G657" s="26">
        <v>0</v>
      </c>
      <c r="H657" s="26">
        <v>0</v>
      </c>
    </row>
    <row r="658" spans="1:8">
      <c r="A658" s="24" t="s">
        <v>208</v>
      </c>
      <c r="B658" s="24" t="s">
        <v>337</v>
      </c>
      <c r="C658" s="25">
        <v>45870</v>
      </c>
      <c r="D658" s="24" t="s">
        <v>2664</v>
      </c>
      <c r="E658" s="26">
        <v>0</v>
      </c>
      <c r="F658" s="26">
        <v>0</v>
      </c>
      <c r="G658" s="26">
        <v>0</v>
      </c>
      <c r="H658" s="26">
        <v>0</v>
      </c>
    </row>
    <row r="659" spans="1:8">
      <c r="A659" s="24" t="s">
        <v>208</v>
      </c>
      <c r="B659" s="24" t="s">
        <v>337</v>
      </c>
      <c r="C659" s="25">
        <v>45901</v>
      </c>
      <c r="D659" s="24" t="s">
        <v>2665</v>
      </c>
      <c r="E659" s="26">
        <v>0</v>
      </c>
      <c r="F659" s="26">
        <v>0</v>
      </c>
      <c r="G659" s="26">
        <v>0</v>
      </c>
      <c r="H659" s="26">
        <v>0</v>
      </c>
    </row>
    <row r="660" spans="1:8">
      <c r="A660" s="24" t="s">
        <v>208</v>
      </c>
      <c r="B660" s="24" t="s">
        <v>337</v>
      </c>
      <c r="C660" s="25">
        <v>45931</v>
      </c>
      <c r="D660" s="24" t="s">
        <v>2666</v>
      </c>
      <c r="E660" s="26">
        <v>0</v>
      </c>
      <c r="F660" s="26">
        <v>0</v>
      </c>
      <c r="G660" s="26">
        <v>0</v>
      </c>
      <c r="H660" s="26">
        <v>0</v>
      </c>
    </row>
    <row r="661" spans="1:8">
      <c r="A661" s="24" t="s">
        <v>208</v>
      </c>
      <c r="B661" s="24" t="s">
        <v>337</v>
      </c>
      <c r="C661" s="25">
        <v>45962</v>
      </c>
      <c r="D661" s="24" t="s">
        <v>2667</v>
      </c>
      <c r="E661" s="26">
        <v>0</v>
      </c>
      <c r="F661" s="26">
        <v>0</v>
      </c>
      <c r="G661" s="26">
        <v>0</v>
      </c>
      <c r="H661" s="26">
        <v>0</v>
      </c>
    </row>
    <row r="662" spans="1:8">
      <c r="A662" s="24" t="s">
        <v>208</v>
      </c>
      <c r="B662" s="24" t="s">
        <v>337</v>
      </c>
      <c r="C662" s="25">
        <v>45992</v>
      </c>
      <c r="D662" s="24" t="s">
        <v>2668</v>
      </c>
      <c r="E662" s="26">
        <v>0</v>
      </c>
      <c r="F662" s="26">
        <v>0</v>
      </c>
      <c r="G662" s="26">
        <v>0</v>
      </c>
      <c r="H662" s="26">
        <v>0</v>
      </c>
    </row>
    <row r="663" spans="1:8">
      <c r="A663" s="24" t="s">
        <v>286</v>
      </c>
      <c r="B663" s="24" t="s">
        <v>345</v>
      </c>
      <c r="C663" s="25">
        <v>45658</v>
      </c>
      <c r="D663" s="24" t="s">
        <v>2657</v>
      </c>
      <c r="E663" s="26">
        <v>0</v>
      </c>
      <c r="F663" s="26">
        <v>0</v>
      </c>
      <c r="G663" s="26">
        <v>0</v>
      </c>
      <c r="H663" s="26">
        <v>0</v>
      </c>
    </row>
    <row r="664" spans="1:8">
      <c r="A664" s="24" t="s">
        <v>286</v>
      </c>
      <c r="B664" s="24" t="s">
        <v>345</v>
      </c>
      <c r="C664" s="25">
        <v>45689</v>
      </c>
      <c r="D664" s="24" t="s">
        <v>2658</v>
      </c>
      <c r="E664" s="26">
        <v>0</v>
      </c>
      <c r="F664" s="26">
        <v>0</v>
      </c>
      <c r="G664" s="26">
        <v>0</v>
      </c>
      <c r="H664" s="26">
        <v>0</v>
      </c>
    </row>
    <row r="665" spans="1:8">
      <c r="A665" s="24" t="s">
        <v>286</v>
      </c>
      <c r="B665" s="24" t="s">
        <v>345</v>
      </c>
      <c r="C665" s="25">
        <v>45717</v>
      </c>
      <c r="D665" s="24" t="s">
        <v>2659</v>
      </c>
      <c r="E665" s="26">
        <v>0</v>
      </c>
      <c r="F665" s="26">
        <v>0</v>
      </c>
      <c r="G665" s="26">
        <v>0</v>
      </c>
      <c r="H665" s="26">
        <v>0</v>
      </c>
    </row>
    <row r="666" spans="1:8">
      <c r="A666" s="24" t="s">
        <v>286</v>
      </c>
      <c r="B666" s="24" t="s">
        <v>345</v>
      </c>
      <c r="C666" s="25">
        <v>45748</v>
      </c>
      <c r="D666" s="24" t="s">
        <v>2660</v>
      </c>
      <c r="E666" s="26">
        <v>0</v>
      </c>
      <c r="F666" s="26">
        <v>0</v>
      </c>
      <c r="G666" s="26">
        <v>0</v>
      </c>
      <c r="H666" s="26">
        <v>0</v>
      </c>
    </row>
    <row r="667" spans="1:8">
      <c r="A667" s="24" t="s">
        <v>286</v>
      </c>
      <c r="B667" s="24" t="s">
        <v>345</v>
      </c>
      <c r="C667" s="25">
        <v>45778</v>
      </c>
      <c r="D667" s="24" t="s">
        <v>2661</v>
      </c>
      <c r="E667" s="26">
        <v>0</v>
      </c>
      <c r="F667" s="26">
        <v>0</v>
      </c>
      <c r="G667" s="26">
        <v>0</v>
      </c>
      <c r="H667" s="26">
        <v>0</v>
      </c>
    </row>
    <row r="668" spans="1:8">
      <c r="A668" s="24" t="s">
        <v>286</v>
      </c>
      <c r="B668" s="24" t="s">
        <v>345</v>
      </c>
      <c r="C668" s="25">
        <v>45809</v>
      </c>
      <c r="D668" s="24" t="s">
        <v>2662</v>
      </c>
      <c r="E668" s="26">
        <v>0</v>
      </c>
      <c r="F668" s="26">
        <v>0</v>
      </c>
      <c r="G668" s="26">
        <v>0</v>
      </c>
      <c r="H668" s="26">
        <v>0</v>
      </c>
    </row>
    <row r="669" spans="1:8">
      <c r="A669" s="24" t="s">
        <v>286</v>
      </c>
      <c r="B669" s="24" t="s">
        <v>345</v>
      </c>
      <c r="C669" s="25">
        <v>45839</v>
      </c>
      <c r="D669" s="24" t="s">
        <v>2663</v>
      </c>
      <c r="E669" s="26">
        <v>0</v>
      </c>
      <c r="F669" s="26">
        <v>0</v>
      </c>
      <c r="G669" s="26">
        <v>0</v>
      </c>
      <c r="H669" s="26">
        <v>0</v>
      </c>
    </row>
    <row r="670" spans="1:8">
      <c r="A670" s="24" t="s">
        <v>286</v>
      </c>
      <c r="B670" s="24" t="s">
        <v>345</v>
      </c>
      <c r="C670" s="25">
        <v>45870</v>
      </c>
      <c r="D670" s="24" t="s">
        <v>2664</v>
      </c>
      <c r="E670" s="26">
        <v>0</v>
      </c>
      <c r="F670" s="26">
        <v>56306.82</v>
      </c>
      <c r="G670" s="26">
        <v>-56306.82</v>
      </c>
      <c r="H670" s="26">
        <v>-56306.82</v>
      </c>
    </row>
    <row r="671" spans="1:8">
      <c r="A671" s="24" t="s">
        <v>286</v>
      </c>
      <c r="B671" s="24" t="s">
        <v>345</v>
      </c>
      <c r="C671" s="25">
        <v>45901</v>
      </c>
      <c r="D671" s="24" t="s">
        <v>2665</v>
      </c>
      <c r="E671" s="26">
        <v>144640.94</v>
      </c>
      <c r="F671" s="26">
        <v>0</v>
      </c>
      <c r="G671" s="26">
        <v>144640.94</v>
      </c>
      <c r="H671" s="26">
        <v>88334.12</v>
      </c>
    </row>
    <row r="672" spans="1:8">
      <c r="A672" s="24" t="s">
        <v>286</v>
      </c>
      <c r="B672" s="24" t="s">
        <v>345</v>
      </c>
      <c r="C672" s="25">
        <v>45931</v>
      </c>
      <c r="D672" s="24" t="s">
        <v>2666</v>
      </c>
      <c r="E672" s="26">
        <v>0</v>
      </c>
      <c r="F672" s="26">
        <v>0</v>
      </c>
      <c r="G672" s="26">
        <v>0</v>
      </c>
      <c r="H672" s="26">
        <v>88334.12</v>
      </c>
    </row>
    <row r="673" spans="1:8">
      <c r="A673" s="24" t="s">
        <v>286</v>
      </c>
      <c r="B673" s="24" t="s">
        <v>345</v>
      </c>
      <c r="C673" s="25">
        <v>45962</v>
      </c>
      <c r="D673" s="24" t="s">
        <v>2667</v>
      </c>
      <c r="E673" s="26">
        <v>0</v>
      </c>
      <c r="F673" s="26">
        <v>0</v>
      </c>
      <c r="G673" s="26">
        <v>0</v>
      </c>
      <c r="H673" s="26">
        <v>88334.12</v>
      </c>
    </row>
    <row r="674" spans="1:8">
      <c r="A674" s="24" t="s">
        <v>286</v>
      </c>
      <c r="B674" s="24" t="s">
        <v>345</v>
      </c>
      <c r="C674" s="25">
        <v>45992</v>
      </c>
      <c r="D674" s="24" t="s">
        <v>2668</v>
      </c>
      <c r="E674" s="26">
        <v>0</v>
      </c>
      <c r="F674" s="26">
        <v>0</v>
      </c>
      <c r="G674" s="26">
        <v>0</v>
      </c>
      <c r="H674" s="26">
        <v>88334.12</v>
      </c>
    </row>
    <row r="675" spans="1:8">
      <c r="A675" s="24" t="s">
        <v>142</v>
      </c>
      <c r="B675" s="24" t="s">
        <v>329</v>
      </c>
      <c r="C675" s="25">
        <v>45658</v>
      </c>
      <c r="D675" s="24" t="s">
        <v>2657</v>
      </c>
      <c r="E675" s="26">
        <v>0</v>
      </c>
      <c r="F675" s="26">
        <v>0</v>
      </c>
      <c r="G675" s="26">
        <v>0</v>
      </c>
      <c r="H675" s="26">
        <v>0</v>
      </c>
    </row>
    <row r="676" spans="1:8">
      <c r="A676" s="24" t="s">
        <v>142</v>
      </c>
      <c r="B676" s="24" t="s">
        <v>329</v>
      </c>
      <c r="C676" s="25">
        <v>45689</v>
      </c>
      <c r="D676" s="24" t="s">
        <v>2658</v>
      </c>
      <c r="E676" s="26">
        <v>0</v>
      </c>
      <c r="F676" s="26">
        <v>0</v>
      </c>
      <c r="G676" s="26">
        <v>0</v>
      </c>
      <c r="H676" s="26">
        <v>0</v>
      </c>
    </row>
    <row r="677" spans="1:8">
      <c r="A677" s="24" t="s">
        <v>142</v>
      </c>
      <c r="B677" s="24" t="s">
        <v>329</v>
      </c>
      <c r="C677" s="25">
        <v>45717</v>
      </c>
      <c r="D677" s="24" t="s">
        <v>2659</v>
      </c>
      <c r="E677" s="26">
        <v>0</v>
      </c>
      <c r="F677" s="26">
        <v>0</v>
      </c>
      <c r="G677" s="26">
        <v>0</v>
      </c>
      <c r="H677" s="26">
        <v>0</v>
      </c>
    </row>
    <row r="678" spans="1:8">
      <c r="A678" s="24" t="s">
        <v>142</v>
      </c>
      <c r="B678" s="24" t="s">
        <v>329</v>
      </c>
      <c r="C678" s="25">
        <v>45748</v>
      </c>
      <c r="D678" s="24" t="s">
        <v>2660</v>
      </c>
      <c r="E678" s="26">
        <v>0</v>
      </c>
      <c r="F678" s="26">
        <v>0</v>
      </c>
      <c r="G678" s="26">
        <v>0</v>
      </c>
      <c r="H678" s="26">
        <v>0</v>
      </c>
    </row>
    <row r="679" spans="1:8">
      <c r="A679" s="24" t="s">
        <v>142</v>
      </c>
      <c r="B679" s="24" t="s">
        <v>329</v>
      </c>
      <c r="C679" s="25">
        <v>45778</v>
      </c>
      <c r="D679" s="24" t="s">
        <v>2661</v>
      </c>
      <c r="E679" s="26">
        <v>0</v>
      </c>
      <c r="F679" s="26">
        <v>0</v>
      </c>
      <c r="G679" s="26">
        <v>0</v>
      </c>
      <c r="H679" s="26">
        <v>0</v>
      </c>
    </row>
    <row r="680" spans="1:8">
      <c r="A680" s="24" t="s">
        <v>142</v>
      </c>
      <c r="B680" s="24" t="s">
        <v>329</v>
      </c>
      <c r="C680" s="25">
        <v>45809</v>
      </c>
      <c r="D680" s="24" t="s">
        <v>2662</v>
      </c>
      <c r="E680" s="26">
        <v>0</v>
      </c>
      <c r="F680" s="26">
        <v>0</v>
      </c>
      <c r="G680" s="26">
        <v>0</v>
      </c>
      <c r="H680" s="26">
        <v>0</v>
      </c>
    </row>
    <row r="681" spans="1:8">
      <c r="A681" s="24" t="s">
        <v>142</v>
      </c>
      <c r="B681" s="24" t="s">
        <v>329</v>
      </c>
      <c r="C681" s="25">
        <v>45839</v>
      </c>
      <c r="D681" s="24" t="s">
        <v>2663</v>
      </c>
      <c r="E681" s="26">
        <v>0</v>
      </c>
      <c r="F681" s="26">
        <v>30262.53</v>
      </c>
      <c r="G681" s="26">
        <v>-30262.53</v>
      </c>
      <c r="H681" s="26">
        <v>-30262.53</v>
      </c>
    </row>
    <row r="682" spans="1:8">
      <c r="A682" s="24" t="s">
        <v>142</v>
      </c>
      <c r="B682" s="24" t="s">
        <v>329</v>
      </c>
      <c r="C682" s="25">
        <v>45870</v>
      </c>
      <c r="D682" s="24" t="s">
        <v>2664</v>
      </c>
      <c r="E682" s="26">
        <v>0</v>
      </c>
      <c r="F682" s="26">
        <v>0</v>
      </c>
      <c r="G682" s="26">
        <v>0</v>
      </c>
      <c r="H682" s="26">
        <v>-30262.53</v>
      </c>
    </row>
    <row r="683" spans="1:8">
      <c r="A683" s="24" t="s">
        <v>142</v>
      </c>
      <c r="B683" s="24" t="s">
        <v>329</v>
      </c>
      <c r="C683" s="25">
        <v>45901</v>
      </c>
      <c r="D683" s="24" t="s">
        <v>2665</v>
      </c>
      <c r="E683" s="26">
        <v>0</v>
      </c>
      <c r="F683" s="26">
        <v>80996.33</v>
      </c>
      <c r="G683" s="26">
        <v>-80996.33</v>
      </c>
      <c r="H683" s="26">
        <v>-111258.86</v>
      </c>
    </row>
    <row r="684" spans="1:8">
      <c r="A684" s="24" t="s">
        <v>142</v>
      </c>
      <c r="B684" s="24" t="s">
        <v>329</v>
      </c>
      <c r="C684" s="25">
        <v>45931</v>
      </c>
      <c r="D684" s="24" t="s">
        <v>2666</v>
      </c>
      <c r="E684" s="26">
        <v>76272.88</v>
      </c>
      <c r="F684" s="26">
        <v>18299.830000000002</v>
      </c>
      <c r="G684" s="26">
        <v>57973.05</v>
      </c>
      <c r="H684" s="26">
        <v>-53285.81</v>
      </c>
    </row>
    <row r="685" spans="1:8">
      <c r="A685" s="24" t="s">
        <v>142</v>
      </c>
      <c r="B685" s="24" t="s">
        <v>329</v>
      </c>
      <c r="C685" s="25">
        <v>45962</v>
      </c>
      <c r="D685" s="24" t="s">
        <v>2667</v>
      </c>
      <c r="E685" s="26">
        <v>0</v>
      </c>
      <c r="F685" s="26">
        <v>122203.3</v>
      </c>
      <c r="G685" s="26">
        <v>-122203.3</v>
      </c>
      <c r="H685" s="26">
        <v>-175489.11</v>
      </c>
    </row>
    <row r="686" spans="1:8">
      <c r="A686" s="24" t="s">
        <v>142</v>
      </c>
      <c r="B686" s="24" t="s">
        <v>329</v>
      </c>
      <c r="C686" s="25">
        <v>45992</v>
      </c>
      <c r="D686" s="24" t="s">
        <v>2668</v>
      </c>
      <c r="E686" s="26">
        <v>0</v>
      </c>
      <c r="F686" s="26">
        <v>14212.66</v>
      </c>
      <c r="G686" s="26">
        <v>-14212.66</v>
      </c>
      <c r="H686" s="26">
        <v>-189701.77</v>
      </c>
    </row>
    <row r="687" spans="1:8">
      <c r="A687" s="24" t="s">
        <v>103</v>
      </c>
      <c r="B687" s="24" t="s">
        <v>318</v>
      </c>
      <c r="C687" s="25">
        <v>45658</v>
      </c>
      <c r="D687" s="24" t="s">
        <v>2657</v>
      </c>
      <c r="E687" s="26">
        <v>0</v>
      </c>
      <c r="F687" s="26">
        <v>0</v>
      </c>
      <c r="G687" s="26">
        <v>0</v>
      </c>
      <c r="H687" s="26">
        <v>0</v>
      </c>
    </row>
    <row r="688" spans="1:8">
      <c r="A688" s="24" t="s">
        <v>103</v>
      </c>
      <c r="B688" s="24" t="s">
        <v>318</v>
      </c>
      <c r="C688" s="25">
        <v>45689</v>
      </c>
      <c r="D688" s="24" t="s">
        <v>2658</v>
      </c>
      <c r="E688" s="26">
        <v>0</v>
      </c>
      <c r="F688" s="26">
        <v>0</v>
      </c>
      <c r="G688" s="26">
        <v>0</v>
      </c>
      <c r="H688" s="26">
        <v>0</v>
      </c>
    </row>
    <row r="689" spans="1:8">
      <c r="A689" s="24" t="s">
        <v>103</v>
      </c>
      <c r="B689" s="24" t="s">
        <v>318</v>
      </c>
      <c r="C689" s="25">
        <v>45717</v>
      </c>
      <c r="D689" s="24" t="s">
        <v>2659</v>
      </c>
      <c r="E689" s="26">
        <v>0</v>
      </c>
      <c r="F689" s="26">
        <v>0</v>
      </c>
      <c r="G689" s="26">
        <v>0</v>
      </c>
      <c r="H689" s="26">
        <v>0</v>
      </c>
    </row>
    <row r="690" spans="1:8">
      <c r="A690" s="24" t="s">
        <v>103</v>
      </c>
      <c r="B690" s="24" t="s">
        <v>318</v>
      </c>
      <c r="C690" s="25">
        <v>45748</v>
      </c>
      <c r="D690" s="24" t="s">
        <v>2660</v>
      </c>
      <c r="E690" s="26">
        <v>0</v>
      </c>
      <c r="F690" s="26">
        <v>0</v>
      </c>
      <c r="G690" s="26">
        <v>0</v>
      </c>
      <c r="H690" s="26">
        <v>0</v>
      </c>
    </row>
    <row r="691" spans="1:8">
      <c r="A691" s="24" t="s">
        <v>103</v>
      </c>
      <c r="B691" s="24" t="s">
        <v>318</v>
      </c>
      <c r="C691" s="25">
        <v>45778</v>
      </c>
      <c r="D691" s="24" t="s">
        <v>2661</v>
      </c>
      <c r="E691" s="26">
        <v>0</v>
      </c>
      <c r="F691" s="26">
        <v>0</v>
      </c>
      <c r="G691" s="26">
        <v>0</v>
      </c>
      <c r="H691" s="26">
        <v>0</v>
      </c>
    </row>
    <row r="692" spans="1:8">
      <c r="A692" s="24" t="s">
        <v>103</v>
      </c>
      <c r="B692" s="24" t="s">
        <v>318</v>
      </c>
      <c r="C692" s="25">
        <v>45809</v>
      </c>
      <c r="D692" s="24" t="s">
        <v>2662</v>
      </c>
      <c r="E692" s="26">
        <v>0</v>
      </c>
      <c r="F692" s="26">
        <v>0</v>
      </c>
      <c r="G692" s="26">
        <v>0</v>
      </c>
      <c r="H692" s="26">
        <v>0</v>
      </c>
    </row>
    <row r="693" spans="1:8">
      <c r="A693" s="24" t="s">
        <v>103</v>
      </c>
      <c r="B693" s="24" t="s">
        <v>318</v>
      </c>
      <c r="C693" s="25">
        <v>45839</v>
      </c>
      <c r="D693" s="24" t="s">
        <v>2663</v>
      </c>
      <c r="E693" s="26">
        <v>0</v>
      </c>
      <c r="F693" s="26">
        <v>0</v>
      </c>
      <c r="G693" s="26">
        <v>0</v>
      </c>
      <c r="H693" s="26">
        <v>0</v>
      </c>
    </row>
    <row r="694" spans="1:8">
      <c r="A694" s="24" t="s">
        <v>103</v>
      </c>
      <c r="B694" s="24" t="s">
        <v>318</v>
      </c>
      <c r="C694" s="25">
        <v>45870</v>
      </c>
      <c r="D694" s="24" t="s">
        <v>2664</v>
      </c>
      <c r="E694" s="26">
        <v>0</v>
      </c>
      <c r="F694" s="26">
        <v>102957.19</v>
      </c>
      <c r="G694" s="26">
        <v>-102957.19</v>
      </c>
      <c r="H694" s="26">
        <v>-102957.19</v>
      </c>
    </row>
    <row r="695" spans="1:8">
      <c r="A695" s="24" t="s">
        <v>103</v>
      </c>
      <c r="B695" s="24" t="s">
        <v>318</v>
      </c>
      <c r="C695" s="25">
        <v>45901</v>
      </c>
      <c r="D695" s="24" t="s">
        <v>2665</v>
      </c>
      <c r="E695" s="26">
        <v>0</v>
      </c>
      <c r="F695" s="26">
        <v>78402.8</v>
      </c>
      <c r="G695" s="26">
        <v>-78402.8</v>
      </c>
      <c r="H695" s="26">
        <v>-181359.99</v>
      </c>
    </row>
    <row r="696" spans="1:8">
      <c r="A696" s="24" t="s">
        <v>103</v>
      </c>
      <c r="B696" s="24" t="s">
        <v>318</v>
      </c>
      <c r="C696" s="25">
        <v>45931</v>
      </c>
      <c r="D696" s="24" t="s">
        <v>2666</v>
      </c>
      <c r="E696" s="26">
        <v>0</v>
      </c>
      <c r="F696" s="26">
        <v>54930.04</v>
      </c>
      <c r="G696" s="26">
        <v>-54930.04</v>
      </c>
      <c r="H696" s="26">
        <v>-236290.03</v>
      </c>
    </row>
    <row r="697" spans="1:8">
      <c r="A697" s="24" t="s">
        <v>103</v>
      </c>
      <c r="B697" s="24" t="s">
        <v>318</v>
      </c>
      <c r="C697" s="25">
        <v>45962</v>
      </c>
      <c r="D697" s="24" t="s">
        <v>2667</v>
      </c>
      <c r="E697" s="26">
        <v>0</v>
      </c>
      <c r="F697" s="26">
        <v>0</v>
      </c>
      <c r="G697" s="26">
        <v>0</v>
      </c>
      <c r="H697" s="26">
        <v>-236290.03</v>
      </c>
    </row>
    <row r="698" spans="1:8">
      <c r="A698" s="24" t="s">
        <v>103</v>
      </c>
      <c r="B698" s="24" t="s">
        <v>318</v>
      </c>
      <c r="C698" s="25">
        <v>45992</v>
      </c>
      <c r="D698" s="24" t="s">
        <v>2668</v>
      </c>
      <c r="E698" s="26">
        <v>0</v>
      </c>
      <c r="F698" s="26">
        <v>0</v>
      </c>
      <c r="G698" s="26">
        <v>0</v>
      </c>
      <c r="H698" s="26">
        <v>-236290.03</v>
      </c>
    </row>
    <row r="699" spans="1:8">
      <c r="A699" s="24" t="s">
        <v>49</v>
      </c>
      <c r="B699" s="24" t="s">
        <v>329</v>
      </c>
      <c r="C699" s="25">
        <v>45658</v>
      </c>
      <c r="D699" s="24" t="s">
        <v>2657</v>
      </c>
      <c r="E699" s="26">
        <v>0</v>
      </c>
      <c r="F699" s="26">
        <v>0</v>
      </c>
      <c r="G699" s="26">
        <v>0</v>
      </c>
      <c r="H699" s="26">
        <v>0</v>
      </c>
    </row>
    <row r="700" spans="1:8">
      <c r="A700" s="24" t="s">
        <v>49</v>
      </c>
      <c r="B700" s="24" t="s">
        <v>329</v>
      </c>
      <c r="C700" s="25">
        <v>45689</v>
      </c>
      <c r="D700" s="24" t="s">
        <v>2658</v>
      </c>
      <c r="E700" s="26">
        <v>0</v>
      </c>
      <c r="F700" s="26">
        <v>0</v>
      </c>
      <c r="G700" s="26">
        <v>0</v>
      </c>
      <c r="H700" s="26">
        <v>0</v>
      </c>
    </row>
    <row r="701" spans="1:8">
      <c r="A701" s="24" t="s">
        <v>49</v>
      </c>
      <c r="B701" s="24" t="s">
        <v>329</v>
      </c>
      <c r="C701" s="25">
        <v>45717</v>
      </c>
      <c r="D701" s="24" t="s">
        <v>2659</v>
      </c>
      <c r="E701" s="26">
        <v>0</v>
      </c>
      <c r="F701" s="26">
        <v>0</v>
      </c>
      <c r="G701" s="26">
        <v>0</v>
      </c>
      <c r="H701" s="26">
        <v>0</v>
      </c>
    </row>
    <row r="702" spans="1:8">
      <c r="A702" s="24" t="s">
        <v>49</v>
      </c>
      <c r="B702" s="24" t="s">
        <v>329</v>
      </c>
      <c r="C702" s="25">
        <v>45748</v>
      </c>
      <c r="D702" s="24" t="s">
        <v>2660</v>
      </c>
      <c r="E702" s="26">
        <v>0</v>
      </c>
      <c r="F702" s="26">
        <v>0</v>
      </c>
      <c r="G702" s="26">
        <v>0</v>
      </c>
      <c r="H702" s="26">
        <v>0</v>
      </c>
    </row>
    <row r="703" spans="1:8">
      <c r="A703" s="24" t="s">
        <v>49</v>
      </c>
      <c r="B703" s="24" t="s">
        <v>329</v>
      </c>
      <c r="C703" s="25">
        <v>45778</v>
      </c>
      <c r="D703" s="24" t="s">
        <v>2661</v>
      </c>
      <c r="E703" s="26">
        <v>0</v>
      </c>
      <c r="F703" s="26">
        <v>0</v>
      </c>
      <c r="G703" s="26">
        <v>0</v>
      </c>
      <c r="H703" s="26">
        <v>0</v>
      </c>
    </row>
    <row r="704" spans="1:8">
      <c r="A704" s="24" t="s">
        <v>49</v>
      </c>
      <c r="B704" s="24" t="s">
        <v>329</v>
      </c>
      <c r="C704" s="25">
        <v>45809</v>
      </c>
      <c r="D704" s="24" t="s">
        <v>2662</v>
      </c>
      <c r="E704" s="26">
        <v>0</v>
      </c>
      <c r="F704" s="26">
        <v>0</v>
      </c>
      <c r="G704" s="26">
        <v>0</v>
      </c>
      <c r="H704" s="26">
        <v>0</v>
      </c>
    </row>
    <row r="705" spans="1:8">
      <c r="A705" s="24" t="s">
        <v>49</v>
      </c>
      <c r="B705" s="24" t="s">
        <v>329</v>
      </c>
      <c r="C705" s="25">
        <v>45839</v>
      </c>
      <c r="D705" s="24" t="s">
        <v>2663</v>
      </c>
      <c r="E705" s="26">
        <v>0</v>
      </c>
      <c r="F705" s="26">
        <v>0</v>
      </c>
      <c r="G705" s="26">
        <v>0</v>
      </c>
      <c r="H705" s="26">
        <v>0</v>
      </c>
    </row>
    <row r="706" spans="1:8">
      <c r="A706" s="24" t="s">
        <v>49</v>
      </c>
      <c r="B706" s="24" t="s">
        <v>329</v>
      </c>
      <c r="C706" s="25">
        <v>45870</v>
      </c>
      <c r="D706" s="24" t="s">
        <v>2664</v>
      </c>
      <c r="E706" s="26">
        <v>0</v>
      </c>
      <c r="F706" s="26">
        <v>0</v>
      </c>
      <c r="G706" s="26">
        <v>0</v>
      </c>
      <c r="H706" s="26">
        <v>0</v>
      </c>
    </row>
    <row r="707" spans="1:8">
      <c r="A707" s="24" t="s">
        <v>49</v>
      </c>
      <c r="B707" s="24" t="s">
        <v>329</v>
      </c>
      <c r="C707" s="25">
        <v>45901</v>
      </c>
      <c r="D707" s="24" t="s">
        <v>2665</v>
      </c>
      <c r="E707" s="26">
        <v>0</v>
      </c>
      <c r="F707" s="26">
        <v>0</v>
      </c>
      <c r="G707" s="26">
        <v>0</v>
      </c>
      <c r="H707" s="26">
        <v>0</v>
      </c>
    </row>
    <row r="708" spans="1:8">
      <c r="A708" s="24" t="s">
        <v>49</v>
      </c>
      <c r="B708" s="24" t="s">
        <v>329</v>
      </c>
      <c r="C708" s="25">
        <v>45931</v>
      </c>
      <c r="D708" s="24" t="s">
        <v>2666</v>
      </c>
      <c r="E708" s="26">
        <v>0</v>
      </c>
      <c r="F708" s="26">
        <v>0</v>
      </c>
      <c r="G708" s="26">
        <v>0</v>
      </c>
      <c r="H708" s="26">
        <v>0</v>
      </c>
    </row>
    <row r="709" spans="1:8">
      <c r="A709" s="24" t="s">
        <v>49</v>
      </c>
      <c r="B709" s="24" t="s">
        <v>329</v>
      </c>
      <c r="C709" s="25">
        <v>45962</v>
      </c>
      <c r="D709" s="24" t="s">
        <v>2667</v>
      </c>
      <c r="E709" s="26">
        <v>0</v>
      </c>
      <c r="F709" s="26">
        <v>0</v>
      </c>
      <c r="G709" s="26">
        <v>0</v>
      </c>
      <c r="H709" s="26">
        <v>0</v>
      </c>
    </row>
    <row r="710" spans="1:8">
      <c r="A710" s="24" t="s">
        <v>49</v>
      </c>
      <c r="B710" s="24" t="s">
        <v>329</v>
      </c>
      <c r="C710" s="25">
        <v>45992</v>
      </c>
      <c r="D710" s="24" t="s">
        <v>2668</v>
      </c>
      <c r="E710" s="26">
        <v>0</v>
      </c>
      <c r="F710" s="26">
        <v>0</v>
      </c>
      <c r="G710" s="26">
        <v>0</v>
      </c>
      <c r="H710" s="26">
        <v>0</v>
      </c>
    </row>
    <row r="711" spans="1:8">
      <c r="A711" s="24" t="s">
        <v>223</v>
      </c>
      <c r="B711" s="24" t="s">
        <v>324</v>
      </c>
      <c r="C711" s="25">
        <v>45658</v>
      </c>
      <c r="D711" s="24" t="s">
        <v>2657</v>
      </c>
      <c r="E711" s="26">
        <v>0</v>
      </c>
      <c r="F711" s="26">
        <v>0</v>
      </c>
      <c r="G711" s="26">
        <v>0</v>
      </c>
      <c r="H711" s="26">
        <v>0</v>
      </c>
    </row>
    <row r="712" spans="1:8">
      <c r="A712" s="24" t="s">
        <v>223</v>
      </c>
      <c r="B712" s="24" t="s">
        <v>324</v>
      </c>
      <c r="C712" s="25">
        <v>45689</v>
      </c>
      <c r="D712" s="24" t="s">
        <v>2658</v>
      </c>
      <c r="E712" s="26">
        <v>0</v>
      </c>
      <c r="F712" s="26">
        <v>0</v>
      </c>
      <c r="G712" s="26">
        <v>0</v>
      </c>
      <c r="H712" s="26">
        <v>0</v>
      </c>
    </row>
    <row r="713" spans="1:8">
      <c r="A713" s="24" t="s">
        <v>223</v>
      </c>
      <c r="B713" s="24" t="s">
        <v>324</v>
      </c>
      <c r="C713" s="25">
        <v>45717</v>
      </c>
      <c r="D713" s="24" t="s">
        <v>2659</v>
      </c>
      <c r="E713" s="26">
        <v>0</v>
      </c>
      <c r="F713" s="26">
        <v>0</v>
      </c>
      <c r="G713" s="26">
        <v>0</v>
      </c>
      <c r="H713" s="26">
        <v>0</v>
      </c>
    </row>
    <row r="714" spans="1:8">
      <c r="A714" s="24" t="s">
        <v>223</v>
      </c>
      <c r="B714" s="24" t="s">
        <v>324</v>
      </c>
      <c r="C714" s="25">
        <v>45748</v>
      </c>
      <c r="D714" s="24" t="s">
        <v>2660</v>
      </c>
      <c r="E714" s="26">
        <v>0</v>
      </c>
      <c r="F714" s="26">
        <v>0</v>
      </c>
      <c r="G714" s="26">
        <v>0</v>
      </c>
      <c r="H714" s="26">
        <v>0</v>
      </c>
    </row>
    <row r="715" spans="1:8">
      <c r="A715" s="24" t="s">
        <v>223</v>
      </c>
      <c r="B715" s="24" t="s">
        <v>324</v>
      </c>
      <c r="C715" s="25">
        <v>45778</v>
      </c>
      <c r="D715" s="24" t="s">
        <v>2661</v>
      </c>
      <c r="E715" s="26">
        <v>0</v>
      </c>
      <c r="F715" s="26">
        <v>0</v>
      </c>
      <c r="G715" s="26">
        <v>0</v>
      </c>
      <c r="H715" s="26">
        <v>0</v>
      </c>
    </row>
    <row r="716" spans="1:8">
      <c r="A716" s="24" t="s">
        <v>223</v>
      </c>
      <c r="B716" s="24" t="s">
        <v>324</v>
      </c>
      <c r="C716" s="25">
        <v>45809</v>
      </c>
      <c r="D716" s="24" t="s">
        <v>2662</v>
      </c>
      <c r="E716" s="26">
        <v>0</v>
      </c>
      <c r="F716" s="26">
        <v>0</v>
      </c>
      <c r="G716" s="26">
        <v>0</v>
      </c>
      <c r="H716" s="26">
        <v>0</v>
      </c>
    </row>
    <row r="717" spans="1:8">
      <c r="A717" s="24" t="s">
        <v>223</v>
      </c>
      <c r="B717" s="24" t="s">
        <v>324</v>
      </c>
      <c r="C717" s="25">
        <v>45839</v>
      </c>
      <c r="D717" s="24" t="s">
        <v>2663</v>
      </c>
      <c r="E717" s="26">
        <v>0</v>
      </c>
      <c r="F717" s="26">
        <v>0</v>
      </c>
      <c r="G717" s="26">
        <v>0</v>
      </c>
      <c r="H717" s="26">
        <v>0</v>
      </c>
    </row>
    <row r="718" spans="1:8">
      <c r="A718" s="24" t="s">
        <v>223</v>
      </c>
      <c r="B718" s="24" t="s">
        <v>324</v>
      </c>
      <c r="C718" s="25">
        <v>45870</v>
      </c>
      <c r="D718" s="24" t="s">
        <v>2664</v>
      </c>
      <c r="E718" s="26">
        <v>0</v>
      </c>
      <c r="F718" s="26">
        <v>42208.14</v>
      </c>
      <c r="G718" s="26">
        <v>-42208.14</v>
      </c>
      <c r="H718" s="26">
        <v>-42208.14</v>
      </c>
    </row>
    <row r="719" spans="1:8">
      <c r="A719" s="24" t="s">
        <v>223</v>
      </c>
      <c r="B719" s="24" t="s">
        <v>324</v>
      </c>
      <c r="C719" s="25">
        <v>45901</v>
      </c>
      <c r="D719" s="24" t="s">
        <v>2665</v>
      </c>
      <c r="E719" s="26">
        <v>0</v>
      </c>
      <c r="F719" s="26">
        <v>0</v>
      </c>
      <c r="G719" s="26">
        <v>0</v>
      </c>
      <c r="H719" s="26">
        <v>-42208.14</v>
      </c>
    </row>
    <row r="720" spans="1:8">
      <c r="A720" s="24" t="s">
        <v>223</v>
      </c>
      <c r="B720" s="24" t="s">
        <v>324</v>
      </c>
      <c r="C720" s="25">
        <v>45931</v>
      </c>
      <c r="D720" s="24" t="s">
        <v>2666</v>
      </c>
      <c r="E720" s="26">
        <v>0</v>
      </c>
      <c r="F720" s="26">
        <v>0</v>
      </c>
      <c r="G720" s="26">
        <v>0</v>
      </c>
      <c r="H720" s="26">
        <v>-42208.14</v>
      </c>
    </row>
    <row r="721" spans="1:8">
      <c r="A721" s="24" t="s">
        <v>223</v>
      </c>
      <c r="B721" s="24" t="s">
        <v>324</v>
      </c>
      <c r="C721" s="25">
        <v>45962</v>
      </c>
      <c r="D721" s="24" t="s">
        <v>2667</v>
      </c>
      <c r="E721" s="26">
        <v>0</v>
      </c>
      <c r="F721" s="26">
        <v>55835.64</v>
      </c>
      <c r="G721" s="26">
        <v>-55835.64</v>
      </c>
      <c r="H721" s="26">
        <v>-98043.78</v>
      </c>
    </row>
    <row r="722" spans="1:8">
      <c r="A722" s="24" t="s">
        <v>223</v>
      </c>
      <c r="B722" s="24" t="s">
        <v>324</v>
      </c>
      <c r="C722" s="25">
        <v>45992</v>
      </c>
      <c r="D722" s="24" t="s">
        <v>2668</v>
      </c>
      <c r="E722" s="26">
        <v>0</v>
      </c>
      <c r="F722" s="26">
        <v>0</v>
      </c>
      <c r="G722" s="26">
        <v>0</v>
      </c>
      <c r="H722" s="26">
        <v>-98043.78</v>
      </c>
    </row>
    <row r="723" spans="1:8">
      <c r="A723" s="24" t="s">
        <v>45</v>
      </c>
      <c r="B723" s="24" t="s">
        <v>324</v>
      </c>
      <c r="C723" s="25">
        <v>45658</v>
      </c>
      <c r="D723" s="24" t="s">
        <v>2657</v>
      </c>
      <c r="E723" s="26">
        <v>0</v>
      </c>
      <c r="F723" s="26">
        <v>0</v>
      </c>
      <c r="G723" s="26">
        <v>0</v>
      </c>
      <c r="H723" s="26">
        <v>0</v>
      </c>
    </row>
    <row r="724" spans="1:8">
      <c r="A724" s="24" t="s">
        <v>45</v>
      </c>
      <c r="B724" s="24" t="s">
        <v>324</v>
      </c>
      <c r="C724" s="25">
        <v>45689</v>
      </c>
      <c r="D724" s="24" t="s">
        <v>2658</v>
      </c>
      <c r="E724" s="26">
        <v>0</v>
      </c>
      <c r="F724" s="26">
        <v>0</v>
      </c>
      <c r="G724" s="26">
        <v>0</v>
      </c>
      <c r="H724" s="26">
        <v>0</v>
      </c>
    </row>
    <row r="725" spans="1:8">
      <c r="A725" s="24" t="s">
        <v>45</v>
      </c>
      <c r="B725" s="24" t="s">
        <v>324</v>
      </c>
      <c r="C725" s="25">
        <v>45717</v>
      </c>
      <c r="D725" s="24" t="s">
        <v>2659</v>
      </c>
      <c r="E725" s="26">
        <v>0</v>
      </c>
      <c r="F725" s="26">
        <v>0</v>
      </c>
      <c r="G725" s="26">
        <v>0</v>
      </c>
      <c r="H725" s="26">
        <v>0</v>
      </c>
    </row>
    <row r="726" spans="1:8">
      <c r="A726" s="24" t="s">
        <v>45</v>
      </c>
      <c r="B726" s="24" t="s">
        <v>324</v>
      </c>
      <c r="C726" s="25">
        <v>45748</v>
      </c>
      <c r="D726" s="24" t="s">
        <v>2660</v>
      </c>
      <c r="E726" s="26">
        <v>0</v>
      </c>
      <c r="F726" s="26">
        <v>0</v>
      </c>
      <c r="G726" s="26">
        <v>0</v>
      </c>
      <c r="H726" s="26">
        <v>0</v>
      </c>
    </row>
    <row r="727" spans="1:8">
      <c r="A727" s="24" t="s">
        <v>45</v>
      </c>
      <c r="B727" s="24" t="s">
        <v>324</v>
      </c>
      <c r="C727" s="25">
        <v>45778</v>
      </c>
      <c r="D727" s="24" t="s">
        <v>2661</v>
      </c>
      <c r="E727" s="26">
        <v>0</v>
      </c>
      <c r="F727" s="26">
        <v>0</v>
      </c>
      <c r="G727" s="26">
        <v>0</v>
      </c>
      <c r="H727" s="26">
        <v>0</v>
      </c>
    </row>
    <row r="728" spans="1:8">
      <c r="A728" s="24" t="s">
        <v>45</v>
      </c>
      <c r="B728" s="24" t="s">
        <v>324</v>
      </c>
      <c r="C728" s="25">
        <v>45809</v>
      </c>
      <c r="D728" s="24" t="s">
        <v>2662</v>
      </c>
      <c r="E728" s="26">
        <v>0</v>
      </c>
      <c r="F728" s="26">
        <v>0</v>
      </c>
      <c r="G728" s="26">
        <v>0</v>
      </c>
      <c r="H728" s="26">
        <v>0</v>
      </c>
    </row>
    <row r="729" spans="1:8">
      <c r="A729" s="24" t="s">
        <v>45</v>
      </c>
      <c r="B729" s="24" t="s">
        <v>324</v>
      </c>
      <c r="C729" s="25">
        <v>45839</v>
      </c>
      <c r="D729" s="24" t="s">
        <v>2663</v>
      </c>
      <c r="E729" s="26">
        <v>0</v>
      </c>
      <c r="F729" s="26">
        <v>0</v>
      </c>
      <c r="G729" s="26">
        <v>0</v>
      </c>
      <c r="H729" s="26">
        <v>0</v>
      </c>
    </row>
    <row r="730" spans="1:8">
      <c r="A730" s="24" t="s">
        <v>45</v>
      </c>
      <c r="B730" s="24" t="s">
        <v>324</v>
      </c>
      <c r="C730" s="25">
        <v>45870</v>
      </c>
      <c r="D730" s="24" t="s">
        <v>2664</v>
      </c>
      <c r="E730" s="26">
        <v>0</v>
      </c>
      <c r="F730" s="26">
        <v>0</v>
      </c>
      <c r="G730" s="26">
        <v>0</v>
      </c>
      <c r="H730" s="26">
        <v>0</v>
      </c>
    </row>
    <row r="731" spans="1:8">
      <c r="A731" s="24" t="s">
        <v>45</v>
      </c>
      <c r="B731" s="24" t="s">
        <v>324</v>
      </c>
      <c r="C731" s="25">
        <v>45901</v>
      </c>
      <c r="D731" s="24" t="s">
        <v>2665</v>
      </c>
      <c r="E731" s="26">
        <v>0</v>
      </c>
      <c r="F731" s="26">
        <v>0</v>
      </c>
      <c r="G731" s="26">
        <v>0</v>
      </c>
      <c r="H731" s="26">
        <v>0</v>
      </c>
    </row>
    <row r="732" spans="1:8">
      <c r="A732" s="24" t="s">
        <v>45</v>
      </c>
      <c r="B732" s="24" t="s">
        <v>324</v>
      </c>
      <c r="C732" s="25">
        <v>45931</v>
      </c>
      <c r="D732" s="24" t="s">
        <v>2666</v>
      </c>
      <c r="E732" s="26">
        <v>0</v>
      </c>
      <c r="F732" s="26">
        <v>0</v>
      </c>
      <c r="G732" s="26">
        <v>0</v>
      </c>
      <c r="H732" s="26">
        <v>0</v>
      </c>
    </row>
    <row r="733" spans="1:8">
      <c r="A733" s="24" t="s">
        <v>45</v>
      </c>
      <c r="B733" s="24" t="s">
        <v>324</v>
      </c>
      <c r="C733" s="25">
        <v>45962</v>
      </c>
      <c r="D733" s="24" t="s">
        <v>2667</v>
      </c>
      <c r="E733" s="26">
        <v>0</v>
      </c>
      <c r="F733" s="26">
        <v>0</v>
      </c>
      <c r="G733" s="26">
        <v>0</v>
      </c>
      <c r="H733" s="26">
        <v>0</v>
      </c>
    </row>
    <row r="734" spans="1:8">
      <c r="A734" s="24" t="s">
        <v>45</v>
      </c>
      <c r="B734" s="24" t="s">
        <v>324</v>
      </c>
      <c r="C734" s="25">
        <v>45992</v>
      </c>
      <c r="D734" s="24" t="s">
        <v>2668</v>
      </c>
      <c r="E734" s="26">
        <v>0</v>
      </c>
      <c r="F734" s="26">
        <v>41063.949999999997</v>
      </c>
      <c r="G734" s="26">
        <v>-41063.949999999997</v>
      </c>
      <c r="H734" s="26">
        <v>-41063.949999999997</v>
      </c>
    </row>
    <row r="735" spans="1:8">
      <c r="A735" s="24" t="s">
        <v>212</v>
      </c>
      <c r="B735" s="24" t="s">
        <v>329</v>
      </c>
      <c r="C735" s="25">
        <v>45658</v>
      </c>
      <c r="D735" s="24" t="s">
        <v>2657</v>
      </c>
      <c r="E735" s="26">
        <v>0</v>
      </c>
      <c r="F735" s="26">
        <v>0</v>
      </c>
      <c r="G735" s="26">
        <v>0</v>
      </c>
      <c r="H735" s="26">
        <v>0</v>
      </c>
    </row>
    <row r="736" spans="1:8">
      <c r="A736" s="24" t="s">
        <v>212</v>
      </c>
      <c r="B736" s="24" t="s">
        <v>329</v>
      </c>
      <c r="C736" s="25">
        <v>45689</v>
      </c>
      <c r="D736" s="24" t="s">
        <v>2658</v>
      </c>
      <c r="E736" s="26">
        <v>0</v>
      </c>
      <c r="F736" s="26">
        <v>0</v>
      </c>
      <c r="G736" s="26">
        <v>0</v>
      </c>
      <c r="H736" s="26">
        <v>0</v>
      </c>
    </row>
    <row r="737" spans="1:8">
      <c r="A737" s="24" t="s">
        <v>212</v>
      </c>
      <c r="B737" s="24" t="s">
        <v>329</v>
      </c>
      <c r="C737" s="25">
        <v>45717</v>
      </c>
      <c r="D737" s="24" t="s">
        <v>2659</v>
      </c>
      <c r="E737" s="26">
        <v>0</v>
      </c>
      <c r="F737" s="26">
        <v>0</v>
      </c>
      <c r="G737" s="26">
        <v>0</v>
      </c>
      <c r="H737" s="26">
        <v>0</v>
      </c>
    </row>
    <row r="738" spans="1:8">
      <c r="A738" s="24" t="s">
        <v>212</v>
      </c>
      <c r="B738" s="24" t="s">
        <v>329</v>
      </c>
      <c r="C738" s="25">
        <v>45748</v>
      </c>
      <c r="D738" s="24" t="s">
        <v>2660</v>
      </c>
      <c r="E738" s="26">
        <v>0</v>
      </c>
      <c r="F738" s="26">
        <v>0</v>
      </c>
      <c r="G738" s="26">
        <v>0</v>
      </c>
      <c r="H738" s="26">
        <v>0</v>
      </c>
    </row>
    <row r="739" spans="1:8">
      <c r="A739" s="24" t="s">
        <v>212</v>
      </c>
      <c r="B739" s="24" t="s">
        <v>329</v>
      </c>
      <c r="C739" s="25">
        <v>45778</v>
      </c>
      <c r="D739" s="24" t="s">
        <v>2661</v>
      </c>
      <c r="E739" s="26">
        <v>0</v>
      </c>
      <c r="F739" s="26">
        <v>0</v>
      </c>
      <c r="G739" s="26">
        <v>0</v>
      </c>
      <c r="H739" s="26">
        <v>0</v>
      </c>
    </row>
    <row r="740" spans="1:8">
      <c r="A740" s="24" t="s">
        <v>212</v>
      </c>
      <c r="B740" s="24" t="s">
        <v>329</v>
      </c>
      <c r="C740" s="25">
        <v>45809</v>
      </c>
      <c r="D740" s="24" t="s">
        <v>2662</v>
      </c>
      <c r="E740" s="26">
        <v>0</v>
      </c>
      <c r="F740" s="26">
        <v>0</v>
      </c>
      <c r="G740" s="26">
        <v>0</v>
      </c>
      <c r="H740" s="26">
        <v>0</v>
      </c>
    </row>
    <row r="741" spans="1:8">
      <c r="A741" s="24" t="s">
        <v>212</v>
      </c>
      <c r="B741" s="24" t="s">
        <v>329</v>
      </c>
      <c r="C741" s="25">
        <v>45839</v>
      </c>
      <c r="D741" s="24" t="s">
        <v>2663</v>
      </c>
      <c r="E741" s="26">
        <v>0</v>
      </c>
      <c r="F741" s="26">
        <v>0</v>
      </c>
      <c r="G741" s="26">
        <v>0</v>
      </c>
      <c r="H741" s="26">
        <v>0</v>
      </c>
    </row>
    <row r="742" spans="1:8">
      <c r="A742" s="24" t="s">
        <v>212</v>
      </c>
      <c r="B742" s="24" t="s">
        <v>329</v>
      </c>
      <c r="C742" s="25">
        <v>45870</v>
      </c>
      <c r="D742" s="24" t="s">
        <v>2664</v>
      </c>
      <c r="E742" s="26">
        <v>0</v>
      </c>
      <c r="F742" s="26">
        <v>0</v>
      </c>
      <c r="G742" s="26">
        <v>0</v>
      </c>
      <c r="H742" s="26">
        <v>0</v>
      </c>
    </row>
    <row r="743" spans="1:8">
      <c r="A743" s="24" t="s">
        <v>212</v>
      </c>
      <c r="B743" s="24" t="s">
        <v>329</v>
      </c>
      <c r="C743" s="25">
        <v>45901</v>
      </c>
      <c r="D743" s="24" t="s">
        <v>2665</v>
      </c>
      <c r="E743" s="26">
        <v>0</v>
      </c>
      <c r="F743" s="26">
        <v>0</v>
      </c>
      <c r="G743" s="26">
        <v>0</v>
      </c>
      <c r="H743" s="26">
        <v>0</v>
      </c>
    </row>
    <row r="744" spans="1:8">
      <c r="A744" s="24" t="s">
        <v>212</v>
      </c>
      <c r="B744" s="24" t="s">
        <v>329</v>
      </c>
      <c r="C744" s="25">
        <v>45931</v>
      </c>
      <c r="D744" s="24" t="s">
        <v>2666</v>
      </c>
      <c r="E744" s="26">
        <v>0</v>
      </c>
      <c r="F744" s="26">
        <v>91986.559999999998</v>
      </c>
      <c r="G744" s="26">
        <v>-91986.559999999998</v>
      </c>
      <c r="H744" s="26">
        <v>-91986.559999999998</v>
      </c>
    </row>
    <row r="745" spans="1:8">
      <c r="A745" s="24" t="s">
        <v>212</v>
      </c>
      <c r="B745" s="24" t="s">
        <v>329</v>
      </c>
      <c r="C745" s="25">
        <v>45962</v>
      </c>
      <c r="D745" s="24" t="s">
        <v>2667</v>
      </c>
      <c r="E745" s="26">
        <v>0</v>
      </c>
      <c r="F745" s="26">
        <v>0</v>
      </c>
      <c r="G745" s="26">
        <v>0</v>
      </c>
      <c r="H745" s="26">
        <v>-91986.559999999998</v>
      </c>
    </row>
    <row r="746" spans="1:8">
      <c r="A746" s="24" t="s">
        <v>212</v>
      </c>
      <c r="B746" s="24" t="s">
        <v>329</v>
      </c>
      <c r="C746" s="25">
        <v>45992</v>
      </c>
      <c r="D746" s="24" t="s">
        <v>2668</v>
      </c>
      <c r="E746" s="26">
        <v>0</v>
      </c>
      <c r="F746" s="26">
        <v>109012.23</v>
      </c>
      <c r="G746" s="26">
        <v>-109012.23</v>
      </c>
      <c r="H746" s="26">
        <v>-200998.79</v>
      </c>
    </row>
    <row r="747" spans="1:8">
      <c r="A747" s="24" t="s">
        <v>194</v>
      </c>
      <c r="B747" s="24" t="s">
        <v>318</v>
      </c>
      <c r="C747" s="25">
        <v>45658</v>
      </c>
      <c r="D747" s="24" t="s">
        <v>2657</v>
      </c>
      <c r="E747" s="26">
        <v>0</v>
      </c>
      <c r="F747" s="26">
        <v>0</v>
      </c>
      <c r="G747" s="26">
        <v>0</v>
      </c>
      <c r="H747" s="26">
        <v>0</v>
      </c>
    </row>
    <row r="748" spans="1:8">
      <c r="A748" s="24" t="s">
        <v>194</v>
      </c>
      <c r="B748" s="24" t="s">
        <v>318</v>
      </c>
      <c r="C748" s="25">
        <v>45689</v>
      </c>
      <c r="D748" s="24" t="s">
        <v>2658</v>
      </c>
      <c r="E748" s="26">
        <v>0</v>
      </c>
      <c r="F748" s="26">
        <v>0</v>
      </c>
      <c r="G748" s="26">
        <v>0</v>
      </c>
      <c r="H748" s="26">
        <v>0</v>
      </c>
    </row>
    <row r="749" spans="1:8">
      <c r="A749" s="24" t="s">
        <v>194</v>
      </c>
      <c r="B749" s="24" t="s">
        <v>318</v>
      </c>
      <c r="C749" s="25">
        <v>45717</v>
      </c>
      <c r="D749" s="24" t="s">
        <v>2659</v>
      </c>
      <c r="E749" s="26">
        <v>0</v>
      </c>
      <c r="F749" s="26">
        <v>0</v>
      </c>
      <c r="G749" s="26">
        <v>0</v>
      </c>
      <c r="H749" s="26">
        <v>0</v>
      </c>
    </row>
    <row r="750" spans="1:8">
      <c r="A750" s="24" t="s">
        <v>194</v>
      </c>
      <c r="B750" s="24" t="s">
        <v>318</v>
      </c>
      <c r="C750" s="25">
        <v>45748</v>
      </c>
      <c r="D750" s="24" t="s">
        <v>2660</v>
      </c>
      <c r="E750" s="26">
        <v>0</v>
      </c>
      <c r="F750" s="26">
        <v>0</v>
      </c>
      <c r="G750" s="26">
        <v>0</v>
      </c>
      <c r="H750" s="26">
        <v>0</v>
      </c>
    </row>
    <row r="751" spans="1:8">
      <c r="A751" s="24" t="s">
        <v>194</v>
      </c>
      <c r="B751" s="24" t="s">
        <v>318</v>
      </c>
      <c r="C751" s="25">
        <v>45778</v>
      </c>
      <c r="D751" s="24" t="s">
        <v>2661</v>
      </c>
      <c r="E751" s="26">
        <v>0</v>
      </c>
      <c r="F751" s="26">
        <v>0</v>
      </c>
      <c r="G751" s="26">
        <v>0</v>
      </c>
      <c r="H751" s="26">
        <v>0</v>
      </c>
    </row>
    <row r="752" spans="1:8">
      <c r="A752" s="24" t="s">
        <v>194</v>
      </c>
      <c r="B752" s="24" t="s">
        <v>318</v>
      </c>
      <c r="C752" s="25">
        <v>45809</v>
      </c>
      <c r="D752" s="24" t="s">
        <v>2662</v>
      </c>
      <c r="E752" s="26">
        <v>0</v>
      </c>
      <c r="F752" s="26">
        <v>0</v>
      </c>
      <c r="G752" s="26">
        <v>0</v>
      </c>
      <c r="H752" s="26">
        <v>0</v>
      </c>
    </row>
    <row r="753" spans="1:8">
      <c r="A753" s="24" t="s">
        <v>194</v>
      </c>
      <c r="B753" s="24" t="s">
        <v>318</v>
      </c>
      <c r="C753" s="25">
        <v>45839</v>
      </c>
      <c r="D753" s="24" t="s">
        <v>2663</v>
      </c>
      <c r="E753" s="26">
        <v>0</v>
      </c>
      <c r="F753" s="26">
        <v>38985.699999999997</v>
      </c>
      <c r="G753" s="26">
        <v>-38985.699999999997</v>
      </c>
      <c r="H753" s="26">
        <v>-38985.699999999997</v>
      </c>
    </row>
    <row r="754" spans="1:8">
      <c r="A754" s="24" t="s">
        <v>194</v>
      </c>
      <c r="B754" s="24" t="s">
        <v>318</v>
      </c>
      <c r="C754" s="25">
        <v>45870</v>
      </c>
      <c r="D754" s="24" t="s">
        <v>2664</v>
      </c>
      <c r="E754" s="26">
        <v>120778.35</v>
      </c>
      <c r="F754" s="26">
        <v>0</v>
      </c>
      <c r="G754" s="26">
        <v>120778.35</v>
      </c>
      <c r="H754" s="26">
        <v>81792.650000000009</v>
      </c>
    </row>
    <row r="755" spans="1:8">
      <c r="A755" s="24" t="s">
        <v>194</v>
      </c>
      <c r="B755" s="24" t="s">
        <v>318</v>
      </c>
      <c r="C755" s="25">
        <v>45901</v>
      </c>
      <c r="D755" s="24" t="s">
        <v>2665</v>
      </c>
      <c r="E755" s="26">
        <v>0</v>
      </c>
      <c r="F755" s="26">
        <v>0</v>
      </c>
      <c r="G755" s="26">
        <v>0</v>
      </c>
      <c r="H755" s="26">
        <v>81792.650000000009</v>
      </c>
    </row>
    <row r="756" spans="1:8">
      <c r="A756" s="24" t="s">
        <v>194</v>
      </c>
      <c r="B756" s="24" t="s">
        <v>318</v>
      </c>
      <c r="C756" s="25">
        <v>45931</v>
      </c>
      <c r="D756" s="24" t="s">
        <v>2666</v>
      </c>
      <c r="E756" s="26">
        <v>0</v>
      </c>
      <c r="F756" s="26">
        <v>57340.36</v>
      </c>
      <c r="G756" s="26">
        <v>-57340.36</v>
      </c>
      <c r="H756" s="26">
        <v>24452.290000000012</v>
      </c>
    </row>
    <row r="757" spans="1:8">
      <c r="A757" s="24" t="s">
        <v>194</v>
      </c>
      <c r="B757" s="24" t="s">
        <v>318</v>
      </c>
      <c r="C757" s="25">
        <v>45962</v>
      </c>
      <c r="D757" s="24" t="s">
        <v>2667</v>
      </c>
      <c r="E757" s="26">
        <v>0</v>
      </c>
      <c r="F757" s="26">
        <v>0</v>
      </c>
      <c r="G757" s="26">
        <v>0</v>
      </c>
      <c r="H757" s="26">
        <v>24452.290000000012</v>
      </c>
    </row>
    <row r="758" spans="1:8">
      <c r="A758" s="24" t="s">
        <v>194</v>
      </c>
      <c r="B758" s="24" t="s">
        <v>318</v>
      </c>
      <c r="C758" s="25">
        <v>45992</v>
      </c>
      <c r="D758" s="24" t="s">
        <v>2668</v>
      </c>
      <c r="E758" s="26">
        <v>0</v>
      </c>
      <c r="F758" s="26">
        <v>0</v>
      </c>
      <c r="G758" s="26">
        <v>0</v>
      </c>
      <c r="H758" s="26">
        <v>24452.290000000012</v>
      </c>
    </row>
    <row r="759" spans="1:8">
      <c r="A759" s="24" t="s">
        <v>87</v>
      </c>
      <c r="B759" s="24" t="s">
        <v>337</v>
      </c>
      <c r="C759" s="25">
        <v>45658</v>
      </c>
      <c r="D759" s="24" t="s">
        <v>2657</v>
      </c>
      <c r="E759" s="26">
        <v>0</v>
      </c>
      <c r="F759" s="26">
        <v>0</v>
      </c>
      <c r="G759" s="26">
        <v>0</v>
      </c>
      <c r="H759" s="26">
        <v>0</v>
      </c>
    </row>
    <row r="760" spans="1:8">
      <c r="A760" s="24" t="s">
        <v>87</v>
      </c>
      <c r="B760" s="24" t="s">
        <v>337</v>
      </c>
      <c r="C760" s="25">
        <v>45689</v>
      </c>
      <c r="D760" s="24" t="s">
        <v>2658</v>
      </c>
      <c r="E760" s="26">
        <v>0</v>
      </c>
      <c r="F760" s="26">
        <v>0</v>
      </c>
      <c r="G760" s="26">
        <v>0</v>
      </c>
      <c r="H760" s="26">
        <v>0</v>
      </c>
    </row>
    <row r="761" spans="1:8">
      <c r="A761" s="24" t="s">
        <v>87</v>
      </c>
      <c r="B761" s="24" t="s">
        <v>337</v>
      </c>
      <c r="C761" s="25">
        <v>45717</v>
      </c>
      <c r="D761" s="24" t="s">
        <v>2659</v>
      </c>
      <c r="E761" s="26">
        <v>0</v>
      </c>
      <c r="F761" s="26">
        <v>0</v>
      </c>
      <c r="G761" s="26">
        <v>0</v>
      </c>
      <c r="H761" s="26">
        <v>0</v>
      </c>
    </row>
    <row r="762" spans="1:8">
      <c r="A762" s="24" t="s">
        <v>87</v>
      </c>
      <c r="B762" s="24" t="s">
        <v>337</v>
      </c>
      <c r="C762" s="25">
        <v>45748</v>
      </c>
      <c r="D762" s="24" t="s">
        <v>2660</v>
      </c>
      <c r="E762" s="26">
        <v>0</v>
      </c>
      <c r="F762" s="26">
        <v>0</v>
      </c>
      <c r="G762" s="26">
        <v>0</v>
      </c>
      <c r="H762" s="26">
        <v>0</v>
      </c>
    </row>
    <row r="763" spans="1:8">
      <c r="A763" s="24" t="s">
        <v>87</v>
      </c>
      <c r="B763" s="24" t="s">
        <v>337</v>
      </c>
      <c r="C763" s="25">
        <v>45778</v>
      </c>
      <c r="D763" s="24" t="s">
        <v>2661</v>
      </c>
      <c r="E763" s="26">
        <v>0</v>
      </c>
      <c r="F763" s="26">
        <v>0</v>
      </c>
      <c r="G763" s="26">
        <v>0</v>
      </c>
      <c r="H763" s="26">
        <v>0</v>
      </c>
    </row>
    <row r="764" spans="1:8">
      <c r="A764" s="24" t="s">
        <v>87</v>
      </c>
      <c r="B764" s="24" t="s">
        <v>337</v>
      </c>
      <c r="C764" s="25">
        <v>45809</v>
      </c>
      <c r="D764" s="24" t="s">
        <v>2662</v>
      </c>
      <c r="E764" s="26">
        <v>0</v>
      </c>
      <c r="F764" s="26">
        <v>0</v>
      </c>
      <c r="G764" s="26">
        <v>0</v>
      </c>
      <c r="H764" s="26">
        <v>0</v>
      </c>
    </row>
    <row r="765" spans="1:8">
      <c r="A765" s="24" t="s">
        <v>87</v>
      </c>
      <c r="B765" s="24" t="s">
        <v>337</v>
      </c>
      <c r="C765" s="25">
        <v>45839</v>
      </c>
      <c r="D765" s="24" t="s">
        <v>2663</v>
      </c>
      <c r="E765" s="26">
        <v>0</v>
      </c>
      <c r="F765" s="26">
        <v>0</v>
      </c>
      <c r="G765" s="26">
        <v>0</v>
      </c>
      <c r="H765" s="26">
        <v>0</v>
      </c>
    </row>
    <row r="766" spans="1:8">
      <c r="A766" s="24" t="s">
        <v>87</v>
      </c>
      <c r="B766" s="24" t="s">
        <v>337</v>
      </c>
      <c r="C766" s="25">
        <v>45870</v>
      </c>
      <c r="D766" s="24" t="s">
        <v>2664</v>
      </c>
      <c r="E766" s="26">
        <v>30811.06</v>
      </c>
      <c r="F766" s="26">
        <v>0</v>
      </c>
      <c r="G766" s="26">
        <v>30811.06</v>
      </c>
      <c r="H766" s="26">
        <v>30811.06</v>
      </c>
    </row>
    <row r="767" spans="1:8">
      <c r="A767" s="24" t="s">
        <v>87</v>
      </c>
      <c r="B767" s="24" t="s">
        <v>337</v>
      </c>
      <c r="C767" s="25">
        <v>45901</v>
      </c>
      <c r="D767" s="24" t="s">
        <v>2665</v>
      </c>
      <c r="E767" s="26">
        <v>79016.490000000005</v>
      </c>
      <c r="F767" s="26">
        <v>0</v>
      </c>
      <c r="G767" s="26">
        <v>79016.490000000005</v>
      </c>
      <c r="H767" s="26">
        <v>109827.55</v>
      </c>
    </row>
    <row r="768" spans="1:8">
      <c r="A768" s="24" t="s">
        <v>87</v>
      </c>
      <c r="B768" s="24" t="s">
        <v>337</v>
      </c>
      <c r="C768" s="25">
        <v>45931</v>
      </c>
      <c r="D768" s="24" t="s">
        <v>2666</v>
      </c>
      <c r="E768" s="26">
        <v>0</v>
      </c>
      <c r="F768" s="26">
        <v>81779.12</v>
      </c>
      <c r="G768" s="26">
        <v>-81779.12</v>
      </c>
      <c r="H768" s="26">
        <v>28048.430000000011</v>
      </c>
    </row>
    <row r="769" spans="1:8">
      <c r="A769" s="24" t="s">
        <v>87</v>
      </c>
      <c r="B769" s="24" t="s">
        <v>337</v>
      </c>
      <c r="C769" s="25">
        <v>45962</v>
      </c>
      <c r="D769" s="24" t="s">
        <v>2667</v>
      </c>
      <c r="E769" s="26">
        <v>0</v>
      </c>
      <c r="F769" s="26">
        <v>100156.51</v>
      </c>
      <c r="G769" s="26">
        <v>-100156.51</v>
      </c>
      <c r="H769" s="26">
        <v>-72108.079999999987</v>
      </c>
    </row>
    <row r="770" spans="1:8">
      <c r="A770" s="24" t="s">
        <v>87</v>
      </c>
      <c r="B770" s="24" t="s">
        <v>337</v>
      </c>
      <c r="C770" s="25">
        <v>45992</v>
      </c>
      <c r="D770" s="24" t="s">
        <v>2668</v>
      </c>
      <c r="E770" s="26">
        <v>0</v>
      </c>
      <c r="F770" s="26">
        <v>0</v>
      </c>
      <c r="G770" s="26">
        <v>0</v>
      </c>
      <c r="H770" s="26">
        <v>-72108.079999999987</v>
      </c>
    </row>
    <row r="771" spans="1:8">
      <c r="A771" s="24" t="s">
        <v>25</v>
      </c>
      <c r="B771" s="24" t="s">
        <v>345</v>
      </c>
      <c r="C771" s="25">
        <v>45658</v>
      </c>
      <c r="D771" s="24" t="s">
        <v>2657</v>
      </c>
      <c r="E771" s="26">
        <v>0</v>
      </c>
      <c r="F771" s="26">
        <v>0</v>
      </c>
      <c r="G771" s="26">
        <v>0</v>
      </c>
      <c r="H771" s="26">
        <v>0</v>
      </c>
    </row>
    <row r="772" spans="1:8">
      <c r="A772" s="24" t="s">
        <v>25</v>
      </c>
      <c r="B772" s="24" t="s">
        <v>345</v>
      </c>
      <c r="C772" s="25">
        <v>45689</v>
      </c>
      <c r="D772" s="24" t="s">
        <v>2658</v>
      </c>
      <c r="E772" s="26">
        <v>0</v>
      </c>
      <c r="F772" s="26">
        <v>0</v>
      </c>
      <c r="G772" s="26">
        <v>0</v>
      </c>
      <c r="H772" s="26">
        <v>0</v>
      </c>
    </row>
    <row r="773" spans="1:8">
      <c r="A773" s="24" t="s">
        <v>25</v>
      </c>
      <c r="B773" s="24" t="s">
        <v>345</v>
      </c>
      <c r="C773" s="25">
        <v>45717</v>
      </c>
      <c r="D773" s="24" t="s">
        <v>2659</v>
      </c>
      <c r="E773" s="26">
        <v>0</v>
      </c>
      <c r="F773" s="26">
        <v>0</v>
      </c>
      <c r="G773" s="26">
        <v>0</v>
      </c>
      <c r="H773" s="26">
        <v>0</v>
      </c>
    </row>
    <row r="774" spans="1:8">
      <c r="A774" s="24" t="s">
        <v>25</v>
      </c>
      <c r="B774" s="24" t="s">
        <v>345</v>
      </c>
      <c r="C774" s="25">
        <v>45748</v>
      </c>
      <c r="D774" s="24" t="s">
        <v>2660</v>
      </c>
      <c r="E774" s="26">
        <v>0</v>
      </c>
      <c r="F774" s="26">
        <v>0</v>
      </c>
      <c r="G774" s="26">
        <v>0</v>
      </c>
      <c r="H774" s="26">
        <v>0</v>
      </c>
    </row>
    <row r="775" spans="1:8">
      <c r="A775" s="24" t="s">
        <v>25</v>
      </c>
      <c r="B775" s="24" t="s">
        <v>345</v>
      </c>
      <c r="C775" s="25">
        <v>45778</v>
      </c>
      <c r="D775" s="24" t="s">
        <v>2661</v>
      </c>
      <c r="E775" s="26">
        <v>0</v>
      </c>
      <c r="F775" s="26">
        <v>0</v>
      </c>
      <c r="G775" s="26">
        <v>0</v>
      </c>
      <c r="H775" s="26">
        <v>0</v>
      </c>
    </row>
    <row r="776" spans="1:8">
      <c r="A776" s="24" t="s">
        <v>25</v>
      </c>
      <c r="B776" s="24" t="s">
        <v>345</v>
      </c>
      <c r="C776" s="25">
        <v>45809</v>
      </c>
      <c r="D776" s="24" t="s">
        <v>2662</v>
      </c>
      <c r="E776" s="26">
        <v>0</v>
      </c>
      <c r="F776" s="26">
        <v>0</v>
      </c>
      <c r="G776" s="26">
        <v>0</v>
      </c>
      <c r="H776" s="26">
        <v>0</v>
      </c>
    </row>
    <row r="777" spans="1:8">
      <c r="A777" s="24" t="s">
        <v>25</v>
      </c>
      <c r="B777" s="24" t="s">
        <v>345</v>
      </c>
      <c r="C777" s="25">
        <v>45839</v>
      </c>
      <c r="D777" s="24" t="s">
        <v>2663</v>
      </c>
      <c r="E777" s="26">
        <v>0</v>
      </c>
      <c r="F777" s="26">
        <v>0</v>
      </c>
      <c r="G777" s="26">
        <v>0</v>
      </c>
      <c r="H777" s="26">
        <v>0</v>
      </c>
    </row>
    <row r="778" spans="1:8">
      <c r="A778" s="24" t="s">
        <v>25</v>
      </c>
      <c r="B778" s="24" t="s">
        <v>345</v>
      </c>
      <c r="C778" s="25">
        <v>45870</v>
      </c>
      <c r="D778" s="24" t="s">
        <v>2664</v>
      </c>
      <c r="E778" s="26">
        <v>0</v>
      </c>
      <c r="F778" s="26">
        <v>0</v>
      </c>
      <c r="G778" s="26">
        <v>0</v>
      </c>
      <c r="H778" s="26">
        <v>0</v>
      </c>
    </row>
    <row r="779" spans="1:8">
      <c r="A779" s="24" t="s">
        <v>25</v>
      </c>
      <c r="B779" s="24" t="s">
        <v>345</v>
      </c>
      <c r="C779" s="25">
        <v>45901</v>
      </c>
      <c r="D779" s="24" t="s">
        <v>2665</v>
      </c>
      <c r="E779" s="26">
        <v>151023.39000000001</v>
      </c>
      <c r="F779" s="26">
        <v>96638.75</v>
      </c>
      <c r="G779" s="26">
        <v>54384.640000000007</v>
      </c>
      <c r="H779" s="26">
        <v>54384.640000000007</v>
      </c>
    </row>
    <row r="780" spans="1:8">
      <c r="A780" s="24" t="s">
        <v>25</v>
      </c>
      <c r="B780" s="24" t="s">
        <v>345</v>
      </c>
      <c r="C780" s="25">
        <v>45931</v>
      </c>
      <c r="D780" s="24" t="s">
        <v>2666</v>
      </c>
      <c r="E780" s="26">
        <v>0</v>
      </c>
      <c r="F780" s="26">
        <v>54993.86</v>
      </c>
      <c r="G780" s="26">
        <v>-54993.86</v>
      </c>
      <c r="H780" s="26">
        <v>-609.21999999998661</v>
      </c>
    </row>
    <row r="781" spans="1:8">
      <c r="A781" s="24" t="s">
        <v>25</v>
      </c>
      <c r="B781" s="24" t="s">
        <v>345</v>
      </c>
      <c r="C781" s="25">
        <v>45962</v>
      </c>
      <c r="D781" s="24" t="s">
        <v>2667</v>
      </c>
      <c r="E781" s="26">
        <v>0</v>
      </c>
      <c r="F781" s="26">
        <v>45498.7</v>
      </c>
      <c r="G781" s="26">
        <v>-45498.7</v>
      </c>
      <c r="H781" s="26">
        <v>-46107.919999999976</v>
      </c>
    </row>
    <row r="782" spans="1:8">
      <c r="A782" s="24" t="s">
        <v>25</v>
      </c>
      <c r="B782" s="24" t="s">
        <v>345</v>
      </c>
      <c r="C782" s="25">
        <v>45992</v>
      </c>
      <c r="D782" s="24" t="s">
        <v>2668</v>
      </c>
      <c r="E782" s="26">
        <v>0</v>
      </c>
      <c r="F782" s="26">
        <v>0</v>
      </c>
      <c r="G782" s="26">
        <v>0</v>
      </c>
      <c r="H782" s="26">
        <v>-46107.919999999976</v>
      </c>
    </row>
    <row r="783" spans="1:8">
      <c r="A783" s="24" t="s">
        <v>193</v>
      </c>
      <c r="B783" s="24" t="s">
        <v>345</v>
      </c>
      <c r="C783" s="25">
        <v>45658</v>
      </c>
      <c r="D783" s="24" t="s">
        <v>2657</v>
      </c>
      <c r="E783" s="26">
        <v>0</v>
      </c>
      <c r="F783" s="26">
        <v>0</v>
      </c>
      <c r="G783" s="26">
        <v>0</v>
      </c>
      <c r="H783" s="26">
        <v>0</v>
      </c>
    </row>
    <row r="784" spans="1:8">
      <c r="A784" s="24" t="s">
        <v>193</v>
      </c>
      <c r="B784" s="24" t="s">
        <v>345</v>
      </c>
      <c r="C784" s="25">
        <v>45689</v>
      </c>
      <c r="D784" s="24" t="s">
        <v>2658</v>
      </c>
      <c r="E784" s="26">
        <v>0</v>
      </c>
      <c r="F784" s="26">
        <v>0</v>
      </c>
      <c r="G784" s="26">
        <v>0</v>
      </c>
      <c r="H784" s="26">
        <v>0</v>
      </c>
    </row>
    <row r="785" spans="1:8">
      <c r="A785" s="24" t="s">
        <v>193</v>
      </c>
      <c r="B785" s="24" t="s">
        <v>345</v>
      </c>
      <c r="C785" s="25">
        <v>45717</v>
      </c>
      <c r="D785" s="24" t="s">
        <v>2659</v>
      </c>
      <c r="E785" s="26">
        <v>0</v>
      </c>
      <c r="F785" s="26">
        <v>0</v>
      </c>
      <c r="G785" s="26">
        <v>0</v>
      </c>
      <c r="H785" s="26">
        <v>0</v>
      </c>
    </row>
    <row r="786" spans="1:8">
      <c r="A786" s="24" t="s">
        <v>193</v>
      </c>
      <c r="B786" s="24" t="s">
        <v>345</v>
      </c>
      <c r="C786" s="25">
        <v>45748</v>
      </c>
      <c r="D786" s="24" t="s">
        <v>2660</v>
      </c>
      <c r="E786" s="26">
        <v>0</v>
      </c>
      <c r="F786" s="26">
        <v>0</v>
      </c>
      <c r="G786" s="26">
        <v>0</v>
      </c>
      <c r="H786" s="26">
        <v>0</v>
      </c>
    </row>
    <row r="787" spans="1:8">
      <c r="A787" s="24" t="s">
        <v>193</v>
      </c>
      <c r="B787" s="24" t="s">
        <v>345</v>
      </c>
      <c r="C787" s="25">
        <v>45778</v>
      </c>
      <c r="D787" s="24" t="s">
        <v>2661</v>
      </c>
      <c r="E787" s="26">
        <v>0</v>
      </c>
      <c r="F787" s="26">
        <v>0</v>
      </c>
      <c r="G787" s="26">
        <v>0</v>
      </c>
      <c r="H787" s="26">
        <v>0</v>
      </c>
    </row>
    <row r="788" spans="1:8">
      <c r="A788" s="24" t="s">
        <v>193</v>
      </c>
      <c r="B788" s="24" t="s">
        <v>345</v>
      </c>
      <c r="C788" s="25">
        <v>45809</v>
      </c>
      <c r="D788" s="24" t="s">
        <v>2662</v>
      </c>
      <c r="E788" s="26">
        <v>0</v>
      </c>
      <c r="F788" s="26">
        <v>0</v>
      </c>
      <c r="G788" s="26">
        <v>0</v>
      </c>
      <c r="H788" s="26">
        <v>0</v>
      </c>
    </row>
    <row r="789" spans="1:8">
      <c r="A789" s="24" t="s">
        <v>193</v>
      </c>
      <c r="B789" s="24" t="s">
        <v>345</v>
      </c>
      <c r="C789" s="25">
        <v>45839</v>
      </c>
      <c r="D789" s="24" t="s">
        <v>2663</v>
      </c>
      <c r="E789" s="26">
        <v>0</v>
      </c>
      <c r="F789" s="26">
        <v>0</v>
      </c>
      <c r="G789" s="26">
        <v>0</v>
      </c>
      <c r="H789" s="26">
        <v>0</v>
      </c>
    </row>
    <row r="790" spans="1:8">
      <c r="A790" s="24" t="s">
        <v>193</v>
      </c>
      <c r="B790" s="24" t="s">
        <v>345</v>
      </c>
      <c r="C790" s="25">
        <v>45870</v>
      </c>
      <c r="D790" s="24" t="s">
        <v>2664</v>
      </c>
      <c r="E790" s="26">
        <v>0</v>
      </c>
      <c r="F790" s="26">
        <v>41194.959999999999</v>
      </c>
      <c r="G790" s="26">
        <v>-41194.959999999999</v>
      </c>
      <c r="H790" s="26">
        <v>-41194.959999999999</v>
      </c>
    </row>
    <row r="791" spans="1:8">
      <c r="A791" s="24" t="s">
        <v>193</v>
      </c>
      <c r="B791" s="24" t="s">
        <v>345</v>
      </c>
      <c r="C791" s="25">
        <v>45901</v>
      </c>
      <c r="D791" s="24" t="s">
        <v>2665</v>
      </c>
      <c r="E791" s="26">
        <v>0</v>
      </c>
      <c r="F791" s="26">
        <v>0</v>
      </c>
      <c r="G791" s="26">
        <v>0</v>
      </c>
      <c r="H791" s="26">
        <v>-41194.959999999999</v>
      </c>
    </row>
    <row r="792" spans="1:8">
      <c r="A792" s="24" t="s">
        <v>193</v>
      </c>
      <c r="B792" s="24" t="s">
        <v>345</v>
      </c>
      <c r="C792" s="25">
        <v>45931</v>
      </c>
      <c r="D792" s="24" t="s">
        <v>2666</v>
      </c>
      <c r="E792" s="26">
        <v>0</v>
      </c>
      <c r="F792" s="26">
        <v>0</v>
      </c>
      <c r="G792" s="26">
        <v>0</v>
      </c>
      <c r="H792" s="26">
        <v>-41194.959999999999</v>
      </c>
    </row>
    <row r="793" spans="1:8">
      <c r="A793" s="24" t="s">
        <v>193</v>
      </c>
      <c r="B793" s="24" t="s">
        <v>345</v>
      </c>
      <c r="C793" s="25">
        <v>45962</v>
      </c>
      <c r="D793" s="24" t="s">
        <v>2667</v>
      </c>
      <c r="E793" s="26">
        <v>0</v>
      </c>
      <c r="F793" s="26">
        <v>0</v>
      </c>
      <c r="G793" s="26">
        <v>0</v>
      </c>
      <c r="H793" s="26">
        <v>-41194.959999999999</v>
      </c>
    </row>
    <row r="794" spans="1:8">
      <c r="A794" s="24" t="s">
        <v>193</v>
      </c>
      <c r="B794" s="24" t="s">
        <v>345</v>
      </c>
      <c r="C794" s="25">
        <v>45992</v>
      </c>
      <c r="D794" s="24" t="s">
        <v>2668</v>
      </c>
      <c r="E794" s="26">
        <v>0</v>
      </c>
      <c r="F794" s="26">
        <v>114220.85</v>
      </c>
      <c r="G794" s="26">
        <v>-114220.85</v>
      </c>
      <c r="H794" s="26">
        <v>-155415.81</v>
      </c>
    </row>
    <row r="795" spans="1:8">
      <c r="A795" s="24" t="s">
        <v>248</v>
      </c>
      <c r="B795" s="24" t="s">
        <v>337</v>
      </c>
      <c r="C795" s="25">
        <v>45658</v>
      </c>
      <c r="D795" s="24" t="s">
        <v>2657</v>
      </c>
      <c r="E795" s="26">
        <v>0</v>
      </c>
      <c r="F795" s="26">
        <v>0</v>
      </c>
      <c r="G795" s="26">
        <v>0</v>
      </c>
      <c r="H795" s="26">
        <v>0</v>
      </c>
    </row>
    <row r="796" spans="1:8">
      <c r="A796" s="24" t="s">
        <v>248</v>
      </c>
      <c r="B796" s="24" t="s">
        <v>337</v>
      </c>
      <c r="C796" s="25">
        <v>45689</v>
      </c>
      <c r="D796" s="24" t="s">
        <v>2658</v>
      </c>
      <c r="E796" s="26">
        <v>0</v>
      </c>
      <c r="F796" s="26">
        <v>0</v>
      </c>
      <c r="G796" s="26">
        <v>0</v>
      </c>
      <c r="H796" s="26">
        <v>0</v>
      </c>
    </row>
    <row r="797" spans="1:8">
      <c r="A797" s="24" t="s">
        <v>248</v>
      </c>
      <c r="B797" s="24" t="s">
        <v>337</v>
      </c>
      <c r="C797" s="25">
        <v>45717</v>
      </c>
      <c r="D797" s="24" t="s">
        <v>2659</v>
      </c>
      <c r="E797" s="26">
        <v>0</v>
      </c>
      <c r="F797" s="26">
        <v>0</v>
      </c>
      <c r="G797" s="26">
        <v>0</v>
      </c>
      <c r="H797" s="26">
        <v>0</v>
      </c>
    </row>
    <row r="798" spans="1:8">
      <c r="A798" s="24" t="s">
        <v>248</v>
      </c>
      <c r="B798" s="24" t="s">
        <v>337</v>
      </c>
      <c r="C798" s="25">
        <v>45748</v>
      </c>
      <c r="D798" s="24" t="s">
        <v>2660</v>
      </c>
      <c r="E798" s="26">
        <v>0</v>
      </c>
      <c r="F798" s="26">
        <v>0</v>
      </c>
      <c r="G798" s="26">
        <v>0</v>
      </c>
      <c r="H798" s="26">
        <v>0</v>
      </c>
    </row>
    <row r="799" spans="1:8">
      <c r="A799" s="24" t="s">
        <v>248</v>
      </c>
      <c r="B799" s="24" t="s">
        <v>337</v>
      </c>
      <c r="C799" s="25">
        <v>45778</v>
      </c>
      <c r="D799" s="24" t="s">
        <v>2661</v>
      </c>
      <c r="E799" s="26">
        <v>0</v>
      </c>
      <c r="F799" s="26">
        <v>0</v>
      </c>
      <c r="G799" s="26">
        <v>0</v>
      </c>
      <c r="H799" s="26">
        <v>0</v>
      </c>
    </row>
    <row r="800" spans="1:8">
      <c r="A800" s="24" t="s">
        <v>248</v>
      </c>
      <c r="B800" s="24" t="s">
        <v>337</v>
      </c>
      <c r="C800" s="25">
        <v>45809</v>
      </c>
      <c r="D800" s="24" t="s">
        <v>2662</v>
      </c>
      <c r="E800" s="26">
        <v>0</v>
      </c>
      <c r="F800" s="26">
        <v>0</v>
      </c>
      <c r="G800" s="26">
        <v>0</v>
      </c>
      <c r="H800" s="26">
        <v>0</v>
      </c>
    </row>
    <row r="801" spans="1:8">
      <c r="A801" s="24" t="s">
        <v>248</v>
      </c>
      <c r="B801" s="24" t="s">
        <v>337</v>
      </c>
      <c r="C801" s="25">
        <v>45839</v>
      </c>
      <c r="D801" s="24" t="s">
        <v>2663</v>
      </c>
      <c r="E801" s="26">
        <v>0</v>
      </c>
      <c r="F801" s="26">
        <v>169730.75</v>
      </c>
      <c r="G801" s="26">
        <v>-169730.75</v>
      </c>
      <c r="H801" s="26">
        <v>-169730.75</v>
      </c>
    </row>
    <row r="802" spans="1:8">
      <c r="A802" s="24" t="s">
        <v>248</v>
      </c>
      <c r="B802" s="24" t="s">
        <v>337</v>
      </c>
      <c r="C802" s="25">
        <v>45870</v>
      </c>
      <c r="D802" s="24" t="s">
        <v>2664</v>
      </c>
      <c r="E802" s="26">
        <v>0</v>
      </c>
      <c r="F802" s="26">
        <v>0</v>
      </c>
      <c r="G802" s="26">
        <v>0</v>
      </c>
      <c r="H802" s="26">
        <v>-169730.75</v>
      </c>
    </row>
    <row r="803" spans="1:8">
      <c r="A803" s="24" t="s">
        <v>248</v>
      </c>
      <c r="B803" s="24" t="s">
        <v>337</v>
      </c>
      <c r="C803" s="25">
        <v>45901</v>
      </c>
      <c r="D803" s="24" t="s">
        <v>2665</v>
      </c>
      <c r="E803" s="26">
        <v>0</v>
      </c>
      <c r="F803" s="26">
        <v>11540.18</v>
      </c>
      <c r="G803" s="26">
        <v>-11540.18</v>
      </c>
      <c r="H803" s="26">
        <v>-181270.93</v>
      </c>
    </row>
    <row r="804" spans="1:8">
      <c r="A804" s="24" t="s">
        <v>248</v>
      </c>
      <c r="B804" s="24" t="s">
        <v>337</v>
      </c>
      <c r="C804" s="25">
        <v>45931</v>
      </c>
      <c r="D804" s="24" t="s">
        <v>2666</v>
      </c>
      <c r="E804" s="26">
        <v>0</v>
      </c>
      <c r="F804" s="26">
        <v>0</v>
      </c>
      <c r="G804" s="26">
        <v>0</v>
      </c>
      <c r="H804" s="26">
        <v>-181270.93</v>
      </c>
    </row>
    <row r="805" spans="1:8">
      <c r="A805" s="24" t="s">
        <v>248</v>
      </c>
      <c r="B805" s="24" t="s">
        <v>337</v>
      </c>
      <c r="C805" s="25">
        <v>45962</v>
      </c>
      <c r="D805" s="24" t="s">
        <v>2667</v>
      </c>
      <c r="E805" s="26">
        <v>0</v>
      </c>
      <c r="F805" s="26">
        <v>0</v>
      </c>
      <c r="G805" s="26">
        <v>0</v>
      </c>
      <c r="H805" s="26">
        <v>-181270.93</v>
      </c>
    </row>
    <row r="806" spans="1:8">
      <c r="A806" s="24" t="s">
        <v>248</v>
      </c>
      <c r="B806" s="24" t="s">
        <v>337</v>
      </c>
      <c r="C806" s="25">
        <v>45992</v>
      </c>
      <c r="D806" s="24" t="s">
        <v>2668</v>
      </c>
      <c r="E806" s="26">
        <v>0</v>
      </c>
      <c r="F806" s="26">
        <v>0</v>
      </c>
      <c r="G806" s="26">
        <v>0</v>
      </c>
      <c r="H806" s="26">
        <v>-181270.93</v>
      </c>
    </row>
    <row r="807" spans="1:8">
      <c r="A807" s="24" t="s">
        <v>84</v>
      </c>
      <c r="B807" s="24" t="s">
        <v>345</v>
      </c>
      <c r="C807" s="25">
        <v>45658</v>
      </c>
      <c r="D807" s="24" t="s">
        <v>2657</v>
      </c>
      <c r="E807" s="26">
        <v>0</v>
      </c>
      <c r="F807" s="26">
        <v>0</v>
      </c>
      <c r="G807" s="26">
        <v>0</v>
      </c>
      <c r="H807" s="26">
        <v>0</v>
      </c>
    </row>
    <row r="808" spans="1:8">
      <c r="A808" s="24" t="s">
        <v>84</v>
      </c>
      <c r="B808" s="24" t="s">
        <v>345</v>
      </c>
      <c r="C808" s="25">
        <v>45689</v>
      </c>
      <c r="D808" s="24" t="s">
        <v>2658</v>
      </c>
      <c r="E808" s="26">
        <v>0</v>
      </c>
      <c r="F808" s="26">
        <v>0</v>
      </c>
      <c r="G808" s="26">
        <v>0</v>
      </c>
      <c r="H808" s="26">
        <v>0</v>
      </c>
    </row>
    <row r="809" spans="1:8">
      <c r="A809" s="24" t="s">
        <v>84</v>
      </c>
      <c r="B809" s="24" t="s">
        <v>345</v>
      </c>
      <c r="C809" s="25">
        <v>45717</v>
      </c>
      <c r="D809" s="24" t="s">
        <v>2659</v>
      </c>
      <c r="E809" s="26">
        <v>0</v>
      </c>
      <c r="F809" s="26">
        <v>0</v>
      </c>
      <c r="G809" s="26">
        <v>0</v>
      </c>
      <c r="H809" s="26">
        <v>0</v>
      </c>
    </row>
    <row r="810" spans="1:8">
      <c r="A810" s="24" t="s">
        <v>84</v>
      </c>
      <c r="B810" s="24" t="s">
        <v>345</v>
      </c>
      <c r="C810" s="25">
        <v>45748</v>
      </c>
      <c r="D810" s="24" t="s">
        <v>2660</v>
      </c>
      <c r="E810" s="26">
        <v>0</v>
      </c>
      <c r="F810" s="26">
        <v>0</v>
      </c>
      <c r="G810" s="26">
        <v>0</v>
      </c>
      <c r="H810" s="26">
        <v>0</v>
      </c>
    </row>
    <row r="811" spans="1:8">
      <c r="A811" s="24" t="s">
        <v>84</v>
      </c>
      <c r="B811" s="24" t="s">
        <v>345</v>
      </c>
      <c r="C811" s="25">
        <v>45778</v>
      </c>
      <c r="D811" s="24" t="s">
        <v>2661</v>
      </c>
      <c r="E811" s="26">
        <v>0</v>
      </c>
      <c r="F811" s="26">
        <v>0</v>
      </c>
      <c r="G811" s="26">
        <v>0</v>
      </c>
      <c r="H811" s="26">
        <v>0</v>
      </c>
    </row>
    <row r="812" spans="1:8">
      <c r="A812" s="24" t="s">
        <v>84</v>
      </c>
      <c r="B812" s="24" t="s">
        <v>345</v>
      </c>
      <c r="C812" s="25">
        <v>45809</v>
      </c>
      <c r="D812" s="24" t="s">
        <v>2662</v>
      </c>
      <c r="E812" s="26">
        <v>0</v>
      </c>
      <c r="F812" s="26">
        <v>0</v>
      </c>
      <c r="G812" s="26">
        <v>0</v>
      </c>
      <c r="H812" s="26">
        <v>0</v>
      </c>
    </row>
    <row r="813" spans="1:8">
      <c r="A813" s="24" t="s">
        <v>84</v>
      </c>
      <c r="B813" s="24" t="s">
        <v>345</v>
      </c>
      <c r="C813" s="25">
        <v>45839</v>
      </c>
      <c r="D813" s="24" t="s">
        <v>2663</v>
      </c>
      <c r="E813" s="26">
        <v>0</v>
      </c>
      <c r="F813" s="26">
        <v>0</v>
      </c>
      <c r="G813" s="26">
        <v>0</v>
      </c>
      <c r="H813" s="26">
        <v>0</v>
      </c>
    </row>
    <row r="814" spans="1:8">
      <c r="A814" s="24" t="s">
        <v>84</v>
      </c>
      <c r="B814" s="24" t="s">
        <v>345</v>
      </c>
      <c r="C814" s="25">
        <v>45870</v>
      </c>
      <c r="D814" s="24" t="s">
        <v>2664</v>
      </c>
      <c r="E814" s="26">
        <v>0</v>
      </c>
      <c r="F814" s="26">
        <v>129492.38</v>
      </c>
      <c r="G814" s="26">
        <v>-129492.38</v>
      </c>
      <c r="H814" s="26">
        <v>-129492.38</v>
      </c>
    </row>
    <row r="815" spans="1:8">
      <c r="A815" s="24" t="s">
        <v>84</v>
      </c>
      <c r="B815" s="24" t="s">
        <v>345</v>
      </c>
      <c r="C815" s="25">
        <v>45901</v>
      </c>
      <c r="D815" s="24" t="s">
        <v>2665</v>
      </c>
      <c r="E815" s="26">
        <v>0</v>
      </c>
      <c r="F815" s="26">
        <v>92827.31</v>
      </c>
      <c r="G815" s="26">
        <v>-92827.31</v>
      </c>
      <c r="H815" s="26">
        <v>-222319.69</v>
      </c>
    </row>
    <row r="816" spans="1:8">
      <c r="A816" s="24" t="s">
        <v>84</v>
      </c>
      <c r="B816" s="24" t="s">
        <v>345</v>
      </c>
      <c r="C816" s="25">
        <v>45931</v>
      </c>
      <c r="D816" s="24" t="s">
        <v>2666</v>
      </c>
      <c r="E816" s="26">
        <v>0</v>
      </c>
      <c r="F816" s="26">
        <v>0</v>
      </c>
      <c r="G816" s="26">
        <v>0</v>
      </c>
      <c r="H816" s="26">
        <v>-222319.69</v>
      </c>
    </row>
    <row r="817" spans="1:8">
      <c r="A817" s="24" t="s">
        <v>84</v>
      </c>
      <c r="B817" s="24" t="s">
        <v>345</v>
      </c>
      <c r="C817" s="25">
        <v>45962</v>
      </c>
      <c r="D817" s="24" t="s">
        <v>2667</v>
      </c>
      <c r="E817" s="26">
        <v>0</v>
      </c>
      <c r="F817" s="26">
        <v>0</v>
      </c>
      <c r="G817" s="26">
        <v>0</v>
      </c>
      <c r="H817" s="26">
        <v>-222319.69</v>
      </c>
    </row>
    <row r="818" spans="1:8">
      <c r="A818" s="24" t="s">
        <v>84</v>
      </c>
      <c r="B818" s="24" t="s">
        <v>345</v>
      </c>
      <c r="C818" s="25">
        <v>45992</v>
      </c>
      <c r="D818" s="24" t="s">
        <v>2668</v>
      </c>
      <c r="E818" s="26">
        <v>0</v>
      </c>
      <c r="F818" s="26">
        <v>144072.93</v>
      </c>
      <c r="G818" s="26">
        <v>-144072.93</v>
      </c>
      <c r="H818" s="26">
        <v>-366392.62</v>
      </c>
    </row>
    <row r="819" spans="1:8">
      <c r="A819" s="24" t="s">
        <v>59</v>
      </c>
      <c r="B819" s="24" t="s">
        <v>318</v>
      </c>
      <c r="C819" s="25">
        <v>45658</v>
      </c>
      <c r="D819" s="24" t="s">
        <v>2657</v>
      </c>
      <c r="E819" s="26">
        <v>0</v>
      </c>
      <c r="F819" s="26">
        <v>0</v>
      </c>
      <c r="G819" s="26">
        <v>0</v>
      </c>
      <c r="H819" s="26">
        <v>0</v>
      </c>
    </row>
    <row r="820" spans="1:8">
      <c r="A820" s="24" t="s">
        <v>59</v>
      </c>
      <c r="B820" s="24" t="s">
        <v>318</v>
      </c>
      <c r="C820" s="25">
        <v>45689</v>
      </c>
      <c r="D820" s="24" t="s">
        <v>2658</v>
      </c>
      <c r="E820" s="26">
        <v>0</v>
      </c>
      <c r="F820" s="26">
        <v>0</v>
      </c>
      <c r="G820" s="26">
        <v>0</v>
      </c>
      <c r="H820" s="26">
        <v>0</v>
      </c>
    </row>
    <row r="821" spans="1:8">
      <c r="A821" s="24" t="s">
        <v>59</v>
      </c>
      <c r="B821" s="24" t="s">
        <v>318</v>
      </c>
      <c r="C821" s="25">
        <v>45717</v>
      </c>
      <c r="D821" s="24" t="s">
        <v>2659</v>
      </c>
      <c r="E821" s="26">
        <v>0</v>
      </c>
      <c r="F821" s="26">
        <v>0</v>
      </c>
      <c r="G821" s="26">
        <v>0</v>
      </c>
      <c r="H821" s="26">
        <v>0</v>
      </c>
    </row>
    <row r="822" spans="1:8">
      <c r="A822" s="24" t="s">
        <v>59</v>
      </c>
      <c r="B822" s="24" t="s">
        <v>318</v>
      </c>
      <c r="C822" s="25">
        <v>45748</v>
      </c>
      <c r="D822" s="24" t="s">
        <v>2660</v>
      </c>
      <c r="E822" s="26">
        <v>0</v>
      </c>
      <c r="F822" s="26">
        <v>0</v>
      </c>
      <c r="G822" s="26">
        <v>0</v>
      </c>
      <c r="H822" s="26">
        <v>0</v>
      </c>
    </row>
    <row r="823" spans="1:8">
      <c r="A823" s="24" t="s">
        <v>59</v>
      </c>
      <c r="B823" s="24" t="s">
        <v>318</v>
      </c>
      <c r="C823" s="25">
        <v>45778</v>
      </c>
      <c r="D823" s="24" t="s">
        <v>2661</v>
      </c>
      <c r="E823" s="26">
        <v>0</v>
      </c>
      <c r="F823" s="26">
        <v>0</v>
      </c>
      <c r="G823" s="26">
        <v>0</v>
      </c>
      <c r="H823" s="26">
        <v>0</v>
      </c>
    </row>
    <row r="824" spans="1:8">
      <c r="A824" s="24" t="s">
        <v>59</v>
      </c>
      <c r="B824" s="24" t="s">
        <v>318</v>
      </c>
      <c r="C824" s="25">
        <v>45809</v>
      </c>
      <c r="D824" s="24" t="s">
        <v>2662</v>
      </c>
      <c r="E824" s="26">
        <v>0</v>
      </c>
      <c r="F824" s="26">
        <v>0</v>
      </c>
      <c r="G824" s="26">
        <v>0</v>
      </c>
      <c r="H824" s="26">
        <v>0</v>
      </c>
    </row>
    <row r="825" spans="1:8">
      <c r="A825" s="24" t="s">
        <v>59</v>
      </c>
      <c r="B825" s="24" t="s">
        <v>318</v>
      </c>
      <c r="C825" s="25">
        <v>45839</v>
      </c>
      <c r="D825" s="24" t="s">
        <v>2663</v>
      </c>
      <c r="E825" s="26">
        <v>0</v>
      </c>
      <c r="F825" s="26">
        <v>0</v>
      </c>
      <c r="G825" s="26">
        <v>0</v>
      </c>
      <c r="H825" s="26">
        <v>0</v>
      </c>
    </row>
    <row r="826" spans="1:8">
      <c r="A826" s="24" t="s">
        <v>59</v>
      </c>
      <c r="B826" s="24" t="s">
        <v>318</v>
      </c>
      <c r="C826" s="25">
        <v>45870</v>
      </c>
      <c r="D826" s="24" t="s">
        <v>2664</v>
      </c>
      <c r="E826" s="26">
        <v>0</v>
      </c>
      <c r="F826" s="26">
        <v>16000.5</v>
      </c>
      <c r="G826" s="26">
        <v>-16000.5</v>
      </c>
      <c r="H826" s="26">
        <v>-16000.5</v>
      </c>
    </row>
    <row r="827" spans="1:8">
      <c r="A827" s="24" t="s">
        <v>59</v>
      </c>
      <c r="B827" s="24" t="s">
        <v>318</v>
      </c>
      <c r="C827" s="25">
        <v>45901</v>
      </c>
      <c r="D827" s="24" t="s">
        <v>2665</v>
      </c>
      <c r="E827" s="26">
        <v>0</v>
      </c>
      <c r="F827" s="26">
        <v>0</v>
      </c>
      <c r="G827" s="26">
        <v>0</v>
      </c>
      <c r="H827" s="26">
        <v>-16000.5</v>
      </c>
    </row>
    <row r="828" spans="1:8">
      <c r="A828" s="24" t="s">
        <v>59</v>
      </c>
      <c r="B828" s="24" t="s">
        <v>318</v>
      </c>
      <c r="C828" s="25">
        <v>45931</v>
      </c>
      <c r="D828" s="24" t="s">
        <v>2666</v>
      </c>
      <c r="E828" s="26">
        <v>0</v>
      </c>
      <c r="F828" s="26">
        <v>0</v>
      </c>
      <c r="G828" s="26">
        <v>0</v>
      </c>
      <c r="H828" s="26">
        <v>-16000.5</v>
      </c>
    </row>
    <row r="829" spans="1:8">
      <c r="A829" s="24" t="s">
        <v>59</v>
      </c>
      <c r="B829" s="24" t="s">
        <v>318</v>
      </c>
      <c r="C829" s="25">
        <v>45962</v>
      </c>
      <c r="D829" s="24" t="s">
        <v>2667</v>
      </c>
      <c r="E829" s="26">
        <v>0</v>
      </c>
      <c r="F829" s="26">
        <v>0</v>
      </c>
      <c r="G829" s="26">
        <v>0</v>
      </c>
      <c r="H829" s="26">
        <v>-16000.5</v>
      </c>
    </row>
    <row r="830" spans="1:8">
      <c r="A830" s="24" t="s">
        <v>59</v>
      </c>
      <c r="B830" s="24" t="s">
        <v>318</v>
      </c>
      <c r="C830" s="25">
        <v>45992</v>
      </c>
      <c r="D830" s="24" t="s">
        <v>2668</v>
      </c>
      <c r="E830" s="26">
        <v>0</v>
      </c>
      <c r="F830" s="26">
        <v>0</v>
      </c>
      <c r="G830" s="26">
        <v>0</v>
      </c>
      <c r="H830" s="26">
        <v>-16000.5</v>
      </c>
    </row>
    <row r="831" spans="1:8">
      <c r="A831" s="24" t="s">
        <v>76</v>
      </c>
      <c r="B831" s="24" t="s">
        <v>318</v>
      </c>
      <c r="C831" s="25">
        <v>45658</v>
      </c>
      <c r="D831" s="24" t="s">
        <v>2657</v>
      </c>
      <c r="E831" s="26">
        <v>0</v>
      </c>
      <c r="F831" s="26">
        <v>0</v>
      </c>
      <c r="G831" s="26">
        <v>0</v>
      </c>
      <c r="H831" s="26">
        <v>0</v>
      </c>
    </row>
    <row r="832" spans="1:8">
      <c r="A832" s="24" t="s">
        <v>76</v>
      </c>
      <c r="B832" s="24" t="s">
        <v>318</v>
      </c>
      <c r="C832" s="25">
        <v>45689</v>
      </c>
      <c r="D832" s="24" t="s">
        <v>2658</v>
      </c>
      <c r="E832" s="26">
        <v>0</v>
      </c>
      <c r="F832" s="26">
        <v>0</v>
      </c>
      <c r="G832" s="26">
        <v>0</v>
      </c>
      <c r="H832" s="26">
        <v>0</v>
      </c>
    </row>
    <row r="833" spans="1:8">
      <c r="A833" s="24" t="s">
        <v>76</v>
      </c>
      <c r="B833" s="24" t="s">
        <v>318</v>
      </c>
      <c r="C833" s="25">
        <v>45717</v>
      </c>
      <c r="D833" s="24" t="s">
        <v>2659</v>
      </c>
      <c r="E833" s="26">
        <v>0</v>
      </c>
      <c r="F833" s="26">
        <v>0</v>
      </c>
      <c r="G833" s="26">
        <v>0</v>
      </c>
      <c r="H833" s="26">
        <v>0</v>
      </c>
    </row>
    <row r="834" spans="1:8">
      <c r="A834" s="24" t="s">
        <v>76</v>
      </c>
      <c r="B834" s="24" t="s">
        <v>318</v>
      </c>
      <c r="C834" s="25">
        <v>45748</v>
      </c>
      <c r="D834" s="24" t="s">
        <v>2660</v>
      </c>
      <c r="E834" s="26">
        <v>0</v>
      </c>
      <c r="F834" s="26">
        <v>0</v>
      </c>
      <c r="G834" s="26">
        <v>0</v>
      </c>
      <c r="H834" s="26">
        <v>0</v>
      </c>
    </row>
    <row r="835" spans="1:8">
      <c r="A835" s="24" t="s">
        <v>76</v>
      </c>
      <c r="B835" s="24" t="s">
        <v>318</v>
      </c>
      <c r="C835" s="25">
        <v>45778</v>
      </c>
      <c r="D835" s="24" t="s">
        <v>2661</v>
      </c>
      <c r="E835" s="26">
        <v>0</v>
      </c>
      <c r="F835" s="26">
        <v>0</v>
      </c>
      <c r="G835" s="26">
        <v>0</v>
      </c>
      <c r="H835" s="26">
        <v>0</v>
      </c>
    </row>
    <row r="836" spans="1:8">
      <c r="A836" s="24" t="s">
        <v>76</v>
      </c>
      <c r="B836" s="24" t="s">
        <v>318</v>
      </c>
      <c r="C836" s="25">
        <v>45809</v>
      </c>
      <c r="D836" s="24" t="s">
        <v>2662</v>
      </c>
      <c r="E836" s="26">
        <v>0</v>
      </c>
      <c r="F836" s="26">
        <v>0</v>
      </c>
      <c r="G836" s="26">
        <v>0</v>
      </c>
      <c r="H836" s="26">
        <v>0</v>
      </c>
    </row>
    <row r="837" spans="1:8">
      <c r="A837" s="24" t="s">
        <v>76</v>
      </c>
      <c r="B837" s="24" t="s">
        <v>318</v>
      </c>
      <c r="C837" s="25">
        <v>45839</v>
      </c>
      <c r="D837" s="24" t="s">
        <v>2663</v>
      </c>
      <c r="E837" s="26">
        <v>0</v>
      </c>
      <c r="F837" s="26">
        <v>0</v>
      </c>
      <c r="G837" s="26">
        <v>0</v>
      </c>
      <c r="H837" s="26">
        <v>0</v>
      </c>
    </row>
    <row r="838" spans="1:8">
      <c r="A838" s="24" t="s">
        <v>76</v>
      </c>
      <c r="B838" s="24" t="s">
        <v>318</v>
      </c>
      <c r="C838" s="25">
        <v>45870</v>
      </c>
      <c r="D838" s="24" t="s">
        <v>2664</v>
      </c>
      <c r="E838" s="26">
        <v>0</v>
      </c>
      <c r="F838" s="26">
        <v>0</v>
      </c>
      <c r="G838" s="26">
        <v>0</v>
      </c>
      <c r="H838" s="26">
        <v>0</v>
      </c>
    </row>
    <row r="839" spans="1:8">
      <c r="A839" s="24" t="s">
        <v>76</v>
      </c>
      <c r="B839" s="24" t="s">
        <v>318</v>
      </c>
      <c r="C839" s="25">
        <v>45901</v>
      </c>
      <c r="D839" s="24" t="s">
        <v>2665</v>
      </c>
      <c r="E839" s="26">
        <v>0</v>
      </c>
      <c r="F839" s="26">
        <v>0</v>
      </c>
      <c r="G839" s="26">
        <v>0</v>
      </c>
      <c r="H839" s="26">
        <v>0</v>
      </c>
    </row>
    <row r="840" spans="1:8">
      <c r="A840" s="24" t="s">
        <v>76</v>
      </c>
      <c r="B840" s="24" t="s">
        <v>318</v>
      </c>
      <c r="C840" s="25">
        <v>45931</v>
      </c>
      <c r="D840" s="24" t="s">
        <v>2666</v>
      </c>
      <c r="E840" s="26">
        <v>0</v>
      </c>
      <c r="F840" s="26">
        <v>0</v>
      </c>
      <c r="G840" s="26">
        <v>0</v>
      </c>
      <c r="H840" s="26">
        <v>0</v>
      </c>
    </row>
    <row r="841" spans="1:8">
      <c r="A841" s="24" t="s">
        <v>76</v>
      </c>
      <c r="B841" s="24" t="s">
        <v>318</v>
      </c>
      <c r="C841" s="25">
        <v>45962</v>
      </c>
      <c r="D841" s="24" t="s">
        <v>2667</v>
      </c>
      <c r="E841" s="26">
        <v>0</v>
      </c>
      <c r="F841" s="26">
        <v>0</v>
      </c>
      <c r="G841" s="26">
        <v>0</v>
      </c>
      <c r="H841" s="26">
        <v>0</v>
      </c>
    </row>
    <row r="842" spans="1:8">
      <c r="A842" s="24" t="s">
        <v>76</v>
      </c>
      <c r="B842" s="24" t="s">
        <v>318</v>
      </c>
      <c r="C842" s="25">
        <v>45992</v>
      </c>
      <c r="D842" s="24" t="s">
        <v>2668</v>
      </c>
      <c r="E842" s="26">
        <v>0</v>
      </c>
      <c r="F842" s="26">
        <v>0</v>
      </c>
      <c r="G842" s="26">
        <v>0</v>
      </c>
      <c r="H842" s="26">
        <v>0</v>
      </c>
    </row>
    <row r="843" spans="1:8">
      <c r="A843" s="24" t="s">
        <v>180</v>
      </c>
      <c r="B843" s="24" t="s">
        <v>337</v>
      </c>
      <c r="C843" s="25">
        <v>45658</v>
      </c>
      <c r="D843" s="24" t="s">
        <v>2657</v>
      </c>
      <c r="E843" s="26">
        <v>0</v>
      </c>
      <c r="F843" s="26">
        <v>0</v>
      </c>
      <c r="G843" s="26">
        <v>0</v>
      </c>
      <c r="H843" s="26">
        <v>0</v>
      </c>
    </row>
    <row r="844" spans="1:8">
      <c r="A844" s="24" t="s">
        <v>180</v>
      </c>
      <c r="B844" s="24" t="s">
        <v>337</v>
      </c>
      <c r="C844" s="25">
        <v>45689</v>
      </c>
      <c r="D844" s="24" t="s">
        <v>2658</v>
      </c>
      <c r="E844" s="26">
        <v>0</v>
      </c>
      <c r="F844" s="26">
        <v>0</v>
      </c>
      <c r="G844" s="26">
        <v>0</v>
      </c>
      <c r="H844" s="26">
        <v>0</v>
      </c>
    </row>
    <row r="845" spans="1:8">
      <c r="A845" s="24" t="s">
        <v>180</v>
      </c>
      <c r="B845" s="24" t="s">
        <v>337</v>
      </c>
      <c r="C845" s="25">
        <v>45717</v>
      </c>
      <c r="D845" s="24" t="s">
        <v>2659</v>
      </c>
      <c r="E845" s="26">
        <v>0</v>
      </c>
      <c r="F845" s="26">
        <v>0</v>
      </c>
      <c r="G845" s="26">
        <v>0</v>
      </c>
      <c r="H845" s="26">
        <v>0</v>
      </c>
    </row>
    <row r="846" spans="1:8">
      <c r="A846" s="24" t="s">
        <v>180</v>
      </c>
      <c r="B846" s="24" t="s">
        <v>337</v>
      </c>
      <c r="C846" s="25">
        <v>45748</v>
      </c>
      <c r="D846" s="24" t="s">
        <v>2660</v>
      </c>
      <c r="E846" s="26">
        <v>0</v>
      </c>
      <c r="F846" s="26">
        <v>0</v>
      </c>
      <c r="G846" s="26">
        <v>0</v>
      </c>
      <c r="H846" s="26">
        <v>0</v>
      </c>
    </row>
    <row r="847" spans="1:8">
      <c r="A847" s="24" t="s">
        <v>180</v>
      </c>
      <c r="B847" s="24" t="s">
        <v>337</v>
      </c>
      <c r="C847" s="25">
        <v>45778</v>
      </c>
      <c r="D847" s="24" t="s">
        <v>2661</v>
      </c>
      <c r="E847" s="26">
        <v>0</v>
      </c>
      <c r="F847" s="26">
        <v>0</v>
      </c>
      <c r="G847" s="26">
        <v>0</v>
      </c>
      <c r="H847" s="26">
        <v>0</v>
      </c>
    </row>
    <row r="848" spans="1:8">
      <c r="A848" s="24" t="s">
        <v>180</v>
      </c>
      <c r="B848" s="24" t="s">
        <v>337</v>
      </c>
      <c r="C848" s="25">
        <v>45809</v>
      </c>
      <c r="D848" s="24" t="s">
        <v>2662</v>
      </c>
      <c r="E848" s="26">
        <v>0</v>
      </c>
      <c r="F848" s="26">
        <v>0</v>
      </c>
      <c r="G848" s="26">
        <v>0</v>
      </c>
      <c r="H848" s="26">
        <v>0</v>
      </c>
    </row>
    <row r="849" spans="1:8">
      <c r="A849" s="24" t="s">
        <v>180</v>
      </c>
      <c r="B849" s="24" t="s">
        <v>337</v>
      </c>
      <c r="C849" s="25">
        <v>45839</v>
      </c>
      <c r="D849" s="24" t="s">
        <v>2663</v>
      </c>
      <c r="E849" s="26">
        <v>0</v>
      </c>
      <c r="F849" s="26">
        <v>0</v>
      </c>
      <c r="G849" s="26">
        <v>0</v>
      </c>
      <c r="H849" s="26">
        <v>0</v>
      </c>
    </row>
    <row r="850" spans="1:8">
      <c r="A850" s="24" t="s">
        <v>180</v>
      </c>
      <c r="B850" s="24" t="s">
        <v>337</v>
      </c>
      <c r="C850" s="25">
        <v>45870</v>
      </c>
      <c r="D850" s="24" t="s">
        <v>2664</v>
      </c>
      <c r="E850" s="26">
        <v>0</v>
      </c>
      <c r="F850" s="26">
        <v>0</v>
      </c>
      <c r="G850" s="26">
        <v>0</v>
      </c>
      <c r="H850" s="26">
        <v>0</v>
      </c>
    </row>
    <row r="851" spans="1:8">
      <c r="A851" s="24" t="s">
        <v>180</v>
      </c>
      <c r="B851" s="24" t="s">
        <v>337</v>
      </c>
      <c r="C851" s="25">
        <v>45901</v>
      </c>
      <c r="D851" s="24" t="s">
        <v>2665</v>
      </c>
      <c r="E851" s="26">
        <v>0</v>
      </c>
      <c r="F851" s="26">
        <v>0</v>
      </c>
      <c r="G851" s="26">
        <v>0</v>
      </c>
      <c r="H851" s="26">
        <v>0</v>
      </c>
    </row>
    <row r="852" spans="1:8">
      <c r="A852" s="24" t="s">
        <v>180</v>
      </c>
      <c r="B852" s="24" t="s">
        <v>337</v>
      </c>
      <c r="C852" s="25">
        <v>45931</v>
      </c>
      <c r="D852" s="24" t="s">
        <v>2666</v>
      </c>
      <c r="E852" s="26">
        <v>0</v>
      </c>
      <c r="F852" s="26">
        <v>0</v>
      </c>
      <c r="G852" s="26">
        <v>0</v>
      </c>
      <c r="H852" s="26">
        <v>0</v>
      </c>
    </row>
    <row r="853" spans="1:8">
      <c r="A853" s="24" t="s">
        <v>180</v>
      </c>
      <c r="B853" s="24" t="s">
        <v>337</v>
      </c>
      <c r="C853" s="25">
        <v>45962</v>
      </c>
      <c r="D853" s="24" t="s">
        <v>2667</v>
      </c>
      <c r="E853" s="26">
        <v>0</v>
      </c>
      <c r="F853" s="26">
        <v>0</v>
      </c>
      <c r="G853" s="26">
        <v>0</v>
      </c>
      <c r="H853" s="26">
        <v>0</v>
      </c>
    </row>
    <row r="854" spans="1:8">
      <c r="A854" s="24" t="s">
        <v>180</v>
      </c>
      <c r="B854" s="24" t="s">
        <v>337</v>
      </c>
      <c r="C854" s="25">
        <v>45992</v>
      </c>
      <c r="D854" s="24" t="s">
        <v>2668</v>
      </c>
      <c r="E854" s="26">
        <v>0</v>
      </c>
      <c r="F854" s="26">
        <v>0</v>
      </c>
      <c r="G854" s="26">
        <v>0</v>
      </c>
      <c r="H854" s="26">
        <v>0</v>
      </c>
    </row>
    <row r="855" spans="1:8">
      <c r="A855" s="24" t="s">
        <v>162</v>
      </c>
      <c r="B855" s="24" t="s">
        <v>329</v>
      </c>
      <c r="C855" s="25">
        <v>45658</v>
      </c>
      <c r="D855" s="24" t="s">
        <v>2657</v>
      </c>
      <c r="E855" s="26">
        <v>0</v>
      </c>
      <c r="F855" s="26">
        <v>0</v>
      </c>
      <c r="G855" s="26">
        <v>0</v>
      </c>
      <c r="H855" s="26">
        <v>0</v>
      </c>
    </row>
    <row r="856" spans="1:8">
      <c r="A856" s="24" t="s">
        <v>162</v>
      </c>
      <c r="B856" s="24" t="s">
        <v>329</v>
      </c>
      <c r="C856" s="25">
        <v>45689</v>
      </c>
      <c r="D856" s="24" t="s">
        <v>2658</v>
      </c>
      <c r="E856" s="26">
        <v>0</v>
      </c>
      <c r="F856" s="26">
        <v>0</v>
      </c>
      <c r="G856" s="26">
        <v>0</v>
      </c>
      <c r="H856" s="26">
        <v>0</v>
      </c>
    </row>
    <row r="857" spans="1:8">
      <c r="A857" s="24" t="s">
        <v>162</v>
      </c>
      <c r="B857" s="24" t="s">
        <v>329</v>
      </c>
      <c r="C857" s="25">
        <v>45717</v>
      </c>
      <c r="D857" s="24" t="s">
        <v>2659</v>
      </c>
      <c r="E857" s="26">
        <v>0</v>
      </c>
      <c r="F857" s="26">
        <v>0</v>
      </c>
      <c r="G857" s="26">
        <v>0</v>
      </c>
      <c r="H857" s="26">
        <v>0</v>
      </c>
    </row>
    <row r="858" spans="1:8">
      <c r="A858" s="24" t="s">
        <v>162</v>
      </c>
      <c r="B858" s="24" t="s">
        <v>329</v>
      </c>
      <c r="C858" s="25">
        <v>45748</v>
      </c>
      <c r="D858" s="24" t="s">
        <v>2660</v>
      </c>
      <c r="E858" s="26">
        <v>0</v>
      </c>
      <c r="F858" s="26">
        <v>0</v>
      </c>
      <c r="G858" s="26">
        <v>0</v>
      </c>
      <c r="H858" s="26">
        <v>0</v>
      </c>
    </row>
    <row r="859" spans="1:8">
      <c r="A859" s="24" t="s">
        <v>162</v>
      </c>
      <c r="B859" s="24" t="s">
        <v>329</v>
      </c>
      <c r="C859" s="25">
        <v>45778</v>
      </c>
      <c r="D859" s="24" t="s">
        <v>2661</v>
      </c>
      <c r="E859" s="26">
        <v>0</v>
      </c>
      <c r="F859" s="26">
        <v>0</v>
      </c>
      <c r="G859" s="26">
        <v>0</v>
      </c>
      <c r="H859" s="26">
        <v>0</v>
      </c>
    </row>
    <row r="860" spans="1:8">
      <c r="A860" s="24" t="s">
        <v>162</v>
      </c>
      <c r="B860" s="24" t="s">
        <v>329</v>
      </c>
      <c r="C860" s="25">
        <v>45809</v>
      </c>
      <c r="D860" s="24" t="s">
        <v>2662</v>
      </c>
      <c r="E860" s="26">
        <v>0</v>
      </c>
      <c r="F860" s="26">
        <v>0</v>
      </c>
      <c r="G860" s="26">
        <v>0</v>
      </c>
      <c r="H860" s="26">
        <v>0</v>
      </c>
    </row>
    <row r="861" spans="1:8">
      <c r="A861" s="24" t="s">
        <v>162</v>
      </c>
      <c r="B861" s="24" t="s">
        <v>329</v>
      </c>
      <c r="C861" s="25">
        <v>45839</v>
      </c>
      <c r="D861" s="24" t="s">
        <v>2663</v>
      </c>
      <c r="E861" s="26">
        <v>0</v>
      </c>
      <c r="F861" s="26">
        <v>0</v>
      </c>
      <c r="G861" s="26">
        <v>0</v>
      </c>
      <c r="H861" s="26">
        <v>0</v>
      </c>
    </row>
    <row r="862" spans="1:8">
      <c r="A862" s="24" t="s">
        <v>162</v>
      </c>
      <c r="B862" s="24" t="s">
        <v>329</v>
      </c>
      <c r="C862" s="25">
        <v>45870</v>
      </c>
      <c r="D862" s="24" t="s">
        <v>2664</v>
      </c>
      <c r="E862" s="26">
        <v>0</v>
      </c>
      <c r="F862" s="26">
        <v>53153.08</v>
      </c>
      <c r="G862" s="26">
        <v>-53153.08</v>
      </c>
      <c r="H862" s="26">
        <v>-53153.08</v>
      </c>
    </row>
    <row r="863" spans="1:8">
      <c r="A863" s="24" t="s">
        <v>162</v>
      </c>
      <c r="B863" s="24" t="s">
        <v>329</v>
      </c>
      <c r="C863" s="25">
        <v>45901</v>
      </c>
      <c r="D863" s="24" t="s">
        <v>2665</v>
      </c>
      <c r="E863" s="26">
        <v>0</v>
      </c>
      <c r="F863" s="26">
        <v>73983.97</v>
      </c>
      <c r="G863" s="26">
        <v>-73983.97</v>
      </c>
      <c r="H863" s="26">
        <v>-127137.05</v>
      </c>
    </row>
    <row r="864" spans="1:8">
      <c r="A864" s="24" t="s">
        <v>162</v>
      </c>
      <c r="B864" s="24" t="s">
        <v>329</v>
      </c>
      <c r="C864" s="25">
        <v>45931</v>
      </c>
      <c r="D864" s="24" t="s">
        <v>2666</v>
      </c>
      <c r="E864" s="26">
        <v>0</v>
      </c>
      <c r="F864" s="26">
        <v>43774.39</v>
      </c>
      <c r="G864" s="26">
        <v>-43774.39</v>
      </c>
      <c r="H864" s="26">
        <v>-170911.44</v>
      </c>
    </row>
    <row r="865" spans="1:8">
      <c r="A865" s="24" t="s">
        <v>162</v>
      </c>
      <c r="B865" s="24" t="s">
        <v>329</v>
      </c>
      <c r="C865" s="25">
        <v>45962</v>
      </c>
      <c r="D865" s="24" t="s">
        <v>2667</v>
      </c>
      <c r="E865" s="26">
        <v>0</v>
      </c>
      <c r="F865" s="26">
        <v>0</v>
      </c>
      <c r="G865" s="26">
        <v>0</v>
      </c>
      <c r="H865" s="26">
        <v>-170911.44</v>
      </c>
    </row>
    <row r="866" spans="1:8">
      <c r="A866" s="24" t="s">
        <v>162</v>
      </c>
      <c r="B866" s="24" t="s">
        <v>329</v>
      </c>
      <c r="C866" s="25">
        <v>45992</v>
      </c>
      <c r="D866" s="24" t="s">
        <v>2668</v>
      </c>
      <c r="E866" s="26">
        <v>19732.12</v>
      </c>
      <c r="F866" s="26">
        <v>0</v>
      </c>
      <c r="G866" s="26">
        <v>19732.12</v>
      </c>
      <c r="H866" s="26">
        <v>-151179.32</v>
      </c>
    </row>
    <row r="867" spans="1:8">
      <c r="A867" s="24" t="s">
        <v>71</v>
      </c>
      <c r="B867" s="24" t="s">
        <v>318</v>
      </c>
      <c r="C867" s="25">
        <v>45658</v>
      </c>
      <c r="D867" s="24" t="s">
        <v>2657</v>
      </c>
      <c r="E867" s="26">
        <v>0</v>
      </c>
      <c r="F867" s="26">
        <v>0</v>
      </c>
      <c r="G867" s="26">
        <v>0</v>
      </c>
      <c r="H867" s="26">
        <v>0</v>
      </c>
    </row>
    <row r="868" spans="1:8">
      <c r="A868" s="24" t="s">
        <v>71</v>
      </c>
      <c r="B868" s="24" t="s">
        <v>318</v>
      </c>
      <c r="C868" s="25">
        <v>45689</v>
      </c>
      <c r="D868" s="24" t="s">
        <v>2658</v>
      </c>
      <c r="E868" s="26">
        <v>0</v>
      </c>
      <c r="F868" s="26">
        <v>0</v>
      </c>
      <c r="G868" s="26">
        <v>0</v>
      </c>
      <c r="H868" s="26">
        <v>0</v>
      </c>
    </row>
    <row r="869" spans="1:8">
      <c r="A869" s="24" t="s">
        <v>71</v>
      </c>
      <c r="B869" s="24" t="s">
        <v>318</v>
      </c>
      <c r="C869" s="25">
        <v>45717</v>
      </c>
      <c r="D869" s="24" t="s">
        <v>2659</v>
      </c>
      <c r="E869" s="26">
        <v>0</v>
      </c>
      <c r="F869" s="26">
        <v>0</v>
      </c>
      <c r="G869" s="26">
        <v>0</v>
      </c>
      <c r="H869" s="26">
        <v>0</v>
      </c>
    </row>
    <row r="870" spans="1:8">
      <c r="A870" s="24" t="s">
        <v>71</v>
      </c>
      <c r="B870" s="24" t="s">
        <v>318</v>
      </c>
      <c r="C870" s="25">
        <v>45748</v>
      </c>
      <c r="D870" s="24" t="s">
        <v>2660</v>
      </c>
      <c r="E870" s="26">
        <v>0</v>
      </c>
      <c r="F870" s="26">
        <v>0</v>
      </c>
      <c r="G870" s="26">
        <v>0</v>
      </c>
      <c r="H870" s="26">
        <v>0</v>
      </c>
    </row>
    <row r="871" spans="1:8">
      <c r="A871" s="24" t="s">
        <v>71</v>
      </c>
      <c r="B871" s="24" t="s">
        <v>318</v>
      </c>
      <c r="C871" s="25">
        <v>45778</v>
      </c>
      <c r="D871" s="24" t="s">
        <v>2661</v>
      </c>
      <c r="E871" s="26">
        <v>0</v>
      </c>
      <c r="F871" s="26">
        <v>0</v>
      </c>
      <c r="G871" s="26">
        <v>0</v>
      </c>
      <c r="H871" s="26">
        <v>0</v>
      </c>
    </row>
    <row r="872" spans="1:8">
      <c r="A872" s="24" t="s">
        <v>71</v>
      </c>
      <c r="B872" s="24" t="s">
        <v>318</v>
      </c>
      <c r="C872" s="25">
        <v>45809</v>
      </c>
      <c r="D872" s="24" t="s">
        <v>2662</v>
      </c>
      <c r="E872" s="26">
        <v>0</v>
      </c>
      <c r="F872" s="26">
        <v>0</v>
      </c>
      <c r="G872" s="26">
        <v>0</v>
      </c>
      <c r="H872" s="26">
        <v>0</v>
      </c>
    </row>
    <row r="873" spans="1:8">
      <c r="A873" s="24" t="s">
        <v>71</v>
      </c>
      <c r="B873" s="24" t="s">
        <v>318</v>
      </c>
      <c r="C873" s="25">
        <v>45839</v>
      </c>
      <c r="D873" s="24" t="s">
        <v>2663</v>
      </c>
      <c r="E873" s="26">
        <v>0</v>
      </c>
      <c r="F873" s="26">
        <v>0</v>
      </c>
      <c r="G873" s="26">
        <v>0</v>
      </c>
      <c r="H873" s="26">
        <v>0</v>
      </c>
    </row>
    <row r="874" spans="1:8">
      <c r="A874" s="24" t="s">
        <v>71</v>
      </c>
      <c r="B874" s="24" t="s">
        <v>318</v>
      </c>
      <c r="C874" s="25">
        <v>45870</v>
      </c>
      <c r="D874" s="24" t="s">
        <v>2664</v>
      </c>
      <c r="E874" s="26">
        <v>0</v>
      </c>
      <c r="F874" s="26">
        <v>0</v>
      </c>
      <c r="G874" s="26">
        <v>0</v>
      </c>
      <c r="H874" s="26">
        <v>0</v>
      </c>
    </row>
    <row r="875" spans="1:8">
      <c r="A875" s="24" t="s">
        <v>71</v>
      </c>
      <c r="B875" s="24" t="s">
        <v>318</v>
      </c>
      <c r="C875" s="25">
        <v>45901</v>
      </c>
      <c r="D875" s="24" t="s">
        <v>2665</v>
      </c>
      <c r="E875" s="26">
        <v>0</v>
      </c>
      <c r="F875" s="26">
        <v>93952.42</v>
      </c>
      <c r="G875" s="26">
        <v>-93952.42</v>
      </c>
      <c r="H875" s="26">
        <v>-93952.42</v>
      </c>
    </row>
    <row r="876" spans="1:8">
      <c r="A876" s="24" t="s">
        <v>71</v>
      </c>
      <c r="B876" s="24" t="s">
        <v>318</v>
      </c>
      <c r="C876" s="25">
        <v>45931</v>
      </c>
      <c r="D876" s="24" t="s">
        <v>2666</v>
      </c>
      <c r="E876" s="26">
        <v>0</v>
      </c>
      <c r="F876" s="26">
        <v>2879.94</v>
      </c>
      <c r="G876" s="26">
        <v>-2879.94</v>
      </c>
      <c r="H876" s="26">
        <v>-96832.36</v>
      </c>
    </row>
    <row r="877" spans="1:8">
      <c r="A877" s="24" t="s">
        <v>71</v>
      </c>
      <c r="B877" s="24" t="s">
        <v>318</v>
      </c>
      <c r="C877" s="25">
        <v>45962</v>
      </c>
      <c r="D877" s="24" t="s">
        <v>2667</v>
      </c>
      <c r="E877" s="26">
        <v>0</v>
      </c>
      <c r="F877" s="26">
        <v>71736.95</v>
      </c>
      <c r="G877" s="26">
        <v>-71736.95</v>
      </c>
      <c r="H877" s="26">
        <v>-168569.31</v>
      </c>
    </row>
    <row r="878" spans="1:8">
      <c r="A878" s="24" t="s">
        <v>71</v>
      </c>
      <c r="B878" s="24" t="s">
        <v>318</v>
      </c>
      <c r="C878" s="25">
        <v>45992</v>
      </c>
      <c r="D878" s="24" t="s">
        <v>2668</v>
      </c>
      <c r="E878" s="26">
        <v>0</v>
      </c>
      <c r="F878" s="26">
        <v>57558.9</v>
      </c>
      <c r="G878" s="26">
        <v>-57558.9</v>
      </c>
      <c r="H878" s="26">
        <v>-226128.21</v>
      </c>
    </row>
    <row r="879" spans="1:8">
      <c r="A879" s="24" t="s">
        <v>66</v>
      </c>
      <c r="B879" s="24" t="s">
        <v>337</v>
      </c>
      <c r="C879" s="25">
        <v>45658</v>
      </c>
      <c r="D879" s="24" t="s">
        <v>2657</v>
      </c>
      <c r="E879" s="26">
        <v>0</v>
      </c>
      <c r="F879" s="26">
        <v>0</v>
      </c>
      <c r="G879" s="26">
        <v>0</v>
      </c>
      <c r="H879" s="26">
        <v>0</v>
      </c>
    </row>
    <row r="880" spans="1:8">
      <c r="A880" s="24" t="s">
        <v>66</v>
      </c>
      <c r="B880" s="24" t="s">
        <v>337</v>
      </c>
      <c r="C880" s="25">
        <v>45689</v>
      </c>
      <c r="D880" s="24" t="s">
        <v>2658</v>
      </c>
      <c r="E880" s="26">
        <v>0</v>
      </c>
      <c r="F880" s="26">
        <v>0</v>
      </c>
      <c r="G880" s="26">
        <v>0</v>
      </c>
      <c r="H880" s="26">
        <v>0</v>
      </c>
    </row>
    <row r="881" spans="1:8">
      <c r="A881" s="24" t="s">
        <v>66</v>
      </c>
      <c r="B881" s="24" t="s">
        <v>337</v>
      </c>
      <c r="C881" s="25">
        <v>45717</v>
      </c>
      <c r="D881" s="24" t="s">
        <v>2659</v>
      </c>
      <c r="E881" s="26">
        <v>0</v>
      </c>
      <c r="F881" s="26">
        <v>0</v>
      </c>
      <c r="G881" s="26">
        <v>0</v>
      </c>
      <c r="H881" s="26">
        <v>0</v>
      </c>
    </row>
    <row r="882" spans="1:8">
      <c r="A882" s="24" t="s">
        <v>66</v>
      </c>
      <c r="B882" s="24" t="s">
        <v>337</v>
      </c>
      <c r="C882" s="25">
        <v>45748</v>
      </c>
      <c r="D882" s="24" t="s">
        <v>2660</v>
      </c>
      <c r="E882" s="26">
        <v>0</v>
      </c>
      <c r="F882" s="26">
        <v>0</v>
      </c>
      <c r="G882" s="26">
        <v>0</v>
      </c>
      <c r="H882" s="26">
        <v>0</v>
      </c>
    </row>
    <row r="883" spans="1:8">
      <c r="A883" s="24" t="s">
        <v>66</v>
      </c>
      <c r="B883" s="24" t="s">
        <v>337</v>
      </c>
      <c r="C883" s="25">
        <v>45778</v>
      </c>
      <c r="D883" s="24" t="s">
        <v>2661</v>
      </c>
      <c r="E883" s="26">
        <v>0</v>
      </c>
      <c r="F883" s="26">
        <v>0</v>
      </c>
      <c r="G883" s="26">
        <v>0</v>
      </c>
      <c r="H883" s="26">
        <v>0</v>
      </c>
    </row>
    <row r="884" spans="1:8">
      <c r="A884" s="24" t="s">
        <v>66</v>
      </c>
      <c r="B884" s="24" t="s">
        <v>337</v>
      </c>
      <c r="C884" s="25">
        <v>45809</v>
      </c>
      <c r="D884" s="24" t="s">
        <v>2662</v>
      </c>
      <c r="E884" s="26">
        <v>0</v>
      </c>
      <c r="F884" s="26">
        <v>0</v>
      </c>
      <c r="G884" s="26">
        <v>0</v>
      </c>
      <c r="H884" s="26">
        <v>0</v>
      </c>
    </row>
    <row r="885" spans="1:8">
      <c r="A885" s="24" t="s">
        <v>66</v>
      </c>
      <c r="B885" s="24" t="s">
        <v>337</v>
      </c>
      <c r="C885" s="25">
        <v>45839</v>
      </c>
      <c r="D885" s="24" t="s">
        <v>2663</v>
      </c>
      <c r="E885" s="26">
        <v>0</v>
      </c>
      <c r="F885" s="26">
        <v>54667.32</v>
      </c>
      <c r="G885" s="26">
        <v>-54667.32</v>
      </c>
      <c r="H885" s="26">
        <v>-54667.32</v>
      </c>
    </row>
    <row r="886" spans="1:8">
      <c r="A886" s="24" t="s">
        <v>66</v>
      </c>
      <c r="B886" s="24" t="s">
        <v>337</v>
      </c>
      <c r="C886" s="25">
        <v>45870</v>
      </c>
      <c r="D886" s="24" t="s">
        <v>2664</v>
      </c>
      <c r="E886" s="26">
        <v>0</v>
      </c>
      <c r="F886" s="26">
        <v>0</v>
      </c>
      <c r="G886" s="26">
        <v>0</v>
      </c>
      <c r="H886" s="26">
        <v>-54667.32</v>
      </c>
    </row>
    <row r="887" spans="1:8">
      <c r="A887" s="24" t="s">
        <v>66</v>
      </c>
      <c r="B887" s="24" t="s">
        <v>337</v>
      </c>
      <c r="C887" s="25">
        <v>45901</v>
      </c>
      <c r="D887" s="24" t="s">
        <v>2665</v>
      </c>
      <c r="E887" s="26">
        <v>0</v>
      </c>
      <c r="F887" s="26">
        <v>0</v>
      </c>
      <c r="G887" s="26">
        <v>0</v>
      </c>
      <c r="H887" s="26">
        <v>-54667.32</v>
      </c>
    </row>
    <row r="888" spans="1:8">
      <c r="A888" s="24" t="s">
        <v>66</v>
      </c>
      <c r="B888" s="24" t="s">
        <v>337</v>
      </c>
      <c r="C888" s="25">
        <v>45931</v>
      </c>
      <c r="D888" s="24" t="s">
        <v>2666</v>
      </c>
      <c r="E888" s="26">
        <v>0</v>
      </c>
      <c r="F888" s="26">
        <v>334835.27</v>
      </c>
      <c r="G888" s="26">
        <v>-334835.27</v>
      </c>
      <c r="H888" s="26">
        <v>-389502.59</v>
      </c>
    </row>
    <row r="889" spans="1:8">
      <c r="A889" s="24" t="s">
        <v>66</v>
      </c>
      <c r="B889" s="24" t="s">
        <v>337</v>
      </c>
      <c r="C889" s="25">
        <v>45962</v>
      </c>
      <c r="D889" s="24" t="s">
        <v>2667</v>
      </c>
      <c r="E889" s="26">
        <v>0</v>
      </c>
      <c r="F889" s="26">
        <v>84953.43</v>
      </c>
      <c r="G889" s="26">
        <v>-84953.43</v>
      </c>
      <c r="H889" s="26">
        <v>-474456.02</v>
      </c>
    </row>
    <row r="890" spans="1:8">
      <c r="A890" s="24" t="s">
        <v>66</v>
      </c>
      <c r="B890" s="24" t="s">
        <v>337</v>
      </c>
      <c r="C890" s="25">
        <v>45992</v>
      </c>
      <c r="D890" s="24" t="s">
        <v>2668</v>
      </c>
      <c r="E890" s="26">
        <v>0</v>
      </c>
      <c r="F890" s="26">
        <v>0</v>
      </c>
      <c r="G890" s="26">
        <v>0</v>
      </c>
      <c r="H890" s="26">
        <v>-474456.02</v>
      </c>
    </row>
    <row r="891" spans="1:8">
      <c r="A891" s="24" t="s">
        <v>163</v>
      </c>
      <c r="B891" s="24" t="s">
        <v>324</v>
      </c>
      <c r="C891" s="25">
        <v>45658</v>
      </c>
      <c r="D891" s="24" t="s">
        <v>2657</v>
      </c>
      <c r="E891" s="26">
        <v>0</v>
      </c>
      <c r="F891" s="26">
        <v>0</v>
      </c>
      <c r="G891" s="26">
        <v>0</v>
      </c>
      <c r="H891" s="26">
        <v>0</v>
      </c>
    </row>
    <row r="892" spans="1:8">
      <c r="A892" s="24" t="s">
        <v>163</v>
      </c>
      <c r="B892" s="24" t="s">
        <v>324</v>
      </c>
      <c r="C892" s="25">
        <v>45689</v>
      </c>
      <c r="D892" s="24" t="s">
        <v>2658</v>
      </c>
      <c r="E892" s="26">
        <v>0</v>
      </c>
      <c r="F892" s="26">
        <v>0</v>
      </c>
      <c r="G892" s="26">
        <v>0</v>
      </c>
      <c r="H892" s="26">
        <v>0</v>
      </c>
    </row>
    <row r="893" spans="1:8">
      <c r="A893" s="24" t="s">
        <v>163</v>
      </c>
      <c r="B893" s="24" t="s">
        <v>324</v>
      </c>
      <c r="C893" s="25">
        <v>45717</v>
      </c>
      <c r="D893" s="24" t="s">
        <v>2659</v>
      </c>
      <c r="E893" s="26">
        <v>0</v>
      </c>
      <c r="F893" s="26">
        <v>0</v>
      </c>
      <c r="G893" s="26">
        <v>0</v>
      </c>
      <c r="H893" s="26">
        <v>0</v>
      </c>
    </row>
    <row r="894" spans="1:8">
      <c r="A894" s="24" t="s">
        <v>163</v>
      </c>
      <c r="B894" s="24" t="s">
        <v>324</v>
      </c>
      <c r="C894" s="25">
        <v>45748</v>
      </c>
      <c r="D894" s="24" t="s">
        <v>2660</v>
      </c>
      <c r="E894" s="26">
        <v>0</v>
      </c>
      <c r="F894" s="26">
        <v>0</v>
      </c>
      <c r="G894" s="26">
        <v>0</v>
      </c>
      <c r="H894" s="26">
        <v>0</v>
      </c>
    </row>
    <row r="895" spans="1:8">
      <c r="A895" s="24" t="s">
        <v>163</v>
      </c>
      <c r="B895" s="24" t="s">
        <v>324</v>
      </c>
      <c r="C895" s="25">
        <v>45778</v>
      </c>
      <c r="D895" s="24" t="s">
        <v>2661</v>
      </c>
      <c r="E895" s="26">
        <v>0</v>
      </c>
      <c r="F895" s="26">
        <v>0</v>
      </c>
      <c r="G895" s="26">
        <v>0</v>
      </c>
      <c r="H895" s="26">
        <v>0</v>
      </c>
    </row>
    <row r="896" spans="1:8">
      <c r="A896" s="24" t="s">
        <v>163</v>
      </c>
      <c r="B896" s="24" t="s">
        <v>324</v>
      </c>
      <c r="C896" s="25">
        <v>45809</v>
      </c>
      <c r="D896" s="24" t="s">
        <v>2662</v>
      </c>
      <c r="E896" s="26">
        <v>0</v>
      </c>
      <c r="F896" s="26">
        <v>0</v>
      </c>
      <c r="G896" s="26">
        <v>0</v>
      </c>
      <c r="H896" s="26">
        <v>0</v>
      </c>
    </row>
    <row r="897" spans="1:8">
      <c r="A897" s="24" t="s">
        <v>163</v>
      </c>
      <c r="B897" s="24" t="s">
        <v>324</v>
      </c>
      <c r="C897" s="25">
        <v>45839</v>
      </c>
      <c r="D897" s="24" t="s">
        <v>2663</v>
      </c>
      <c r="E897" s="26">
        <v>0</v>
      </c>
      <c r="F897" s="26">
        <v>0</v>
      </c>
      <c r="G897" s="26">
        <v>0</v>
      </c>
      <c r="H897" s="26">
        <v>0</v>
      </c>
    </row>
    <row r="898" spans="1:8">
      <c r="A898" s="24" t="s">
        <v>163</v>
      </c>
      <c r="B898" s="24" t="s">
        <v>324</v>
      </c>
      <c r="C898" s="25">
        <v>45870</v>
      </c>
      <c r="D898" s="24" t="s">
        <v>2664</v>
      </c>
      <c r="E898" s="26">
        <v>0</v>
      </c>
      <c r="F898" s="26">
        <v>0</v>
      </c>
      <c r="G898" s="26">
        <v>0</v>
      </c>
      <c r="H898" s="26">
        <v>0</v>
      </c>
    </row>
    <row r="899" spans="1:8">
      <c r="A899" s="24" t="s">
        <v>163</v>
      </c>
      <c r="B899" s="24" t="s">
        <v>324</v>
      </c>
      <c r="C899" s="25">
        <v>45901</v>
      </c>
      <c r="D899" s="24" t="s">
        <v>2665</v>
      </c>
      <c r="E899" s="26">
        <v>38505.19</v>
      </c>
      <c r="F899" s="26">
        <v>0</v>
      </c>
      <c r="G899" s="26">
        <v>38505.19</v>
      </c>
      <c r="H899" s="26">
        <v>38505.19</v>
      </c>
    </row>
    <row r="900" spans="1:8">
      <c r="A900" s="24" t="s">
        <v>163</v>
      </c>
      <c r="B900" s="24" t="s">
        <v>324</v>
      </c>
      <c r="C900" s="25">
        <v>45931</v>
      </c>
      <c r="D900" s="24" t="s">
        <v>2666</v>
      </c>
      <c r="E900" s="26">
        <v>0</v>
      </c>
      <c r="F900" s="26">
        <v>24362.48</v>
      </c>
      <c r="G900" s="26">
        <v>-24362.48</v>
      </c>
      <c r="H900" s="26">
        <v>14142.71</v>
      </c>
    </row>
    <row r="901" spans="1:8">
      <c r="A901" s="24" t="s">
        <v>163</v>
      </c>
      <c r="B901" s="24" t="s">
        <v>324</v>
      </c>
      <c r="C901" s="25">
        <v>45962</v>
      </c>
      <c r="D901" s="24" t="s">
        <v>2667</v>
      </c>
      <c r="E901" s="26">
        <v>0</v>
      </c>
      <c r="F901" s="26">
        <v>0</v>
      </c>
      <c r="G901" s="26">
        <v>0</v>
      </c>
      <c r="H901" s="26">
        <v>14142.71</v>
      </c>
    </row>
    <row r="902" spans="1:8">
      <c r="A902" s="24" t="s">
        <v>163</v>
      </c>
      <c r="B902" s="24" t="s">
        <v>324</v>
      </c>
      <c r="C902" s="25">
        <v>45992</v>
      </c>
      <c r="D902" s="24" t="s">
        <v>2668</v>
      </c>
      <c r="E902" s="26">
        <v>0</v>
      </c>
      <c r="F902" s="26">
        <v>0</v>
      </c>
      <c r="G902" s="26">
        <v>0</v>
      </c>
      <c r="H902" s="26">
        <v>14142.71</v>
      </c>
    </row>
    <row r="903" spans="1:8">
      <c r="A903" s="24" t="s">
        <v>168</v>
      </c>
      <c r="B903" s="24" t="s">
        <v>318</v>
      </c>
      <c r="C903" s="25">
        <v>45658</v>
      </c>
      <c r="D903" s="24" t="s">
        <v>2657</v>
      </c>
      <c r="E903" s="26">
        <v>0</v>
      </c>
      <c r="F903" s="26">
        <v>0</v>
      </c>
      <c r="G903" s="26">
        <v>0</v>
      </c>
      <c r="H903" s="26">
        <v>0</v>
      </c>
    </row>
    <row r="904" spans="1:8">
      <c r="A904" s="24" t="s">
        <v>168</v>
      </c>
      <c r="B904" s="24" t="s">
        <v>318</v>
      </c>
      <c r="C904" s="25">
        <v>45689</v>
      </c>
      <c r="D904" s="24" t="s">
        <v>2658</v>
      </c>
      <c r="E904" s="26">
        <v>0</v>
      </c>
      <c r="F904" s="26">
        <v>0</v>
      </c>
      <c r="G904" s="26">
        <v>0</v>
      </c>
      <c r="H904" s="26">
        <v>0</v>
      </c>
    </row>
    <row r="905" spans="1:8">
      <c r="A905" s="24" t="s">
        <v>168</v>
      </c>
      <c r="B905" s="24" t="s">
        <v>318</v>
      </c>
      <c r="C905" s="25">
        <v>45717</v>
      </c>
      <c r="D905" s="24" t="s">
        <v>2659</v>
      </c>
      <c r="E905" s="26">
        <v>0</v>
      </c>
      <c r="F905" s="26">
        <v>0</v>
      </c>
      <c r="G905" s="26">
        <v>0</v>
      </c>
      <c r="H905" s="26">
        <v>0</v>
      </c>
    </row>
    <row r="906" spans="1:8">
      <c r="A906" s="24" t="s">
        <v>168</v>
      </c>
      <c r="B906" s="24" t="s">
        <v>318</v>
      </c>
      <c r="C906" s="25">
        <v>45748</v>
      </c>
      <c r="D906" s="24" t="s">
        <v>2660</v>
      </c>
      <c r="E906" s="26">
        <v>0</v>
      </c>
      <c r="F906" s="26">
        <v>0</v>
      </c>
      <c r="G906" s="26">
        <v>0</v>
      </c>
      <c r="H906" s="26">
        <v>0</v>
      </c>
    </row>
    <row r="907" spans="1:8">
      <c r="A907" s="24" t="s">
        <v>168</v>
      </c>
      <c r="B907" s="24" t="s">
        <v>318</v>
      </c>
      <c r="C907" s="25">
        <v>45778</v>
      </c>
      <c r="D907" s="24" t="s">
        <v>2661</v>
      </c>
      <c r="E907" s="26">
        <v>0</v>
      </c>
      <c r="F907" s="26">
        <v>0</v>
      </c>
      <c r="G907" s="26">
        <v>0</v>
      </c>
      <c r="H907" s="26">
        <v>0</v>
      </c>
    </row>
    <row r="908" spans="1:8">
      <c r="A908" s="24" t="s">
        <v>168</v>
      </c>
      <c r="B908" s="24" t="s">
        <v>318</v>
      </c>
      <c r="C908" s="25">
        <v>45809</v>
      </c>
      <c r="D908" s="24" t="s">
        <v>2662</v>
      </c>
      <c r="E908" s="26">
        <v>0</v>
      </c>
      <c r="F908" s="26">
        <v>0</v>
      </c>
      <c r="G908" s="26">
        <v>0</v>
      </c>
      <c r="H908" s="26">
        <v>0</v>
      </c>
    </row>
    <row r="909" spans="1:8">
      <c r="A909" s="24" t="s">
        <v>168</v>
      </c>
      <c r="B909" s="24" t="s">
        <v>318</v>
      </c>
      <c r="C909" s="25">
        <v>45839</v>
      </c>
      <c r="D909" s="24" t="s">
        <v>2663</v>
      </c>
      <c r="E909" s="26">
        <v>0</v>
      </c>
      <c r="F909" s="26">
        <v>0</v>
      </c>
      <c r="G909" s="26">
        <v>0</v>
      </c>
      <c r="H909" s="26">
        <v>0</v>
      </c>
    </row>
    <row r="910" spans="1:8">
      <c r="A910" s="24" t="s">
        <v>168</v>
      </c>
      <c r="B910" s="24" t="s">
        <v>318</v>
      </c>
      <c r="C910" s="25">
        <v>45870</v>
      </c>
      <c r="D910" s="24" t="s">
        <v>2664</v>
      </c>
      <c r="E910" s="26">
        <v>0</v>
      </c>
      <c r="F910" s="26">
        <v>69499.44</v>
      </c>
      <c r="G910" s="26">
        <v>-69499.44</v>
      </c>
      <c r="H910" s="26">
        <v>-69499.44</v>
      </c>
    </row>
    <row r="911" spans="1:8">
      <c r="A911" s="24" t="s">
        <v>168</v>
      </c>
      <c r="B911" s="24" t="s">
        <v>318</v>
      </c>
      <c r="C911" s="25">
        <v>45901</v>
      </c>
      <c r="D911" s="24" t="s">
        <v>2665</v>
      </c>
      <c r="E911" s="26">
        <v>0</v>
      </c>
      <c r="F911" s="26">
        <v>0</v>
      </c>
      <c r="G911" s="26">
        <v>0</v>
      </c>
      <c r="H911" s="26">
        <v>-69499.44</v>
      </c>
    </row>
    <row r="912" spans="1:8">
      <c r="A912" s="24" t="s">
        <v>168</v>
      </c>
      <c r="B912" s="24" t="s">
        <v>318</v>
      </c>
      <c r="C912" s="25">
        <v>45931</v>
      </c>
      <c r="D912" s="24" t="s">
        <v>2666</v>
      </c>
      <c r="E912" s="26">
        <v>0</v>
      </c>
      <c r="F912" s="26">
        <v>0</v>
      </c>
      <c r="G912" s="26">
        <v>0</v>
      </c>
      <c r="H912" s="26">
        <v>-69499.44</v>
      </c>
    </row>
    <row r="913" spans="1:8">
      <c r="A913" s="24" t="s">
        <v>168</v>
      </c>
      <c r="B913" s="24" t="s">
        <v>318</v>
      </c>
      <c r="C913" s="25">
        <v>45962</v>
      </c>
      <c r="D913" s="24" t="s">
        <v>2667</v>
      </c>
      <c r="E913" s="26">
        <v>0</v>
      </c>
      <c r="F913" s="26">
        <v>0</v>
      </c>
      <c r="G913" s="26">
        <v>0</v>
      </c>
      <c r="H913" s="26">
        <v>-69499.44</v>
      </c>
    </row>
    <row r="914" spans="1:8">
      <c r="A914" s="24" t="s">
        <v>168</v>
      </c>
      <c r="B914" s="24" t="s">
        <v>318</v>
      </c>
      <c r="C914" s="25">
        <v>45992</v>
      </c>
      <c r="D914" s="24" t="s">
        <v>2668</v>
      </c>
      <c r="E914" s="26">
        <v>0</v>
      </c>
      <c r="F914" s="26">
        <v>45301.65</v>
      </c>
      <c r="G914" s="26">
        <v>-45301.65</v>
      </c>
      <c r="H914" s="26">
        <v>-114801.09</v>
      </c>
    </row>
    <row r="915" spans="1:8">
      <c r="A915" s="24" t="s">
        <v>108</v>
      </c>
      <c r="B915" s="24" t="s">
        <v>345</v>
      </c>
      <c r="C915" s="25">
        <v>45658</v>
      </c>
      <c r="D915" s="24" t="s">
        <v>2657</v>
      </c>
      <c r="E915" s="26">
        <v>0</v>
      </c>
      <c r="F915" s="26">
        <v>0</v>
      </c>
      <c r="G915" s="26">
        <v>0</v>
      </c>
      <c r="H915" s="26">
        <v>0</v>
      </c>
    </row>
    <row r="916" spans="1:8">
      <c r="A916" s="24" t="s">
        <v>108</v>
      </c>
      <c r="B916" s="24" t="s">
        <v>345</v>
      </c>
      <c r="C916" s="25">
        <v>45689</v>
      </c>
      <c r="D916" s="24" t="s">
        <v>2658</v>
      </c>
      <c r="E916" s="26">
        <v>0</v>
      </c>
      <c r="F916" s="26">
        <v>0</v>
      </c>
      <c r="G916" s="26">
        <v>0</v>
      </c>
      <c r="H916" s="26">
        <v>0</v>
      </c>
    </row>
    <row r="917" spans="1:8">
      <c r="A917" s="24" t="s">
        <v>108</v>
      </c>
      <c r="B917" s="24" t="s">
        <v>345</v>
      </c>
      <c r="C917" s="25">
        <v>45717</v>
      </c>
      <c r="D917" s="24" t="s">
        <v>2659</v>
      </c>
      <c r="E917" s="26">
        <v>0</v>
      </c>
      <c r="F917" s="26">
        <v>0</v>
      </c>
      <c r="G917" s="26">
        <v>0</v>
      </c>
      <c r="H917" s="26">
        <v>0</v>
      </c>
    </row>
    <row r="918" spans="1:8">
      <c r="A918" s="24" t="s">
        <v>108</v>
      </c>
      <c r="B918" s="24" t="s">
        <v>345</v>
      </c>
      <c r="C918" s="25">
        <v>45748</v>
      </c>
      <c r="D918" s="24" t="s">
        <v>2660</v>
      </c>
      <c r="E918" s="26">
        <v>0</v>
      </c>
      <c r="F918" s="26">
        <v>0</v>
      </c>
      <c r="G918" s="26">
        <v>0</v>
      </c>
      <c r="H918" s="26">
        <v>0</v>
      </c>
    </row>
    <row r="919" spans="1:8">
      <c r="A919" s="24" t="s">
        <v>108</v>
      </c>
      <c r="B919" s="24" t="s">
        <v>345</v>
      </c>
      <c r="C919" s="25">
        <v>45778</v>
      </c>
      <c r="D919" s="24" t="s">
        <v>2661</v>
      </c>
      <c r="E919" s="26">
        <v>0</v>
      </c>
      <c r="F919" s="26">
        <v>0</v>
      </c>
      <c r="G919" s="26">
        <v>0</v>
      </c>
      <c r="H919" s="26">
        <v>0</v>
      </c>
    </row>
    <row r="920" spans="1:8">
      <c r="A920" s="24" t="s">
        <v>108</v>
      </c>
      <c r="B920" s="24" t="s">
        <v>345</v>
      </c>
      <c r="C920" s="25">
        <v>45809</v>
      </c>
      <c r="D920" s="24" t="s">
        <v>2662</v>
      </c>
      <c r="E920" s="26">
        <v>0</v>
      </c>
      <c r="F920" s="26">
        <v>0</v>
      </c>
      <c r="G920" s="26">
        <v>0</v>
      </c>
      <c r="H920" s="26">
        <v>0</v>
      </c>
    </row>
    <row r="921" spans="1:8">
      <c r="A921" s="24" t="s">
        <v>108</v>
      </c>
      <c r="B921" s="24" t="s">
        <v>345</v>
      </c>
      <c r="C921" s="25">
        <v>45839</v>
      </c>
      <c r="D921" s="24" t="s">
        <v>2663</v>
      </c>
      <c r="E921" s="26">
        <v>0</v>
      </c>
      <c r="F921" s="26">
        <v>0</v>
      </c>
      <c r="G921" s="26">
        <v>0</v>
      </c>
      <c r="H921" s="26">
        <v>0</v>
      </c>
    </row>
    <row r="922" spans="1:8">
      <c r="A922" s="24" t="s">
        <v>108</v>
      </c>
      <c r="B922" s="24" t="s">
        <v>345</v>
      </c>
      <c r="C922" s="25">
        <v>45870</v>
      </c>
      <c r="D922" s="24" t="s">
        <v>2664</v>
      </c>
      <c r="E922" s="26">
        <v>0</v>
      </c>
      <c r="F922" s="26">
        <v>0</v>
      </c>
      <c r="G922" s="26">
        <v>0</v>
      </c>
      <c r="H922" s="26">
        <v>0</v>
      </c>
    </row>
    <row r="923" spans="1:8">
      <c r="A923" s="24" t="s">
        <v>108</v>
      </c>
      <c r="B923" s="24" t="s">
        <v>345</v>
      </c>
      <c r="C923" s="25">
        <v>45901</v>
      </c>
      <c r="D923" s="24" t="s">
        <v>2665</v>
      </c>
      <c r="E923" s="26">
        <v>213140.17</v>
      </c>
      <c r="F923" s="26">
        <v>0</v>
      </c>
      <c r="G923" s="26">
        <v>213140.17</v>
      </c>
      <c r="H923" s="26">
        <v>213140.17</v>
      </c>
    </row>
    <row r="924" spans="1:8">
      <c r="A924" s="24" t="s">
        <v>108</v>
      </c>
      <c r="B924" s="24" t="s">
        <v>345</v>
      </c>
      <c r="C924" s="25">
        <v>45931</v>
      </c>
      <c r="D924" s="24" t="s">
        <v>2666</v>
      </c>
      <c r="E924" s="26">
        <v>0</v>
      </c>
      <c r="F924" s="26">
        <v>100452.99</v>
      </c>
      <c r="G924" s="26">
        <v>-100452.99</v>
      </c>
      <c r="H924" s="26">
        <v>112687.18</v>
      </c>
    </row>
    <row r="925" spans="1:8">
      <c r="A925" s="24" t="s">
        <v>108</v>
      </c>
      <c r="B925" s="24" t="s">
        <v>345</v>
      </c>
      <c r="C925" s="25">
        <v>45962</v>
      </c>
      <c r="D925" s="24" t="s">
        <v>2667</v>
      </c>
      <c r="E925" s="26">
        <v>0</v>
      </c>
      <c r="F925" s="26">
        <v>520960.05</v>
      </c>
      <c r="G925" s="26">
        <v>-520960.05</v>
      </c>
      <c r="H925" s="26">
        <v>-408272.87000000011</v>
      </c>
    </row>
    <row r="926" spans="1:8">
      <c r="A926" s="24" t="s">
        <v>108</v>
      </c>
      <c r="B926" s="24" t="s">
        <v>345</v>
      </c>
      <c r="C926" s="25">
        <v>45992</v>
      </c>
      <c r="D926" s="24" t="s">
        <v>2668</v>
      </c>
      <c r="E926" s="26">
        <v>150104.63</v>
      </c>
      <c r="F926" s="26">
        <v>0</v>
      </c>
      <c r="G926" s="26">
        <v>150104.63</v>
      </c>
      <c r="H926" s="26">
        <v>-258168.24</v>
      </c>
    </row>
    <row r="927" spans="1:8">
      <c r="A927" s="24" t="s">
        <v>51</v>
      </c>
      <c r="B927" s="24" t="s">
        <v>345</v>
      </c>
      <c r="C927" s="25">
        <v>45658</v>
      </c>
      <c r="D927" s="24" t="s">
        <v>2657</v>
      </c>
      <c r="E927" s="26">
        <v>0</v>
      </c>
      <c r="F927" s="26">
        <v>0</v>
      </c>
      <c r="G927" s="26">
        <v>0</v>
      </c>
      <c r="H927" s="26">
        <v>0</v>
      </c>
    </row>
    <row r="928" spans="1:8">
      <c r="A928" s="24" t="s">
        <v>51</v>
      </c>
      <c r="B928" s="24" t="s">
        <v>345</v>
      </c>
      <c r="C928" s="25">
        <v>45689</v>
      </c>
      <c r="D928" s="24" t="s">
        <v>2658</v>
      </c>
      <c r="E928" s="26">
        <v>0</v>
      </c>
      <c r="F928" s="26">
        <v>0</v>
      </c>
      <c r="G928" s="26">
        <v>0</v>
      </c>
      <c r="H928" s="26">
        <v>0</v>
      </c>
    </row>
    <row r="929" spans="1:8">
      <c r="A929" s="24" t="s">
        <v>51</v>
      </c>
      <c r="B929" s="24" t="s">
        <v>345</v>
      </c>
      <c r="C929" s="25">
        <v>45717</v>
      </c>
      <c r="D929" s="24" t="s">
        <v>2659</v>
      </c>
      <c r="E929" s="26">
        <v>0</v>
      </c>
      <c r="F929" s="26">
        <v>0</v>
      </c>
      <c r="G929" s="26">
        <v>0</v>
      </c>
      <c r="H929" s="26">
        <v>0</v>
      </c>
    </row>
    <row r="930" spans="1:8">
      <c r="A930" s="24" t="s">
        <v>51</v>
      </c>
      <c r="B930" s="24" t="s">
        <v>345</v>
      </c>
      <c r="C930" s="25">
        <v>45748</v>
      </c>
      <c r="D930" s="24" t="s">
        <v>2660</v>
      </c>
      <c r="E930" s="26">
        <v>0</v>
      </c>
      <c r="F930" s="26">
        <v>0</v>
      </c>
      <c r="G930" s="26">
        <v>0</v>
      </c>
      <c r="H930" s="26">
        <v>0</v>
      </c>
    </row>
    <row r="931" spans="1:8">
      <c r="A931" s="24" t="s">
        <v>51</v>
      </c>
      <c r="B931" s="24" t="s">
        <v>345</v>
      </c>
      <c r="C931" s="25">
        <v>45778</v>
      </c>
      <c r="D931" s="24" t="s">
        <v>2661</v>
      </c>
      <c r="E931" s="26">
        <v>0</v>
      </c>
      <c r="F931" s="26">
        <v>0</v>
      </c>
      <c r="G931" s="26">
        <v>0</v>
      </c>
      <c r="H931" s="26">
        <v>0</v>
      </c>
    </row>
    <row r="932" spans="1:8">
      <c r="A932" s="24" t="s">
        <v>51</v>
      </c>
      <c r="B932" s="24" t="s">
        <v>345</v>
      </c>
      <c r="C932" s="25">
        <v>45809</v>
      </c>
      <c r="D932" s="24" t="s">
        <v>2662</v>
      </c>
      <c r="E932" s="26">
        <v>0</v>
      </c>
      <c r="F932" s="26">
        <v>0</v>
      </c>
      <c r="G932" s="26">
        <v>0</v>
      </c>
      <c r="H932" s="26">
        <v>0</v>
      </c>
    </row>
    <row r="933" spans="1:8">
      <c r="A933" s="24" t="s">
        <v>51</v>
      </c>
      <c r="B933" s="24" t="s">
        <v>345</v>
      </c>
      <c r="C933" s="25">
        <v>45839</v>
      </c>
      <c r="D933" s="24" t="s">
        <v>2663</v>
      </c>
      <c r="E933" s="26">
        <v>0</v>
      </c>
      <c r="F933" s="26">
        <v>17692.12</v>
      </c>
      <c r="G933" s="26">
        <v>-17692.12</v>
      </c>
      <c r="H933" s="26">
        <v>-17692.12</v>
      </c>
    </row>
    <row r="934" spans="1:8">
      <c r="A934" s="24" t="s">
        <v>51</v>
      </c>
      <c r="B934" s="24" t="s">
        <v>345</v>
      </c>
      <c r="C934" s="25">
        <v>45870</v>
      </c>
      <c r="D934" s="24" t="s">
        <v>2664</v>
      </c>
      <c r="E934" s="26">
        <v>0</v>
      </c>
      <c r="F934" s="26">
        <v>0</v>
      </c>
      <c r="G934" s="26">
        <v>0</v>
      </c>
      <c r="H934" s="26">
        <v>-17692.12</v>
      </c>
    </row>
    <row r="935" spans="1:8">
      <c r="A935" s="24" t="s">
        <v>51</v>
      </c>
      <c r="B935" s="24" t="s">
        <v>345</v>
      </c>
      <c r="C935" s="25">
        <v>45901</v>
      </c>
      <c r="D935" s="24" t="s">
        <v>2665</v>
      </c>
      <c r="E935" s="26">
        <v>0</v>
      </c>
      <c r="F935" s="26">
        <v>0</v>
      </c>
      <c r="G935" s="26">
        <v>0</v>
      </c>
      <c r="H935" s="26">
        <v>-17692.12</v>
      </c>
    </row>
    <row r="936" spans="1:8">
      <c r="A936" s="24" t="s">
        <v>51</v>
      </c>
      <c r="B936" s="24" t="s">
        <v>345</v>
      </c>
      <c r="C936" s="25">
        <v>45931</v>
      </c>
      <c r="D936" s="24" t="s">
        <v>2666</v>
      </c>
      <c r="E936" s="26">
        <v>0</v>
      </c>
      <c r="F936" s="26">
        <v>0</v>
      </c>
      <c r="G936" s="26">
        <v>0</v>
      </c>
      <c r="H936" s="26">
        <v>-17692.12</v>
      </c>
    </row>
    <row r="937" spans="1:8">
      <c r="A937" s="24" t="s">
        <v>51</v>
      </c>
      <c r="B937" s="24" t="s">
        <v>345</v>
      </c>
      <c r="C937" s="25">
        <v>45962</v>
      </c>
      <c r="D937" s="24" t="s">
        <v>2667</v>
      </c>
      <c r="E937" s="26">
        <v>0</v>
      </c>
      <c r="F937" s="26">
        <v>0</v>
      </c>
      <c r="G937" s="26">
        <v>0</v>
      </c>
      <c r="H937" s="26">
        <v>-17692.12</v>
      </c>
    </row>
    <row r="938" spans="1:8">
      <c r="A938" s="24" t="s">
        <v>51</v>
      </c>
      <c r="B938" s="24" t="s">
        <v>345</v>
      </c>
      <c r="C938" s="25">
        <v>45992</v>
      </c>
      <c r="D938" s="24" t="s">
        <v>2668</v>
      </c>
      <c r="E938" s="26">
        <v>0</v>
      </c>
      <c r="F938" s="26">
        <v>0</v>
      </c>
      <c r="G938" s="26">
        <v>0</v>
      </c>
      <c r="H938" s="26">
        <v>-17692.12</v>
      </c>
    </row>
    <row r="939" spans="1:8">
      <c r="A939" s="24" t="s">
        <v>245</v>
      </c>
      <c r="B939" s="24" t="s">
        <v>329</v>
      </c>
      <c r="C939" s="25">
        <v>45658</v>
      </c>
      <c r="D939" s="24" t="s">
        <v>2657</v>
      </c>
      <c r="E939" s="26">
        <v>0</v>
      </c>
      <c r="F939" s="26">
        <v>0</v>
      </c>
      <c r="G939" s="26">
        <v>0</v>
      </c>
      <c r="H939" s="26">
        <v>0</v>
      </c>
    </row>
    <row r="940" spans="1:8">
      <c r="A940" s="24" t="s">
        <v>245</v>
      </c>
      <c r="B940" s="24" t="s">
        <v>329</v>
      </c>
      <c r="C940" s="25">
        <v>45689</v>
      </c>
      <c r="D940" s="24" t="s">
        <v>2658</v>
      </c>
      <c r="E940" s="26">
        <v>0</v>
      </c>
      <c r="F940" s="26">
        <v>0</v>
      </c>
      <c r="G940" s="26">
        <v>0</v>
      </c>
      <c r="H940" s="26">
        <v>0</v>
      </c>
    </row>
    <row r="941" spans="1:8">
      <c r="A941" s="24" t="s">
        <v>245</v>
      </c>
      <c r="B941" s="24" t="s">
        <v>329</v>
      </c>
      <c r="C941" s="25">
        <v>45717</v>
      </c>
      <c r="D941" s="24" t="s">
        <v>2659</v>
      </c>
      <c r="E941" s="26">
        <v>0</v>
      </c>
      <c r="F941" s="26">
        <v>0</v>
      </c>
      <c r="G941" s="26">
        <v>0</v>
      </c>
      <c r="H941" s="26">
        <v>0</v>
      </c>
    </row>
    <row r="942" spans="1:8">
      <c r="A942" s="24" t="s">
        <v>245</v>
      </c>
      <c r="B942" s="24" t="s">
        <v>329</v>
      </c>
      <c r="C942" s="25">
        <v>45748</v>
      </c>
      <c r="D942" s="24" t="s">
        <v>2660</v>
      </c>
      <c r="E942" s="26">
        <v>0</v>
      </c>
      <c r="F942" s="26">
        <v>0</v>
      </c>
      <c r="G942" s="26">
        <v>0</v>
      </c>
      <c r="H942" s="26">
        <v>0</v>
      </c>
    </row>
    <row r="943" spans="1:8">
      <c r="A943" s="24" t="s">
        <v>245</v>
      </c>
      <c r="B943" s="24" t="s">
        <v>329</v>
      </c>
      <c r="C943" s="25">
        <v>45778</v>
      </c>
      <c r="D943" s="24" t="s">
        <v>2661</v>
      </c>
      <c r="E943" s="26">
        <v>0</v>
      </c>
      <c r="F943" s="26">
        <v>0</v>
      </c>
      <c r="G943" s="26">
        <v>0</v>
      </c>
      <c r="H943" s="26">
        <v>0</v>
      </c>
    </row>
    <row r="944" spans="1:8">
      <c r="A944" s="24" t="s">
        <v>245</v>
      </c>
      <c r="B944" s="24" t="s">
        <v>329</v>
      </c>
      <c r="C944" s="25">
        <v>45809</v>
      </c>
      <c r="D944" s="24" t="s">
        <v>2662</v>
      </c>
      <c r="E944" s="26">
        <v>0</v>
      </c>
      <c r="F944" s="26">
        <v>0</v>
      </c>
      <c r="G944" s="26">
        <v>0</v>
      </c>
      <c r="H944" s="26">
        <v>0</v>
      </c>
    </row>
    <row r="945" spans="1:8">
      <c r="A945" s="24" t="s">
        <v>245</v>
      </c>
      <c r="B945" s="24" t="s">
        <v>329</v>
      </c>
      <c r="C945" s="25">
        <v>45839</v>
      </c>
      <c r="D945" s="24" t="s">
        <v>2663</v>
      </c>
      <c r="E945" s="26">
        <v>0</v>
      </c>
      <c r="F945" s="26">
        <v>0</v>
      </c>
      <c r="G945" s="26">
        <v>0</v>
      </c>
      <c r="H945" s="26">
        <v>0</v>
      </c>
    </row>
    <row r="946" spans="1:8">
      <c r="A946" s="24" t="s">
        <v>245</v>
      </c>
      <c r="B946" s="24" t="s">
        <v>329</v>
      </c>
      <c r="C946" s="25">
        <v>45870</v>
      </c>
      <c r="D946" s="24" t="s">
        <v>2664</v>
      </c>
      <c r="E946" s="26">
        <v>0</v>
      </c>
      <c r="F946" s="26">
        <v>0</v>
      </c>
      <c r="G946" s="26">
        <v>0</v>
      </c>
      <c r="H946" s="26">
        <v>0</v>
      </c>
    </row>
    <row r="947" spans="1:8">
      <c r="A947" s="24" t="s">
        <v>245</v>
      </c>
      <c r="B947" s="24" t="s">
        <v>329</v>
      </c>
      <c r="C947" s="25">
        <v>45901</v>
      </c>
      <c r="D947" s="24" t="s">
        <v>2665</v>
      </c>
      <c r="E947" s="26">
        <v>238563.34</v>
      </c>
      <c r="F947" s="26">
        <v>0</v>
      </c>
      <c r="G947" s="26">
        <v>238563.34</v>
      </c>
      <c r="H947" s="26">
        <v>238563.34</v>
      </c>
    </row>
    <row r="948" spans="1:8">
      <c r="A948" s="24" t="s">
        <v>245</v>
      </c>
      <c r="B948" s="24" t="s">
        <v>329</v>
      </c>
      <c r="C948" s="25">
        <v>45931</v>
      </c>
      <c r="D948" s="24" t="s">
        <v>2666</v>
      </c>
      <c r="E948" s="26">
        <v>0</v>
      </c>
      <c r="F948" s="26">
        <v>90476.97</v>
      </c>
      <c r="G948" s="26">
        <v>-90476.97</v>
      </c>
      <c r="H948" s="26">
        <v>148086.37</v>
      </c>
    </row>
    <row r="949" spans="1:8">
      <c r="A949" s="24" t="s">
        <v>245</v>
      </c>
      <c r="B949" s="24" t="s">
        <v>329</v>
      </c>
      <c r="C949" s="25">
        <v>45962</v>
      </c>
      <c r="D949" s="24" t="s">
        <v>2667</v>
      </c>
      <c r="E949" s="26">
        <v>0</v>
      </c>
      <c r="F949" s="26">
        <v>0</v>
      </c>
      <c r="G949" s="26">
        <v>0</v>
      </c>
      <c r="H949" s="26">
        <v>148086.37</v>
      </c>
    </row>
    <row r="950" spans="1:8">
      <c r="A950" s="24" t="s">
        <v>245</v>
      </c>
      <c r="B950" s="24" t="s">
        <v>329</v>
      </c>
      <c r="C950" s="25">
        <v>45992</v>
      </c>
      <c r="D950" s="24" t="s">
        <v>2668</v>
      </c>
      <c r="E950" s="26">
        <v>0</v>
      </c>
      <c r="F950" s="26">
        <v>0</v>
      </c>
      <c r="G950" s="26">
        <v>0</v>
      </c>
      <c r="H950" s="26">
        <v>148086.37</v>
      </c>
    </row>
    <row r="951" spans="1:8">
      <c r="A951" s="24" t="s">
        <v>89</v>
      </c>
      <c r="B951" s="24" t="s">
        <v>329</v>
      </c>
      <c r="C951" s="25">
        <v>45658</v>
      </c>
      <c r="D951" s="24" t="s">
        <v>2657</v>
      </c>
      <c r="E951" s="26">
        <v>0</v>
      </c>
      <c r="F951" s="26">
        <v>0</v>
      </c>
      <c r="G951" s="26">
        <v>0</v>
      </c>
      <c r="H951" s="26">
        <v>0</v>
      </c>
    </row>
    <row r="952" spans="1:8">
      <c r="A952" s="24" t="s">
        <v>89</v>
      </c>
      <c r="B952" s="24" t="s">
        <v>329</v>
      </c>
      <c r="C952" s="25">
        <v>45689</v>
      </c>
      <c r="D952" s="24" t="s">
        <v>2658</v>
      </c>
      <c r="E952" s="26">
        <v>0</v>
      </c>
      <c r="F952" s="26">
        <v>0</v>
      </c>
      <c r="G952" s="26">
        <v>0</v>
      </c>
      <c r="H952" s="26">
        <v>0</v>
      </c>
    </row>
    <row r="953" spans="1:8">
      <c r="A953" s="24" t="s">
        <v>89</v>
      </c>
      <c r="B953" s="24" t="s">
        <v>329</v>
      </c>
      <c r="C953" s="25">
        <v>45717</v>
      </c>
      <c r="D953" s="24" t="s">
        <v>2659</v>
      </c>
      <c r="E953" s="26">
        <v>0</v>
      </c>
      <c r="F953" s="26">
        <v>0</v>
      </c>
      <c r="G953" s="26">
        <v>0</v>
      </c>
      <c r="H953" s="26">
        <v>0</v>
      </c>
    </row>
    <row r="954" spans="1:8">
      <c r="A954" s="24" t="s">
        <v>89</v>
      </c>
      <c r="B954" s="24" t="s">
        <v>329</v>
      </c>
      <c r="C954" s="25">
        <v>45748</v>
      </c>
      <c r="D954" s="24" t="s">
        <v>2660</v>
      </c>
      <c r="E954" s="26">
        <v>0</v>
      </c>
      <c r="F954" s="26">
        <v>0</v>
      </c>
      <c r="G954" s="26">
        <v>0</v>
      </c>
      <c r="H954" s="26">
        <v>0</v>
      </c>
    </row>
    <row r="955" spans="1:8">
      <c r="A955" s="24" t="s">
        <v>89</v>
      </c>
      <c r="B955" s="24" t="s">
        <v>329</v>
      </c>
      <c r="C955" s="25">
        <v>45778</v>
      </c>
      <c r="D955" s="24" t="s">
        <v>2661</v>
      </c>
      <c r="E955" s="26">
        <v>0</v>
      </c>
      <c r="F955" s="26">
        <v>0</v>
      </c>
      <c r="G955" s="26">
        <v>0</v>
      </c>
      <c r="H955" s="26">
        <v>0</v>
      </c>
    </row>
    <row r="956" spans="1:8">
      <c r="A956" s="24" t="s">
        <v>89</v>
      </c>
      <c r="B956" s="24" t="s">
        <v>329</v>
      </c>
      <c r="C956" s="25">
        <v>45809</v>
      </c>
      <c r="D956" s="24" t="s">
        <v>2662</v>
      </c>
      <c r="E956" s="26">
        <v>0</v>
      </c>
      <c r="F956" s="26">
        <v>0</v>
      </c>
      <c r="G956" s="26">
        <v>0</v>
      </c>
      <c r="H956" s="26">
        <v>0</v>
      </c>
    </row>
    <row r="957" spans="1:8">
      <c r="A957" s="24" t="s">
        <v>89</v>
      </c>
      <c r="B957" s="24" t="s">
        <v>329</v>
      </c>
      <c r="C957" s="25">
        <v>45839</v>
      </c>
      <c r="D957" s="24" t="s">
        <v>2663</v>
      </c>
      <c r="E957" s="26">
        <v>0</v>
      </c>
      <c r="F957" s="26">
        <v>0</v>
      </c>
      <c r="G957" s="26">
        <v>0</v>
      </c>
      <c r="H957" s="26">
        <v>0</v>
      </c>
    </row>
    <row r="958" spans="1:8">
      <c r="A958" s="24" t="s">
        <v>89</v>
      </c>
      <c r="B958" s="24" t="s">
        <v>329</v>
      </c>
      <c r="C958" s="25">
        <v>45870</v>
      </c>
      <c r="D958" s="24" t="s">
        <v>2664</v>
      </c>
      <c r="E958" s="26">
        <v>0</v>
      </c>
      <c r="F958" s="26">
        <v>0</v>
      </c>
      <c r="G958" s="26">
        <v>0</v>
      </c>
      <c r="H958" s="26">
        <v>0</v>
      </c>
    </row>
    <row r="959" spans="1:8">
      <c r="A959" s="24" t="s">
        <v>89</v>
      </c>
      <c r="B959" s="24" t="s">
        <v>329</v>
      </c>
      <c r="C959" s="25">
        <v>45901</v>
      </c>
      <c r="D959" s="24" t="s">
        <v>2665</v>
      </c>
      <c r="E959" s="26">
        <v>0</v>
      </c>
      <c r="F959" s="26">
        <v>0</v>
      </c>
      <c r="G959" s="26">
        <v>0</v>
      </c>
      <c r="H959" s="26">
        <v>0</v>
      </c>
    </row>
    <row r="960" spans="1:8">
      <c r="A960" s="24" t="s">
        <v>89</v>
      </c>
      <c r="B960" s="24" t="s">
        <v>329</v>
      </c>
      <c r="C960" s="25">
        <v>45931</v>
      </c>
      <c r="D960" s="24" t="s">
        <v>2666</v>
      </c>
      <c r="E960" s="26">
        <v>0</v>
      </c>
      <c r="F960" s="26">
        <v>116715.99</v>
      </c>
      <c r="G960" s="26">
        <v>-116715.99</v>
      </c>
      <c r="H960" s="26">
        <v>-116715.99</v>
      </c>
    </row>
    <row r="961" spans="1:8">
      <c r="A961" s="24" t="s">
        <v>89</v>
      </c>
      <c r="B961" s="24" t="s">
        <v>329</v>
      </c>
      <c r="C961" s="25">
        <v>45962</v>
      </c>
      <c r="D961" s="24" t="s">
        <v>2667</v>
      </c>
      <c r="E961" s="26">
        <v>0</v>
      </c>
      <c r="F961" s="26">
        <v>0</v>
      </c>
      <c r="G961" s="26">
        <v>0</v>
      </c>
      <c r="H961" s="26">
        <v>-116715.99</v>
      </c>
    </row>
    <row r="962" spans="1:8">
      <c r="A962" s="24" t="s">
        <v>89</v>
      </c>
      <c r="B962" s="24" t="s">
        <v>329</v>
      </c>
      <c r="C962" s="25">
        <v>45992</v>
      </c>
      <c r="D962" s="24" t="s">
        <v>2668</v>
      </c>
      <c r="E962" s="26">
        <v>0</v>
      </c>
      <c r="F962" s="26">
        <v>0</v>
      </c>
      <c r="G962" s="26">
        <v>0</v>
      </c>
      <c r="H962" s="26">
        <v>-116715.99</v>
      </c>
    </row>
    <row r="963" spans="1:8">
      <c r="A963" s="24" t="s">
        <v>140</v>
      </c>
      <c r="B963" s="24" t="s">
        <v>345</v>
      </c>
      <c r="C963" s="25">
        <v>45658</v>
      </c>
      <c r="D963" s="24" t="s">
        <v>2657</v>
      </c>
      <c r="E963" s="26">
        <v>0</v>
      </c>
      <c r="F963" s="26">
        <v>0</v>
      </c>
      <c r="G963" s="26">
        <v>0</v>
      </c>
      <c r="H963" s="26">
        <v>0</v>
      </c>
    </row>
    <row r="964" spans="1:8">
      <c r="A964" s="24" t="s">
        <v>140</v>
      </c>
      <c r="B964" s="24" t="s">
        <v>345</v>
      </c>
      <c r="C964" s="25">
        <v>45689</v>
      </c>
      <c r="D964" s="24" t="s">
        <v>2658</v>
      </c>
      <c r="E964" s="26">
        <v>0</v>
      </c>
      <c r="F964" s="26">
        <v>0</v>
      </c>
      <c r="G964" s="26">
        <v>0</v>
      </c>
      <c r="H964" s="26">
        <v>0</v>
      </c>
    </row>
    <row r="965" spans="1:8">
      <c r="A965" s="24" t="s">
        <v>140</v>
      </c>
      <c r="B965" s="24" t="s">
        <v>345</v>
      </c>
      <c r="C965" s="25">
        <v>45717</v>
      </c>
      <c r="D965" s="24" t="s">
        <v>2659</v>
      </c>
      <c r="E965" s="26">
        <v>0</v>
      </c>
      <c r="F965" s="26">
        <v>0</v>
      </c>
      <c r="G965" s="26">
        <v>0</v>
      </c>
      <c r="H965" s="26">
        <v>0</v>
      </c>
    </row>
    <row r="966" spans="1:8">
      <c r="A966" s="24" t="s">
        <v>140</v>
      </c>
      <c r="B966" s="24" t="s">
        <v>345</v>
      </c>
      <c r="C966" s="25">
        <v>45748</v>
      </c>
      <c r="D966" s="24" t="s">
        <v>2660</v>
      </c>
      <c r="E966" s="26">
        <v>0</v>
      </c>
      <c r="F966" s="26">
        <v>0</v>
      </c>
      <c r="G966" s="26">
        <v>0</v>
      </c>
      <c r="H966" s="26">
        <v>0</v>
      </c>
    </row>
    <row r="967" spans="1:8">
      <c r="A967" s="24" t="s">
        <v>140</v>
      </c>
      <c r="B967" s="24" t="s">
        <v>345</v>
      </c>
      <c r="C967" s="25">
        <v>45778</v>
      </c>
      <c r="D967" s="24" t="s">
        <v>2661</v>
      </c>
      <c r="E967" s="26">
        <v>0</v>
      </c>
      <c r="F967" s="26">
        <v>0</v>
      </c>
      <c r="G967" s="26">
        <v>0</v>
      </c>
      <c r="H967" s="26">
        <v>0</v>
      </c>
    </row>
    <row r="968" spans="1:8">
      <c r="A968" s="24" t="s">
        <v>140</v>
      </c>
      <c r="B968" s="24" t="s">
        <v>345</v>
      </c>
      <c r="C968" s="25">
        <v>45809</v>
      </c>
      <c r="D968" s="24" t="s">
        <v>2662</v>
      </c>
      <c r="E968" s="26">
        <v>0</v>
      </c>
      <c r="F968" s="26">
        <v>0</v>
      </c>
      <c r="G968" s="26">
        <v>0</v>
      </c>
      <c r="H968" s="26">
        <v>0</v>
      </c>
    </row>
    <row r="969" spans="1:8">
      <c r="A969" s="24" t="s">
        <v>140</v>
      </c>
      <c r="B969" s="24" t="s">
        <v>345</v>
      </c>
      <c r="C969" s="25">
        <v>45839</v>
      </c>
      <c r="D969" s="24" t="s">
        <v>2663</v>
      </c>
      <c r="E969" s="26">
        <v>0</v>
      </c>
      <c r="F969" s="26">
        <v>111417.66</v>
      </c>
      <c r="G969" s="26">
        <v>-111417.66</v>
      </c>
      <c r="H969" s="26">
        <v>-111417.66</v>
      </c>
    </row>
    <row r="970" spans="1:8">
      <c r="A970" s="24" t="s">
        <v>140</v>
      </c>
      <c r="B970" s="24" t="s">
        <v>345</v>
      </c>
      <c r="C970" s="25">
        <v>45870</v>
      </c>
      <c r="D970" s="24" t="s">
        <v>2664</v>
      </c>
      <c r="E970" s="26">
        <v>77053.100000000006</v>
      </c>
      <c r="F970" s="26">
        <v>116565.74</v>
      </c>
      <c r="G970" s="26">
        <v>-39512.639999999999</v>
      </c>
      <c r="H970" s="26">
        <v>-150930.29999999999</v>
      </c>
    </row>
    <row r="971" spans="1:8">
      <c r="A971" s="24" t="s">
        <v>140</v>
      </c>
      <c r="B971" s="24" t="s">
        <v>345</v>
      </c>
      <c r="C971" s="25">
        <v>45901</v>
      </c>
      <c r="D971" s="24" t="s">
        <v>2665</v>
      </c>
      <c r="E971" s="26">
        <v>0</v>
      </c>
      <c r="F971" s="26">
        <v>0</v>
      </c>
      <c r="G971" s="26">
        <v>0</v>
      </c>
      <c r="H971" s="26">
        <v>-150930.29999999999</v>
      </c>
    </row>
    <row r="972" spans="1:8">
      <c r="A972" s="24" t="s">
        <v>140</v>
      </c>
      <c r="B972" s="24" t="s">
        <v>345</v>
      </c>
      <c r="C972" s="25">
        <v>45931</v>
      </c>
      <c r="D972" s="24" t="s">
        <v>2666</v>
      </c>
      <c r="E972" s="26">
        <v>0</v>
      </c>
      <c r="F972" s="26">
        <v>0</v>
      </c>
      <c r="G972" s="26">
        <v>0</v>
      </c>
      <c r="H972" s="26">
        <v>-150930.29999999999</v>
      </c>
    </row>
    <row r="973" spans="1:8">
      <c r="A973" s="24" t="s">
        <v>140</v>
      </c>
      <c r="B973" s="24" t="s">
        <v>345</v>
      </c>
      <c r="C973" s="25">
        <v>45962</v>
      </c>
      <c r="D973" s="24" t="s">
        <v>2667</v>
      </c>
      <c r="E973" s="26">
        <v>0</v>
      </c>
      <c r="F973" s="26">
        <v>0</v>
      </c>
      <c r="G973" s="26">
        <v>0</v>
      </c>
      <c r="H973" s="26">
        <v>-150930.29999999999</v>
      </c>
    </row>
    <row r="974" spans="1:8">
      <c r="A974" s="24" t="s">
        <v>140</v>
      </c>
      <c r="B974" s="24" t="s">
        <v>345</v>
      </c>
      <c r="C974" s="25">
        <v>45992</v>
      </c>
      <c r="D974" s="24" t="s">
        <v>2668</v>
      </c>
      <c r="E974" s="26">
        <v>0</v>
      </c>
      <c r="F974" s="26">
        <v>12757.7</v>
      </c>
      <c r="G974" s="26">
        <v>-12757.7</v>
      </c>
      <c r="H974" s="26">
        <v>-163688</v>
      </c>
    </row>
    <row r="975" spans="1:8">
      <c r="A975" s="24" t="s">
        <v>29</v>
      </c>
      <c r="B975" s="24" t="s">
        <v>337</v>
      </c>
      <c r="C975" s="25">
        <v>45658</v>
      </c>
      <c r="D975" s="24" t="s">
        <v>2657</v>
      </c>
      <c r="E975" s="26">
        <v>0</v>
      </c>
      <c r="F975" s="26">
        <v>0</v>
      </c>
      <c r="G975" s="26">
        <v>0</v>
      </c>
      <c r="H975" s="26">
        <v>0</v>
      </c>
    </row>
    <row r="976" spans="1:8">
      <c r="A976" s="24" t="s">
        <v>29</v>
      </c>
      <c r="B976" s="24" t="s">
        <v>337</v>
      </c>
      <c r="C976" s="25">
        <v>45689</v>
      </c>
      <c r="D976" s="24" t="s">
        <v>2658</v>
      </c>
      <c r="E976" s="26">
        <v>0</v>
      </c>
      <c r="F976" s="26">
        <v>0</v>
      </c>
      <c r="G976" s="26">
        <v>0</v>
      </c>
      <c r="H976" s="26">
        <v>0</v>
      </c>
    </row>
    <row r="977" spans="1:8">
      <c r="A977" s="24" t="s">
        <v>29</v>
      </c>
      <c r="B977" s="24" t="s">
        <v>337</v>
      </c>
      <c r="C977" s="25">
        <v>45717</v>
      </c>
      <c r="D977" s="24" t="s">
        <v>2659</v>
      </c>
      <c r="E977" s="26">
        <v>0</v>
      </c>
      <c r="F977" s="26">
        <v>0</v>
      </c>
      <c r="G977" s="26">
        <v>0</v>
      </c>
      <c r="H977" s="26">
        <v>0</v>
      </c>
    </row>
    <row r="978" spans="1:8">
      <c r="A978" s="24" t="s">
        <v>29</v>
      </c>
      <c r="B978" s="24" t="s">
        <v>337</v>
      </c>
      <c r="C978" s="25">
        <v>45748</v>
      </c>
      <c r="D978" s="24" t="s">
        <v>2660</v>
      </c>
      <c r="E978" s="26">
        <v>0</v>
      </c>
      <c r="F978" s="26">
        <v>0</v>
      </c>
      <c r="G978" s="26">
        <v>0</v>
      </c>
      <c r="H978" s="26">
        <v>0</v>
      </c>
    </row>
    <row r="979" spans="1:8">
      <c r="A979" s="24" t="s">
        <v>29</v>
      </c>
      <c r="B979" s="24" t="s">
        <v>337</v>
      </c>
      <c r="C979" s="25">
        <v>45778</v>
      </c>
      <c r="D979" s="24" t="s">
        <v>2661</v>
      </c>
      <c r="E979" s="26">
        <v>0</v>
      </c>
      <c r="F979" s="26">
        <v>0</v>
      </c>
      <c r="G979" s="26">
        <v>0</v>
      </c>
      <c r="H979" s="26">
        <v>0</v>
      </c>
    </row>
    <row r="980" spans="1:8">
      <c r="A980" s="24" t="s">
        <v>29</v>
      </c>
      <c r="B980" s="24" t="s">
        <v>337</v>
      </c>
      <c r="C980" s="25">
        <v>45809</v>
      </c>
      <c r="D980" s="24" t="s">
        <v>2662</v>
      </c>
      <c r="E980" s="26">
        <v>0</v>
      </c>
      <c r="F980" s="26">
        <v>0</v>
      </c>
      <c r="G980" s="26">
        <v>0</v>
      </c>
      <c r="H980" s="26">
        <v>0</v>
      </c>
    </row>
    <row r="981" spans="1:8">
      <c r="A981" s="24" t="s">
        <v>29</v>
      </c>
      <c r="B981" s="24" t="s">
        <v>337</v>
      </c>
      <c r="C981" s="25">
        <v>45839</v>
      </c>
      <c r="D981" s="24" t="s">
        <v>2663</v>
      </c>
      <c r="E981" s="26">
        <v>0</v>
      </c>
      <c r="F981" s="26">
        <v>74646.240000000005</v>
      </c>
      <c r="G981" s="26">
        <v>-74646.240000000005</v>
      </c>
      <c r="H981" s="26">
        <v>-74646.240000000005</v>
      </c>
    </row>
    <row r="982" spans="1:8">
      <c r="A982" s="24" t="s">
        <v>29</v>
      </c>
      <c r="B982" s="24" t="s">
        <v>337</v>
      </c>
      <c r="C982" s="25">
        <v>45870</v>
      </c>
      <c r="D982" s="24" t="s">
        <v>2664</v>
      </c>
      <c r="E982" s="26">
        <v>0</v>
      </c>
      <c r="F982" s="26">
        <v>37712.769999999997</v>
      </c>
      <c r="G982" s="26">
        <v>-37712.769999999997</v>
      </c>
      <c r="H982" s="26">
        <v>-112359.01</v>
      </c>
    </row>
    <row r="983" spans="1:8">
      <c r="A983" s="24" t="s">
        <v>29</v>
      </c>
      <c r="B983" s="24" t="s">
        <v>337</v>
      </c>
      <c r="C983" s="25">
        <v>45901</v>
      </c>
      <c r="D983" s="24" t="s">
        <v>2665</v>
      </c>
      <c r="E983" s="26">
        <v>0</v>
      </c>
      <c r="F983" s="26">
        <v>103954.9</v>
      </c>
      <c r="G983" s="26">
        <v>-103954.9</v>
      </c>
      <c r="H983" s="26">
        <v>-216313.91</v>
      </c>
    </row>
    <row r="984" spans="1:8">
      <c r="A984" s="24" t="s">
        <v>29</v>
      </c>
      <c r="B984" s="24" t="s">
        <v>337</v>
      </c>
      <c r="C984" s="25">
        <v>45931</v>
      </c>
      <c r="D984" s="24" t="s">
        <v>2666</v>
      </c>
      <c r="E984" s="26">
        <v>0</v>
      </c>
      <c r="F984" s="26">
        <v>0</v>
      </c>
      <c r="G984" s="26">
        <v>0</v>
      </c>
      <c r="H984" s="26">
        <v>-216313.91</v>
      </c>
    </row>
    <row r="985" spans="1:8">
      <c r="A985" s="24" t="s">
        <v>29</v>
      </c>
      <c r="B985" s="24" t="s">
        <v>337</v>
      </c>
      <c r="C985" s="25">
        <v>45962</v>
      </c>
      <c r="D985" s="24" t="s">
        <v>2667</v>
      </c>
      <c r="E985" s="26">
        <v>0</v>
      </c>
      <c r="F985" s="26">
        <v>0</v>
      </c>
      <c r="G985" s="26">
        <v>0</v>
      </c>
      <c r="H985" s="26">
        <v>-216313.91</v>
      </c>
    </row>
    <row r="986" spans="1:8">
      <c r="A986" s="24" t="s">
        <v>29</v>
      </c>
      <c r="B986" s="24" t="s">
        <v>337</v>
      </c>
      <c r="C986" s="25">
        <v>45992</v>
      </c>
      <c r="D986" s="24" t="s">
        <v>2668</v>
      </c>
      <c r="E986" s="26">
        <v>0</v>
      </c>
      <c r="F986" s="26">
        <v>0</v>
      </c>
      <c r="G986" s="26">
        <v>0</v>
      </c>
      <c r="H986" s="26">
        <v>-216313.91</v>
      </c>
    </row>
    <row r="987" spans="1:8">
      <c r="A987" s="24" t="s">
        <v>34</v>
      </c>
      <c r="B987" s="24" t="s">
        <v>318</v>
      </c>
      <c r="C987" s="25">
        <v>45658</v>
      </c>
      <c r="D987" s="24" t="s">
        <v>2657</v>
      </c>
      <c r="E987" s="26">
        <v>0</v>
      </c>
      <c r="F987" s="26">
        <v>0</v>
      </c>
      <c r="G987" s="26">
        <v>0</v>
      </c>
      <c r="H987" s="26">
        <v>0</v>
      </c>
    </row>
    <row r="988" spans="1:8">
      <c r="A988" s="24" t="s">
        <v>34</v>
      </c>
      <c r="B988" s="24" t="s">
        <v>318</v>
      </c>
      <c r="C988" s="25">
        <v>45689</v>
      </c>
      <c r="D988" s="24" t="s">
        <v>2658</v>
      </c>
      <c r="E988" s="26">
        <v>0</v>
      </c>
      <c r="F988" s="26">
        <v>0</v>
      </c>
      <c r="G988" s="26">
        <v>0</v>
      </c>
      <c r="H988" s="26">
        <v>0</v>
      </c>
    </row>
    <row r="989" spans="1:8">
      <c r="A989" s="24" t="s">
        <v>34</v>
      </c>
      <c r="B989" s="24" t="s">
        <v>318</v>
      </c>
      <c r="C989" s="25">
        <v>45717</v>
      </c>
      <c r="D989" s="24" t="s">
        <v>2659</v>
      </c>
      <c r="E989" s="26">
        <v>0</v>
      </c>
      <c r="F989" s="26">
        <v>0</v>
      </c>
      <c r="G989" s="26">
        <v>0</v>
      </c>
      <c r="H989" s="26">
        <v>0</v>
      </c>
    </row>
    <row r="990" spans="1:8">
      <c r="A990" s="24" t="s">
        <v>34</v>
      </c>
      <c r="B990" s="24" t="s">
        <v>318</v>
      </c>
      <c r="C990" s="25">
        <v>45748</v>
      </c>
      <c r="D990" s="24" t="s">
        <v>2660</v>
      </c>
      <c r="E990" s="26">
        <v>0</v>
      </c>
      <c r="F990" s="26">
        <v>0</v>
      </c>
      <c r="G990" s="26">
        <v>0</v>
      </c>
      <c r="H990" s="26">
        <v>0</v>
      </c>
    </row>
    <row r="991" spans="1:8">
      <c r="A991" s="24" t="s">
        <v>34</v>
      </c>
      <c r="B991" s="24" t="s">
        <v>318</v>
      </c>
      <c r="C991" s="25">
        <v>45778</v>
      </c>
      <c r="D991" s="24" t="s">
        <v>2661</v>
      </c>
      <c r="E991" s="26">
        <v>0</v>
      </c>
      <c r="F991" s="26">
        <v>0</v>
      </c>
      <c r="G991" s="26">
        <v>0</v>
      </c>
      <c r="H991" s="26">
        <v>0</v>
      </c>
    </row>
    <row r="992" spans="1:8">
      <c r="A992" s="24" t="s">
        <v>34</v>
      </c>
      <c r="B992" s="24" t="s">
        <v>318</v>
      </c>
      <c r="C992" s="25">
        <v>45809</v>
      </c>
      <c r="D992" s="24" t="s">
        <v>2662</v>
      </c>
      <c r="E992" s="26">
        <v>0</v>
      </c>
      <c r="F992" s="26">
        <v>0</v>
      </c>
      <c r="G992" s="26">
        <v>0</v>
      </c>
      <c r="H992" s="26">
        <v>0</v>
      </c>
    </row>
    <row r="993" spans="1:8">
      <c r="A993" s="24" t="s">
        <v>34</v>
      </c>
      <c r="B993" s="24" t="s">
        <v>318</v>
      </c>
      <c r="C993" s="25">
        <v>45839</v>
      </c>
      <c r="D993" s="24" t="s">
        <v>2663</v>
      </c>
      <c r="E993" s="26">
        <v>0</v>
      </c>
      <c r="F993" s="26">
        <v>115805.67</v>
      </c>
      <c r="G993" s="26">
        <v>-115805.67</v>
      </c>
      <c r="H993" s="26">
        <v>-115805.67</v>
      </c>
    </row>
    <row r="994" spans="1:8">
      <c r="A994" s="24" t="s">
        <v>34</v>
      </c>
      <c r="B994" s="24" t="s">
        <v>318</v>
      </c>
      <c r="C994" s="25">
        <v>45870</v>
      </c>
      <c r="D994" s="24" t="s">
        <v>2664</v>
      </c>
      <c r="E994" s="26">
        <v>0</v>
      </c>
      <c r="F994" s="26">
        <v>0</v>
      </c>
      <c r="G994" s="26">
        <v>0</v>
      </c>
      <c r="H994" s="26">
        <v>-115805.67</v>
      </c>
    </row>
    <row r="995" spans="1:8">
      <c r="A995" s="24" t="s">
        <v>34</v>
      </c>
      <c r="B995" s="24" t="s">
        <v>318</v>
      </c>
      <c r="C995" s="25">
        <v>45901</v>
      </c>
      <c r="D995" s="24" t="s">
        <v>2665</v>
      </c>
      <c r="E995" s="26">
        <v>0</v>
      </c>
      <c r="F995" s="26">
        <v>0</v>
      </c>
      <c r="G995" s="26">
        <v>0</v>
      </c>
      <c r="H995" s="26">
        <v>-115805.67</v>
      </c>
    </row>
    <row r="996" spans="1:8">
      <c r="A996" s="24" t="s">
        <v>34</v>
      </c>
      <c r="B996" s="24" t="s">
        <v>318</v>
      </c>
      <c r="C996" s="25">
        <v>45931</v>
      </c>
      <c r="D996" s="24" t="s">
        <v>2666</v>
      </c>
      <c r="E996" s="26">
        <v>0</v>
      </c>
      <c r="F996" s="26">
        <v>0</v>
      </c>
      <c r="G996" s="26">
        <v>0</v>
      </c>
      <c r="H996" s="26">
        <v>-115805.67</v>
      </c>
    </row>
    <row r="997" spans="1:8">
      <c r="A997" s="24" t="s">
        <v>34</v>
      </c>
      <c r="B997" s="24" t="s">
        <v>318</v>
      </c>
      <c r="C997" s="25">
        <v>45962</v>
      </c>
      <c r="D997" s="24" t="s">
        <v>2667</v>
      </c>
      <c r="E997" s="26">
        <v>0</v>
      </c>
      <c r="F997" s="26">
        <v>0</v>
      </c>
      <c r="G997" s="26">
        <v>0</v>
      </c>
      <c r="H997" s="26">
        <v>-115805.67</v>
      </c>
    </row>
    <row r="998" spans="1:8">
      <c r="A998" s="24" t="s">
        <v>34</v>
      </c>
      <c r="B998" s="24" t="s">
        <v>318</v>
      </c>
      <c r="C998" s="25">
        <v>45992</v>
      </c>
      <c r="D998" s="24" t="s">
        <v>2668</v>
      </c>
      <c r="E998" s="26">
        <v>0</v>
      </c>
      <c r="F998" s="26">
        <v>126508.34</v>
      </c>
      <c r="G998" s="26">
        <v>-126508.34</v>
      </c>
      <c r="H998" s="26">
        <v>-242314.01</v>
      </c>
    </row>
    <row r="999" spans="1:8">
      <c r="A999" s="24" t="s">
        <v>173</v>
      </c>
      <c r="B999" s="24" t="s">
        <v>345</v>
      </c>
      <c r="C999" s="25">
        <v>45658</v>
      </c>
      <c r="D999" s="24" t="s">
        <v>2657</v>
      </c>
      <c r="E999" s="26">
        <v>0</v>
      </c>
      <c r="F999" s="26">
        <v>0</v>
      </c>
      <c r="G999" s="26">
        <v>0</v>
      </c>
      <c r="H999" s="26">
        <v>0</v>
      </c>
    </row>
    <row r="1000" spans="1:8">
      <c r="A1000" s="24" t="s">
        <v>173</v>
      </c>
      <c r="B1000" s="24" t="s">
        <v>345</v>
      </c>
      <c r="C1000" s="25">
        <v>45689</v>
      </c>
      <c r="D1000" s="24" t="s">
        <v>2658</v>
      </c>
      <c r="E1000" s="26">
        <v>0</v>
      </c>
      <c r="F1000" s="26">
        <v>0</v>
      </c>
      <c r="G1000" s="26">
        <v>0</v>
      </c>
      <c r="H1000" s="26">
        <v>0</v>
      </c>
    </row>
    <row r="1001" spans="1:8">
      <c r="A1001" s="24" t="s">
        <v>173</v>
      </c>
      <c r="B1001" s="24" t="s">
        <v>345</v>
      </c>
      <c r="C1001" s="25">
        <v>45717</v>
      </c>
      <c r="D1001" s="24" t="s">
        <v>2659</v>
      </c>
      <c r="E1001" s="26">
        <v>0</v>
      </c>
      <c r="F1001" s="26">
        <v>0</v>
      </c>
      <c r="G1001" s="26">
        <v>0</v>
      </c>
      <c r="H1001" s="26">
        <v>0</v>
      </c>
    </row>
    <row r="1002" spans="1:8">
      <c r="A1002" s="24" t="s">
        <v>173</v>
      </c>
      <c r="B1002" s="24" t="s">
        <v>345</v>
      </c>
      <c r="C1002" s="25">
        <v>45748</v>
      </c>
      <c r="D1002" s="24" t="s">
        <v>2660</v>
      </c>
      <c r="E1002" s="26">
        <v>0</v>
      </c>
      <c r="F1002" s="26">
        <v>0</v>
      </c>
      <c r="G1002" s="26">
        <v>0</v>
      </c>
      <c r="H1002" s="26">
        <v>0</v>
      </c>
    </row>
    <row r="1003" spans="1:8">
      <c r="A1003" s="24" t="s">
        <v>173</v>
      </c>
      <c r="B1003" s="24" t="s">
        <v>345</v>
      </c>
      <c r="C1003" s="25">
        <v>45778</v>
      </c>
      <c r="D1003" s="24" t="s">
        <v>2661</v>
      </c>
      <c r="E1003" s="26">
        <v>0</v>
      </c>
      <c r="F1003" s="26">
        <v>0</v>
      </c>
      <c r="G1003" s="26">
        <v>0</v>
      </c>
      <c r="H1003" s="26">
        <v>0</v>
      </c>
    </row>
    <row r="1004" spans="1:8">
      <c r="A1004" s="24" t="s">
        <v>173</v>
      </c>
      <c r="B1004" s="24" t="s">
        <v>345</v>
      </c>
      <c r="C1004" s="25">
        <v>45809</v>
      </c>
      <c r="D1004" s="24" t="s">
        <v>2662</v>
      </c>
      <c r="E1004" s="26">
        <v>0</v>
      </c>
      <c r="F1004" s="26">
        <v>0</v>
      </c>
      <c r="G1004" s="26">
        <v>0</v>
      </c>
      <c r="H1004" s="26">
        <v>0</v>
      </c>
    </row>
    <row r="1005" spans="1:8">
      <c r="A1005" s="24" t="s">
        <v>173</v>
      </c>
      <c r="B1005" s="24" t="s">
        <v>345</v>
      </c>
      <c r="C1005" s="25">
        <v>45839</v>
      </c>
      <c r="D1005" s="24" t="s">
        <v>2663</v>
      </c>
      <c r="E1005" s="26">
        <v>0</v>
      </c>
      <c r="F1005" s="26">
        <v>0</v>
      </c>
      <c r="G1005" s="26">
        <v>0</v>
      </c>
      <c r="H1005" s="26">
        <v>0</v>
      </c>
    </row>
    <row r="1006" spans="1:8">
      <c r="A1006" s="24" t="s">
        <v>173</v>
      </c>
      <c r="B1006" s="24" t="s">
        <v>345</v>
      </c>
      <c r="C1006" s="25">
        <v>45870</v>
      </c>
      <c r="D1006" s="24" t="s">
        <v>2664</v>
      </c>
      <c r="E1006" s="26">
        <v>0</v>
      </c>
      <c r="F1006" s="26">
        <v>62719.23</v>
      </c>
      <c r="G1006" s="26">
        <v>-62719.23</v>
      </c>
      <c r="H1006" s="26">
        <v>-62719.23</v>
      </c>
    </row>
    <row r="1007" spans="1:8">
      <c r="A1007" s="24" t="s">
        <v>173</v>
      </c>
      <c r="B1007" s="24" t="s">
        <v>345</v>
      </c>
      <c r="C1007" s="25">
        <v>45901</v>
      </c>
      <c r="D1007" s="24" t="s">
        <v>2665</v>
      </c>
      <c r="E1007" s="26">
        <v>0</v>
      </c>
      <c r="F1007" s="26">
        <v>0</v>
      </c>
      <c r="G1007" s="26">
        <v>0</v>
      </c>
      <c r="H1007" s="26">
        <v>-62719.23</v>
      </c>
    </row>
    <row r="1008" spans="1:8">
      <c r="A1008" s="24" t="s">
        <v>173</v>
      </c>
      <c r="B1008" s="24" t="s">
        <v>345</v>
      </c>
      <c r="C1008" s="25">
        <v>45931</v>
      </c>
      <c r="D1008" s="24" t="s">
        <v>2666</v>
      </c>
      <c r="E1008" s="26">
        <v>0</v>
      </c>
      <c r="F1008" s="26">
        <v>0</v>
      </c>
      <c r="G1008" s="26">
        <v>0</v>
      </c>
      <c r="H1008" s="26">
        <v>-62719.23</v>
      </c>
    </row>
    <row r="1009" spans="1:8">
      <c r="A1009" s="24" t="s">
        <v>173</v>
      </c>
      <c r="B1009" s="24" t="s">
        <v>345</v>
      </c>
      <c r="C1009" s="25">
        <v>45962</v>
      </c>
      <c r="D1009" s="24" t="s">
        <v>2667</v>
      </c>
      <c r="E1009" s="26">
        <v>0</v>
      </c>
      <c r="F1009" s="26">
        <v>0</v>
      </c>
      <c r="G1009" s="26">
        <v>0</v>
      </c>
      <c r="H1009" s="26">
        <v>-62719.23</v>
      </c>
    </row>
    <row r="1010" spans="1:8">
      <c r="A1010" s="24" t="s">
        <v>173</v>
      </c>
      <c r="B1010" s="24" t="s">
        <v>345</v>
      </c>
      <c r="C1010" s="25">
        <v>45992</v>
      </c>
      <c r="D1010" s="24" t="s">
        <v>2668</v>
      </c>
      <c r="E1010" s="26">
        <v>0</v>
      </c>
      <c r="F1010" s="26">
        <v>0</v>
      </c>
      <c r="G1010" s="26">
        <v>0</v>
      </c>
      <c r="H1010" s="26">
        <v>-62719.23</v>
      </c>
    </row>
    <row r="1011" spans="1:8">
      <c r="A1011" s="24" t="s">
        <v>249</v>
      </c>
      <c r="B1011" s="24" t="s">
        <v>329</v>
      </c>
      <c r="C1011" s="25">
        <v>45658</v>
      </c>
      <c r="D1011" s="24" t="s">
        <v>2657</v>
      </c>
      <c r="E1011" s="26">
        <v>0</v>
      </c>
      <c r="F1011" s="26">
        <v>0</v>
      </c>
      <c r="G1011" s="26">
        <v>0</v>
      </c>
      <c r="H1011" s="26">
        <v>0</v>
      </c>
    </row>
    <row r="1012" spans="1:8">
      <c r="A1012" s="24" t="s">
        <v>249</v>
      </c>
      <c r="B1012" s="24" t="s">
        <v>329</v>
      </c>
      <c r="C1012" s="25">
        <v>45689</v>
      </c>
      <c r="D1012" s="24" t="s">
        <v>2658</v>
      </c>
      <c r="E1012" s="26">
        <v>0</v>
      </c>
      <c r="F1012" s="26">
        <v>0</v>
      </c>
      <c r="G1012" s="26">
        <v>0</v>
      </c>
      <c r="H1012" s="26">
        <v>0</v>
      </c>
    </row>
    <row r="1013" spans="1:8">
      <c r="A1013" s="24" t="s">
        <v>249</v>
      </c>
      <c r="B1013" s="24" t="s">
        <v>329</v>
      </c>
      <c r="C1013" s="25">
        <v>45717</v>
      </c>
      <c r="D1013" s="24" t="s">
        <v>2659</v>
      </c>
      <c r="E1013" s="26">
        <v>0</v>
      </c>
      <c r="F1013" s="26">
        <v>0</v>
      </c>
      <c r="G1013" s="26">
        <v>0</v>
      </c>
      <c r="H1013" s="26">
        <v>0</v>
      </c>
    </row>
    <row r="1014" spans="1:8">
      <c r="A1014" s="24" t="s">
        <v>249</v>
      </c>
      <c r="B1014" s="24" t="s">
        <v>329</v>
      </c>
      <c r="C1014" s="25">
        <v>45748</v>
      </c>
      <c r="D1014" s="24" t="s">
        <v>2660</v>
      </c>
      <c r="E1014" s="26">
        <v>0</v>
      </c>
      <c r="F1014" s="26">
        <v>0</v>
      </c>
      <c r="G1014" s="26">
        <v>0</v>
      </c>
      <c r="H1014" s="26">
        <v>0</v>
      </c>
    </row>
    <row r="1015" spans="1:8">
      <c r="A1015" s="24" t="s">
        <v>249</v>
      </c>
      <c r="B1015" s="24" t="s">
        <v>329</v>
      </c>
      <c r="C1015" s="25">
        <v>45778</v>
      </c>
      <c r="D1015" s="24" t="s">
        <v>2661</v>
      </c>
      <c r="E1015" s="26">
        <v>0</v>
      </c>
      <c r="F1015" s="26">
        <v>0</v>
      </c>
      <c r="G1015" s="26">
        <v>0</v>
      </c>
      <c r="H1015" s="26">
        <v>0</v>
      </c>
    </row>
    <row r="1016" spans="1:8">
      <c r="A1016" s="24" t="s">
        <v>249</v>
      </c>
      <c r="B1016" s="24" t="s">
        <v>329</v>
      </c>
      <c r="C1016" s="25">
        <v>45809</v>
      </c>
      <c r="D1016" s="24" t="s">
        <v>2662</v>
      </c>
      <c r="E1016" s="26">
        <v>0</v>
      </c>
      <c r="F1016" s="26">
        <v>0</v>
      </c>
      <c r="G1016" s="26">
        <v>0</v>
      </c>
      <c r="H1016" s="26">
        <v>0</v>
      </c>
    </row>
    <row r="1017" spans="1:8">
      <c r="A1017" s="24" t="s">
        <v>249</v>
      </c>
      <c r="B1017" s="24" t="s">
        <v>329</v>
      </c>
      <c r="C1017" s="25">
        <v>45839</v>
      </c>
      <c r="D1017" s="24" t="s">
        <v>2663</v>
      </c>
      <c r="E1017" s="26">
        <v>0</v>
      </c>
      <c r="F1017" s="26">
        <v>0</v>
      </c>
      <c r="G1017" s="26">
        <v>0</v>
      </c>
      <c r="H1017" s="26">
        <v>0</v>
      </c>
    </row>
    <row r="1018" spans="1:8">
      <c r="A1018" s="24" t="s">
        <v>249</v>
      </c>
      <c r="B1018" s="24" t="s">
        <v>329</v>
      </c>
      <c r="C1018" s="25">
        <v>45870</v>
      </c>
      <c r="D1018" s="24" t="s">
        <v>2664</v>
      </c>
      <c r="E1018" s="26">
        <v>0</v>
      </c>
      <c r="F1018" s="26">
        <v>0</v>
      </c>
      <c r="G1018" s="26">
        <v>0</v>
      </c>
      <c r="H1018" s="26">
        <v>0</v>
      </c>
    </row>
    <row r="1019" spans="1:8">
      <c r="A1019" s="24" t="s">
        <v>249</v>
      </c>
      <c r="B1019" s="24" t="s">
        <v>329</v>
      </c>
      <c r="C1019" s="25">
        <v>45901</v>
      </c>
      <c r="D1019" s="24" t="s">
        <v>2665</v>
      </c>
      <c r="E1019" s="26">
        <v>0</v>
      </c>
      <c r="F1019" s="26">
        <v>24848.38</v>
      </c>
      <c r="G1019" s="26">
        <v>-24848.38</v>
      </c>
      <c r="H1019" s="26">
        <v>-24848.38</v>
      </c>
    </row>
    <row r="1020" spans="1:8">
      <c r="A1020" s="24" t="s">
        <v>249</v>
      </c>
      <c r="B1020" s="24" t="s">
        <v>329</v>
      </c>
      <c r="C1020" s="25">
        <v>45931</v>
      </c>
      <c r="D1020" s="24" t="s">
        <v>2666</v>
      </c>
      <c r="E1020" s="26">
        <v>0</v>
      </c>
      <c r="F1020" s="26">
        <v>25002.47</v>
      </c>
      <c r="G1020" s="26">
        <v>-25002.47</v>
      </c>
      <c r="H1020" s="26">
        <v>-49850.850000000013</v>
      </c>
    </row>
    <row r="1021" spans="1:8">
      <c r="A1021" s="24" t="s">
        <v>249</v>
      </c>
      <c r="B1021" s="24" t="s">
        <v>329</v>
      </c>
      <c r="C1021" s="25">
        <v>45962</v>
      </c>
      <c r="D1021" s="24" t="s">
        <v>2667</v>
      </c>
      <c r="E1021" s="26">
        <v>0</v>
      </c>
      <c r="F1021" s="26">
        <v>36080.83</v>
      </c>
      <c r="G1021" s="26">
        <v>-36080.83</v>
      </c>
      <c r="H1021" s="26">
        <v>-85931.680000000008</v>
      </c>
    </row>
    <row r="1022" spans="1:8">
      <c r="A1022" s="24" t="s">
        <v>249</v>
      </c>
      <c r="B1022" s="24" t="s">
        <v>329</v>
      </c>
      <c r="C1022" s="25">
        <v>45992</v>
      </c>
      <c r="D1022" s="24" t="s">
        <v>2668</v>
      </c>
      <c r="E1022" s="26">
        <v>0</v>
      </c>
      <c r="F1022" s="26">
        <v>0</v>
      </c>
      <c r="G1022" s="26">
        <v>0</v>
      </c>
      <c r="H1022" s="26">
        <v>-85931.680000000008</v>
      </c>
    </row>
    <row r="1023" spans="1:8">
      <c r="A1023" s="24" t="s">
        <v>147</v>
      </c>
      <c r="B1023" s="24" t="s">
        <v>345</v>
      </c>
      <c r="C1023" s="25">
        <v>45658</v>
      </c>
      <c r="D1023" s="24" t="s">
        <v>2657</v>
      </c>
      <c r="E1023" s="26">
        <v>0</v>
      </c>
      <c r="F1023" s="26">
        <v>0</v>
      </c>
      <c r="G1023" s="26">
        <v>0</v>
      </c>
      <c r="H1023" s="26">
        <v>0</v>
      </c>
    </row>
    <row r="1024" spans="1:8">
      <c r="A1024" s="24" t="s">
        <v>147</v>
      </c>
      <c r="B1024" s="24" t="s">
        <v>345</v>
      </c>
      <c r="C1024" s="25">
        <v>45689</v>
      </c>
      <c r="D1024" s="24" t="s">
        <v>2658</v>
      </c>
      <c r="E1024" s="26">
        <v>0</v>
      </c>
      <c r="F1024" s="26">
        <v>0</v>
      </c>
      <c r="G1024" s="26">
        <v>0</v>
      </c>
      <c r="H1024" s="26">
        <v>0</v>
      </c>
    </row>
    <row r="1025" spans="1:8">
      <c r="A1025" s="24" t="s">
        <v>147</v>
      </c>
      <c r="B1025" s="24" t="s">
        <v>345</v>
      </c>
      <c r="C1025" s="25">
        <v>45717</v>
      </c>
      <c r="D1025" s="24" t="s">
        <v>2659</v>
      </c>
      <c r="E1025" s="26">
        <v>0</v>
      </c>
      <c r="F1025" s="26">
        <v>0</v>
      </c>
      <c r="G1025" s="26">
        <v>0</v>
      </c>
      <c r="H1025" s="26">
        <v>0</v>
      </c>
    </row>
    <row r="1026" spans="1:8">
      <c r="A1026" s="24" t="s">
        <v>147</v>
      </c>
      <c r="B1026" s="24" t="s">
        <v>345</v>
      </c>
      <c r="C1026" s="25">
        <v>45748</v>
      </c>
      <c r="D1026" s="24" t="s">
        <v>2660</v>
      </c>
      <c r="E1026" s="26">
        <v>0</v>
      </c>
      <c r="F1026" s="26">
        <v>0</v>
      </c>
      <c r="G1026" s="26">
        <v>0</v>
      </c>
      <c r="H1026" s="26">
        <v>0</v>
      </c>
    </row>
    <row r="1027" spans="1:8">
      <c r="A1027" s="24" t="s">
        <v>147</v>
      </c>
      <c r="B1027" s="24" t="s">
        <v>345</v>
      </c>
      <c r="C1027" s="25">
        <v>45778</v>
      </c>
      <c r="D1027" s="24" t="s">
        <v>2661</v>
      </c>
      <c r="E1027" s="26">
        <v>0</v>
      </c>
      <c r="F1027" s="26">
        <v>0</v>
      </c>
      <c r="G1027" s="26">
        <v>0</v>
      </c>
      <c r="H1027" s="26">
        <v>0</v>
      </c>
    </row>
    <row r="1028" spans="1:8">
      <c r="A1028" s="24" t="s">
        <v>147</v>
      </c>
      <c r="B1028" s="24" t="s">
        <v>345</v>
      </c>
      <c r="C1028" s="25">
        <v>45809</v>
      </c>
      <c r="D1028" s="24" t="s">
        <v>2662</v>
      </c>
      <c r="E1028" s="26">
        <v>0</v>
      </c>
      <c r="F1028" s="26">
        <v>0</v>
      </c>
      <c r="G1028" s="26">
        <v>0</v>
      </c>
      <c r="H1028" s="26">
        <v>0</v>
      </c>
    </row>
    <row r="1029" spans="1:8">
      <c r="A1029" s="24" t="s">
        <v>147</v>
      </c>
      <c r="B1029" s="24" t="s">
        <v>345</v>
      </c>
      <c r="C1029" s="25">
        <v>45839</v>
      </c>
      <c r="D1029" s="24" t="s">
        <v>2663</v>
      </c>
      <c r="E1029" s="26">
        <v>0</v>
      </c>
      <c r="F1029" s="26">
        <v>0</v>
      </c>
      <c r="G1029" s="26">
        <v>0</v>
      </c>
      <c r="H1029" s="26">
        <v>0</v>
      </c>
    </row>
    <row r="1030" spans="1:8">
      <c r="A1030" s="24" t="s">
        <v>147</v>
      </c>
      <c r="B1030" s="24" t="s">
        <v>345</v>
      </c>
      <c r="C1030" s="25">
        <v>45870</v>
      </c>
      <c r="D1030" s="24" t="s">
        <v>2664</v>
      </c>
      <c r="E1030" s="26">
        <v>0</v>
      </c>
      <c r="F1030" s="26">
        <v>0</v>
      </c>
      <c r="G1030" s="26">
        <v>0</v>
      </c>
      <c r="H1030" s="26">
        <v>0</v>
      </c>
    </row>
    <row r="1031" spans="1:8">
      <c r="A1031" s="24" t="s">
        <v>147</v>
      </c>
      <c r="B1031" s="24" t="s">
        <v>345</v>
      </c>
      <c r="C1031" s="25">
        <v>45901</v>
      </c>
      <c r="D1031" s="24" t="s">
        <v>2665</v>
      </c>
      <c r="E1031" s="26">
        <v>0</v>
      </c>
      <c r="F1031" s="26">
        <v>0</v>
      </c>
      <c r="G1031" s="26">
        <v>0</v>
      </c>
      <c r="H1031" s="26">
        <v>0</v>
      </c>
    </row>
    <row r="1032" spans="1:8">
      <c r="A1032" s="24" t="s">
        <v>147</v>
      </c>
      <c r="B1032" s="24" t="s">
        <v>345</v>
      </c>
      <c r="C1032" s="25">
        <v>45931</v>
      </c>
      <c r="D1032" s="24" t="s">
        <v>2666</v>
      </c>
      <c r="E1032" s="26">
        <v>0</v>
      </c>
      <c r="F1032" s="26">
        <v>0</v>
      </c>
      <c r="G1032" s="26">
        <v>0</v>
      </c>
      <c r="H1032" s="26">
        <v>0</v>
      </c>
    </row>
    <row r="1033" spans="1:8">
      <c r="A1033" s="24" t="s">
        <v>147</v>
      </c>
      <c r="B1033" s="24" t="s">
        <v>345</v>
      </c>
      <c r="C1033" s="25">
        <v>45962</v>
      </c>
      <c r="D1033" s="24" t="s">
        <v>2667</v>
      </c>
      <c r="E1033" s="26">
        <v>0</v>
      </c>
      <c r="F1033" s="26">
        <v>0</v>
      </c>
      <c r="G1033" s="26">
        <v>0</v>
      </c>
      <c r="H1033" s="26">
        <v>0</v>
      </c>
    </row>
    <row r="1034" spans="1:8">
      <c r="A1034" s="24" t="s">
        <v>147</v>
      </c>
      <c r="B1034" s="24" t="s">
        <v>345</v>
      </c>
      <c r="C1034" s="25">
        <v>45992</v>
      </c>
      <c r="D1034" s="24" t="s">
        <v>2668</v>
      </c>
      <c r="E1034" s="26">
        <v>0</v>
      </c>
      <c r="F1034" s="26">
        <v>60774.26</v>
      </c>
      <c r="G1034" s="26">
        <v>-60774.26</v>
      </c>
      <c r="H1034" s="26">
        <v>-60774.26</v>
      </c>
    </row>
    <row r="1035" spans="1:8">
      <c r="A1035" s="24" t="s">
        <v>185</v>
      </c>
      <c r="B1035" s="24" t="s">
        <v>329</v>
      </c>
      <c r="C1035" s="25">
        <v>45658</v>
      </c>
      <c r="D1035" s="24" t="s">
        <v>2657</v>
      </c>
      <c r="E1035" s="26">
        <v>0</v>
      </c>
      <c r="F1035" s="26">
        <v>0</v>
      </c>
      <c r="G1035" s="26">
        <v>0</v>
      </c>
      <c r="H1035" s="26">
        <v>0</v>
      </c>
    </row>
    <row r="1036" spans="1:8">
      <c r="A1036" s="24" t="s">
        <v>185</v>
      </c>
      <c r="B1036" s="24" t="s">
        <v>329</v>
      </c>
      <c r="C1036" s="25">
        <v>45689</v>
      </c>
      <c r="D1036" s="24" t="s">
        <v>2658</v>
      </c>
      <c r="E1036" s="26">
        <v>0</v>
      </c>
      <c r="F1036" s="26">
        <v>0</v>
      </c>
      <c r="G1036" s="26">
        <v>0</v>
      </c>
      <c r="H1036" s="26">
        <v>0</v>
      </c>
    </row>
    <row r="1037" spans="1:8">
      <c r="A1037" s="24" t="s">
        <v>185</v>
      </c>
      <c r="B1037" s="24" t="s">
        <v>329</v>
      </c>
      <c r="C1037" s="25">
        <v>45717</v>
      </c>
      <c r="D1037" s="24" t="s">
        <v>2659</v>
      </c>
      <c r="E1037" s="26">
        <v>0</v>
      </c>
      <c r="F1037" s="26">
        <v>0</v>
      </c>
      <c r="G1037" s="26">
        <v>0</v>
      </c>
      <c r="H1037" s="26">
        <v>0</v>
      </c>
    </row>
    <row r="1038" spans="1:8">
      <c r="A1038" s="24" t="s">
        <v>185</v>
      </c>
      <c r="B1038" s="24" t="s">
        <v>329</v>
      </c>
      <c r="C1038" s="25">
        <v>45748</v>
      </c>
      <c r="D1038" s="24" t="s">
        <v>2660</v>
      </c>
      <c r="E1038" s="26">
        <v>0</v>
      </c>
      <c r="F1038" s="26">
        <v>0</v>
      </c>
      <c r="G1038" s="26">
        <v>0</v>
      </c>
      <c r="H1038" s="26">
        <v>0</v>
      </c>
    </row>
    <row r="1039" spans="1:8">
      <c r="A1039" s="24" t="s">
        <v>185</v>
      </c>
      <c r="B1039" s="24" t="s">
        <v>329</v>
      </c>
      <c r="C1039" s="25">
        <v>45778</v>
      </c>
      <c r="D1039" s="24" t="s">
        <v>2661</v>
      </c>
      <c r="E1039" s="26">
        <v>0</v>
      </c>
      <c r="F1039" s="26">
        <v>0</v>
      </c>
      <c r="G1039" s="26">
        <v>0</v>
      </c>
      <c r="H1039" s="26">
        <v>0</v>
      </c>
    </row>
    <row r="1040" spans="1:8">
      <c r="A1040" s="24" t="s">
        <v>185</v>
      </c>
      <c r="B1040" s="24" t="s">
        <v>329</v>
      </c>
      <c r="C1040" s="25">
        <v>45809</v>
      </c>
      <c r="D1040" s="24" t="s">
        <v>2662</v>
      </c>
      <c r="E1040" s="26">
        <v>0</v>
      </c>
      <c r="F1040" s="26">
        <v>0</v>
      </c>
      <c r="G1040" s="26">
        <v>0</v>
      </c>
      <c r="H1040" s="26">
        <v>0</v>
      </c>
    </row>
    <row r="1041" spans="1:8">
      <c r="A1041" s="24" t="s">
        <v>185</v>
      </c>
      <c r="B1041" s="24" t="s">
        <v>329</v>
      </c>
      <c r="C1041" s="25">
        <v>45839</v>
      </c>
      <c r="D1041" s="24" t="s">
        <v>2663</v>
      </c>
      <c r="E1041" s="26">
        <v>0</v>
      </c>
      <c r="F1041" s="26">
        <v>0</v>
      </c>
      <c r="G1041" s="26">
        <v>0</v>
      </c>
      <c r="H1041" s="26">
        <v>0</v>
      </c>
    </row>
    <row r="1042" spans="1:8">
      <c r="A1042" s="24" t="s">
        <v>185</v>
      </c>
      <c r="B1042" s="24" t="s">
        <v>329</v>
      </c>
      <c r="C1042" s="25">
        <v>45870</v>
      </c>
      <c r="D1042" s="24" t="s">
        <v>2664</v>
      </c>
      <c r="E1042" s="26">
        <v>0</v>
      </c>
      <c r="F1042" s="26">
        <v>0</v>
      </c>
      <c r="G1042" s="26">
        <v>0</v>
      </c>
      <c r="H1042" s="26">
        <v>0</v>
      </c>
    </row>
    <row r="1043" spans="1:8">
      <c r="A1043" s="24" t="s">
        <v>185</v>
      </c>
      <c r="B1043" s="24" t="s">
        <v>329</v>
      </c>
      <c r="C1043" s="25">
        <v>45901</v>
      </c>
      <c r="D1043" s="24" t="s">
        <v>2665</v>
      </c>
      <c r="E1043" s="26">
        <v>0</v>
      </c>
      <c r="F1043" s="26">
        <v>0</v>
      </c>
      <c r="G1043" s="26">
        <v>0</v>
      </c>
      <c r="H1043" s="26">
        <v>0</v>
      </c>
    </row>
    <row r="1044" spans="1:8">
      <c r="A1044" s="24" t="s">
        <v>185</v>
      </c>
      <c r="B1044" s="24" t="s">
        <v>329</v>
      </c>
      <c r="C1044" s="25">
        <v>45931</v>
      </c>
      <c r="D1044" s="24" t="s">
        <v>2666</v>
      </c>
      <c r="E1044" s="26">
        <v>0</v>
      </c>
      <c r="F1044" s="26">
        <v>0</v>
      </c>
      <c r="G1044" s="26">
        <v>0</v>
      </c>
      <c r="H1044" s="26">
        <v>0</v>
      </c>
    </row>
    <row r="1045" spans="1:8">
      <c r="A1045" s="24" t="s">
        <v>185</v>
      </c>
      <c r="B1045" s="24" t="s">
        <v>329</v>
      </c>
      <c r="C1045" s="25">
        <v>45962</v>
      </c>
      <c r="D1045" s="24" t="s">
        <v>2667</v>
      </c>
      <c r="E1045" s="26">
        <v>0</v>
      </c>
      <c r="F1045" s="26">
        <v>0</v>
      </c>
      <c r="G1045" s="26">
        <v>0</v>
      </c>
      <c r="H1045" s="26">
        <v>0</v>
      </c>
    </row>
    <row r="1046" spans="1:8">
      <c r="A1046" s="24" t="s">
        <v>185</v>
      </c>
      <c r="B1046" s="24" t="s">
        <v>329</v>
      </c>
      <c r="C1046" s="25">
        <v>45992</v>
      </c>
      <c r="D1046" s="24" t="s">
        <v>2668</v>
      </c>
      <c r="E1046" s="26">
        <v>0</v>
      </c>
      <c r="F1046" s="26">
        <v>0</v>
      </c>
      <c r="G1046" s="26">
        <v>0</v>
      </c>
      <c r="H1046" s="26">
        <v>0</v>
      </c>
    </row>
    <row r="1047" spans="1:8">
      <c r="A1047" s="24" t="s">
        <v>226</v>
      </c>
      <c r="B1047" s="24" t="s">
        <v>329</v>
      </c>
      <c r="C1047" s="25">
        <v>45658</v>
      </c>
      <c r="D1047" s="24" t="s">
        <v>2657</v>
      </c>
      <c r="E1047" s="26">
        <v>0</v>
      </c>
      <c r="F1047" s="26">
        <v>0</v>
      </c>
      <c r="G1047" s="26">
        <v>0</v>
      </c>
      <c r="H1047" s="26">
        <v>0</v>
      </c>
    </row>
    <row r="1048" spans="1:8">
      <c r="A1048" s="24" t="s">
        <v>226</v>
      </c>
      <c r="B1048" s="24" t="s">
        <v>329</v>
      </c>
      <c r="C1048" s="25">
        <v>45689</v>
      </c>
      <c r="D1048" s="24" t="s">
        <v>2658</v>
      </c>
      <c r="E1048" s="26">
        <v>0</v>
      </c>
      <c r="F1048" s="26">
        <v>0</v>
      </c>
      <c r="G1048" s="26">
        <v>0</v>
      </c>
      <c r="H1048" s="26">
        <v>0</v>
      </c>
    </row>
    <row r="1049" spans="1:8">
      <c r="A1049" s="24" t="s">
        <v>226</v>
      </c>
      <c r="B1049" s="24" t="s">
        <v>329</v>
      </c>
      <c r="C1049" s="25">
        <v>45717</v>
      </c>
      <c r="D1049" s="24" t="s">
        <v>2659</v>
      </c>
      <c r="E1049" s="26">
        <v>0</v>
      </c>
      <c r="F1049" s="26">
        <v>0</v>
      </c>
      <c r="G1049" s="26">
        <v>0</v>
      </c>
      <c r="H1049" s="26">
        <v>0</v>
      </c>
    </row>
    <row r="1050" spans="1:8">
      <c r="A1050" s="24" t="s">
        <v>226</v>
      </c>
      <c r="B1050" s="24" t="s">
        <v>329</v>
      </c>
      <c r="C1050" s="25">
        <v>45748</v>
      </c>
      <c r="D1050" s="24" t="s">
        <v>2660</v>
      </c>
      <c r="E1050" s="26">
        <v>0</v>
      </c>
      <c r="F1050" s="26">
        <v>0</v>
      </c>
      <c r="G1050" s="26">
        <v>0</v>
      </c>
      <c r="H1050" s="26">
        <v>0</v>
      </c>
    </row>
    <row r="1051" spans="1:8">
      <c r="A1051" s="24" t="s">
        <v>226</v>
      </c>
      <c r="B1051" s="24" t="s">
        <v>329</v>
      </c>
      <c r="C1051" s="25">
        <v>45778</v>
      </c>
      <c r="D1051" s="24" t="s">
        <v>2661</v>
      </c>
      <c r="E1051" s="26">
        <v>0</v>
      </c>
      <c r="F1051" s="26">
        <v>0</v>
      </c>
      <c r="G1051" s="26">
        <v>0</v>
      </c>
      <c r="H1051" s="26">
        <v>0</v>
      </c>
    </row>
    <row r="1052" spans="1:8">
      <c r="A1052" s="24" t="s">
        <v>226</v>
      </c>
      <c r="B1052" s="24" t="s">
        <v>329</v>
      </c>
      <c r="C1052" s="25">
        <v>45809</v>
      </c>
      <c r="D1052" s="24" t="s">
        <v>2662</v>
      </c>
      <c r="E1052" s="26">
        <v>0</v>
      </c>
      <c r="F1052" s="26">
        <v>0</v>
      </c>
      <c r="G1052" s="26">
        <v>0</v>
      </c>
      <c r="H1052" s="26">
        <v>0</v>
      </c>
    </row>
    <row r="1053" spans="1:8">
      <c r="A1053" s="24" t="s">
        <v>226</v>
      </c>
      <c r="B1053" s="24" t="s">
        <v>329</v>
      </c>
      <c r="C1053" s="25">
        <v>45839</v>
      </c>
      <c r="D1053" s="24" t="s">
        <v>2663</v>
      </c>
      <c r="E1053" s="26">
        <v>0</v>
      </c>
      <c r="F1053" s="26">
        <v>0</v>
      </c>
      <c r="G1053" s="26">
        <v>0</v>
      </c>
      <c r="H1053" s="26">
        <v>0</v>
      </c>
    </row>
    <row r="1054" spans="1:8">
      <c r="A1054" s="24" t="s">
        <v>226</v>
      </c>
      <c r="B1054" s="24" t="s">
        <v>329</v>
      </c>
      <c r="C1054" s="25">
        <v>45870</v>
      </c>
      <c r="D1054" s="24" t="s">
        <v>2664</v>
      </c>
      <c r="E1054" s="26">
        <v>0</v>
      </c>
      <c r="F1054" s="26">
        <v>49780.98</v>
      </c>
      <c r="G1054" s="26">
        <v>-49780.98</v>
      </c>
      <c r="H1054" s="26">
        <v>-49780.98</v>
      </c>
    </row>
    <row r="1055" spans="1:8">
      <c r="A1055" s="24" t="s">
        <v>226</v>
      </c>
      <c r="B1055" s="24" t="s">
        <v>329</v>
      </c>
      <c r="C1055" s="25">
        <v>45901</v>
      </c>
      <c r="D1055" s="24" t="s">
        <v>2665</v>
      </c>
      <c r="E1055" s="26">
        <v>0</v>
      </c>
      <c r="F1055" s="26">
        <v>0</v>
      </c>
      <c r="G1055" s="26">
        <v>0</v>
      </c>
      <c r="H1055" s="26">
        <v>-49780.98</v>
      </c>
    </row>
    <row r="1056" spans="1:8">
      <c r="A1056" s="24" t="s">
        <v>226</v>
      </c>
      <c r="B1056" s="24" t="s">
        <v>329</v>
      </c>
      <c r="C1056" s="25">
        <v>45931</v>
      </c>
      <c r="D1056" s="24" t="s">
        <v>2666</v>
      </c>
      <c r="E1056" s="26">
        <v>0</v>
      </c>
      <c r="F1056" s="26">
        <v>0</v>
      </c>
      <c r="G1056" s="26">
        <v>0</v>
      </c>
      <c r="H1056" s="26">
        <v>-49780.98</v>
      </c>
    </row>
    <row r="1057" spans="1:8">
      <c r="A1057" s="24" t="s">
        <v>226</v>
      </c>
      <c r="B1057" s="24" t="s">
        <v>329</v>
      </c>
      <c r="C1057" s="25">
        <v>45962</v>
      </c>
      <c r="D1057" s="24" t="s">
        <v>2667</v>
      </c>
      <c r="E1057" s="26">
        <v>0</v>
      </c>
      <c r="F1057" s="26">
        <v>0</v>
      </c>
      <c r="G1057" s="26">
        <v>0</v>
      </c>
      <c r="H1057" s="26">
        <v>-49780.98</v>
      </c>
    </row>
    <row r="1058" spans="1:8">
      <c r="A1058" s="24" t="s">
        <v>226</v>
      </c>
      <c r="B1058" s="24" t="s">
        <v>329</v>
      </c>
      <c r="C1058" s="25">
        <v>45992</v>
      </c>
      <c r="D1058" s="24" t="s">
        <v>2668</v>
      </c>
      <c r="E1058" s="26">
        <v>0</v>
      </c>
      <c r="F1058" s="26">
        <v>0</v>
      </c>
      <c r="G1058" s="26">
        <v>0</v>
      </c>
      <c r="H1058" s="26">
        <v>-49780.98</v>
      </c>
    </row>
    <row r="1059" spans="1:8">
      <c r="A1059" s="24" t="s">
        <v>27</v>
      </c>
      <c r="B1059" s="24" t="s">
        <v>324</v>
      </c>
      <c r="C1059" s="25">
        <v>45658</v>
      </c>
      <c r="D1059" s="24" t="s">
        <v>2657</v>
      </c>
      <c r="E1059" s="26">
        <v>0</v>
      </c>
      <c r="F1059" s="26">
        <v>0</v>
      </c>
      <c r="G1059" s="26">
        <v>0</v>
      </c>
      <c r="H1059" s="26">
        <v>0</v>
      </c>
    </row>
    <row r="1060" spans="1:8">
      <c r="A1060" s="24" t="s">
        <v>27</v>
      </c>
      <c r="B1060" s="24" t="s">
        <v>324</v>
      </c>
      <c r="C1060" s="25">
        <v>45689</v>
      </c>
      <c r="D1060" s="24" t="s">
        <v>2658</v>
      </c>
      <c r="E1060" s="26">
        <v>0</v>
      </c>
      <c r="F1060" s="26">
        <v>0</v>
      </c>
      <c r="G1060" s="26">
        <v>0</v>
      </c>
      <c r="H1060" s="26">
        <v>0</v>
      </c>
    </row>
    <row r="1061" spans="1:8">
      <c r="A1061" s="24" t="s">
        <v>27</v>
      </c>
      <c r="B1061" s="24" t="s">
        <v>324</v>
      </c>
      <c r="C1061" s="25">
        <v>45717</v>
      </c>
      <c r="D1061" s="24" t="s">
        <v>2659</v>
      </c>
      <c r="E1061" s="26">
        <v>0</v>
      </c>
      <c r="F1061" s="26">
        <v>0</v>
      </c>
      <c r="G1061" s="26">
        <v>0</v>
      </c>
      <c r="H1061" s="26">
        <v>0</v>
      </c>
    </row>
    <row r="1062" spans="1:8">
      <c r="A1062" s="24" t="s">
        <v>27</v>
      </c>
      <c r="B1062" s="24" t="s">
        <v>324</v>
      </c>
      <c r="C1062" s="25">
        <v>45748</v>
      </c>
      <c r="D1062" s="24" t="s">
        <v>2660</v>
      </c>
      <c r="E1062" s="26">
        <v>0</v>
      </c>
      <c r="F1062" s="26">
        <v>0</v>
      </c>
      <c r="G1062" s="26">
        <v>0</v>
      </c>
      <c r="H1062" s="26">
        <v>0</v>
      </c>
    </row>
    <row r="1063" spans="1:8">
      <c r="A1063" s="24" t="s">
        <v>27</v>
      </c>
      <c r="B1063" s="24" t="s">
        <v>324</v>
      </c>
      <c r="C1063" s="25">
        <v>45778</v>
      </c>
      <c r="D1063" s="24" t="s">
        <v>2661</v>
      </c>
      <c r="E1063" s="26">
        <v>0</v>
      </c>
      <c r="F1063" s="26">
        <v>0</v>
      </c>
      <c r="G1063" s="26">
        <v>0</v>
      </c>
      <c r="H1063" s="26">
        <v>0</v>
      </c>
    </row>
    <row r="1064" spans="1:8">
      <c r="A1064" s="24" t="s">
        <v>27</v>
      </c>
      <c r="B1064" s="24" t="s">
        <v>324</v>
      </c>
      <c r="C1064" s="25">
        <v>45809</v>
      </c>
      <c r="D1064" s="24" t="s">
        <v>2662</v>
      </c>
      <c r="E1064" s="26">
        <v>0</v>
      </c>
      <c r="F1064" s="26">
        <v>0</v>
      </c>
      <c r="G1064" s="26">
        <v>0</v>
      </c>
      <c r="H1064" s="26">
        <v>0</v>
      </c>
    </row>
    <row r="1065" spans="1:8">
      <c r="A1065" s="24" t="s">
        <v>27</v>
      </c>
      <c r="B1065" s="24" t="s">
        <v>324</v>
      </c>
      <c r="C1065" s="25">
        <v>45839</v>
      </c>
      <c r="D1065" s="24" t="s">
        <v>2663</v>
      </c>
      <c r="E1065" s="26">
        <v>0</v>
      </c>
      <c r="F1065" s="26">
        <v>0</v>
      </c>
      <c r="G1065" s="26">
        <v>0</v>
      </c>
      <c r="H1065" s="26">
        <v>0</v>
      </c>
    </row>
    <row r="1066" spans="1:8">
      <c r="A1066" s="24" t="s">
        <v>27</v>
      </c>
      <c r="B1066" s="24" t="s">
        <v>324</v>
      </c>
      <c r="C1066" s="25">
        <v>45870</v>
      </c>
      <c r="D1066" s="24" t="s">
        <v>2664</v>
      </c>
      <c r="E1066" s="26">
        <v>0</v>
      </c>
      <c r="F1066" s="26">
        <v>45534.13</v>
      </c>
      <c r="G1066" s="26">
        <v>-45534.13</v>
      </c>
      <c r="H1066" s="26">
        <v>-45534.13</v>
      </c>
    </row>
    <row r="1067" spans="1:8">
      <c r="A1067" s="24" t="s">
        <v>27</v>
      </c>
      <c r="B1067" s="24" t="s">
        <v>324</v>
      </c>
      <c r="C1067" s="25">
        <v>45901</v>
      </c>
      <c r="D1067" s="24" t="s">
        <v>2665</v>
      </c>
      <c r="E1067" s="26">
        <v>0</v>
      </c>
      <c r="F1067" s="26">
        <v>0</v>
      </c>
      <c r="G1067" s="26">
        <v>0</v>
      </c>
      <c r="H1067" s="26">
        <v>-45534.13</v>
      </c>
    </row>
    <row r="1068" spans="1:8">
      <c r="A1068" s="24" t="s">
        <v>27</v>
      </c>
      <c r="B1068" s="24" t="s">
        <v>324</v>
      </c>
      <c r="C1068" s="25">
        <v>45931</v>
      </c>
      <c r="D1068" s="24" t="s">
        <v>2666</v>
      </c>
      <c r="E1068" s="26">
        <v>0</v>
      </c>
      <c r="F1068" s="26">
        <v>0</v>
      </c>
      <c r="G1068" s="26">
        <v>0</v>
      </c>
      <c r="H1068" s="26">
        <v>-45534.13</v>
      </c>
    </row>
    <row r="1069" spans="1:8">
      <c r="A1069" s="24" t="s">
        <v>27</v>
      </c>
      <c r="B1069" s="24" t="s">
        <v>324</v>
      </c>
      <c r="C1069" s="25">
        <v>45962</v>
      </c>
      <c r="D1069" s="24" t="s">
        <v>2667</v>
      </c>
      <c r="E1069" s="26">
        <v>0</v>
      </c>
      <c r="F1069" s="26">
        <v>0</v>
      </c>
      <c r="G1069" s="26">
        <v>0</v>
      </c>
      <c r="H1069" s="26">
        <v>-45534.13</v>
      </c>
    </row>
    <row r="1070" spans="1:8">
      <c r="A1070" s="24" t="s">
        <v>27</v>
      </c>
      <c r="B1070" s="24" t="s">
        <v>324</v>
      </c>
      <c r="C1070" s="25">
        <v>45992</v>
      </c>
      <c r="D1070" s="24" t="s">
        <v>2668</v>
      </c>
      <c r="E1070" s="26">
        <v>179584.51</v>
      </c>
      <c r="F1070" s="26">
        <v>0</v>
      </c>
      <c r="G1070" s="26">
        <v>179584.51</v>
      </c>
      <c r="H1070" s="26">
        <v>134050.38</v>
      </c>
    </row>
    <row r="1071" spans="1:8">
      <c r="A1071" s="24" t="s">
        <v>232</v>
      </c>
      <c r="B1071" s="24" t="s">
        <v>345</v>
      </c>
      <c r="C1071" s="25">
        <v>45658</v>
      </c>
      <c r="D1071" s="24" t="s">
        <v>2657</v>
      </c>
      <c r="E1071" s="26">
        <v>0</v>
      </c>
      <c r="F1071" s="26">
        <v>0</v>
      </c>
      <c r="G1071" s="26">
        <v>0</v>
      </c>
      <c r="H1071" s="26">
        <v>0</v>
      </c>
    </row>
    <row r="1072" spans="1:8">
      <c r="A1072" s="24" t="s">
        <v>232</v>
      </c>
      <c r="B1072" s="24" t="s">
        <v>345</v>
      </c>
      <c r="C1072" s="25">
        <v>45689</v>
      </c>
      <c r="D1072" s="24" t="s">
        <v>2658</v>
      </c>
      <c r="E1072" s="26">
        <v>0</v>
      </c>
      <c r="F1072" s="26">
        <v>0</v>
      </c>
      <c r="G1072" s="26">
        <v>0</v>
      </c>
      <c r="H1072" s="26">
        <v>0</v>
      </c>
    </row>
    <row r="1073" spans="1:8">
      <c r="A1073" s="24" t="s">
        <v>232</v>
      </c>
      <c r="B1073" s="24" t="s">
        <v>345</v>
      </c>
      <c r="C1073" s="25">
        <v>45717</v>
      </c>
      <c r="D1073" s="24" t="s">
        <v>2659</v>
      </c>
      <c r="E1073" s="26">
        <v>0</v>
      </c>
      <c r="F1073" s="26">
        <v>0</v>
      </c>
      <c r="G1073" s="26">
        <v>0</v>
      </c>
      <c r="H1073" s="26">
        <v>0</v>
      </c>
    </row>
    <row r="1074" spans="1:8">
      <c r="A1074" s="24" t="s">
        <v>232</v>
      </c>
      <c r="B1074" s="24" t="s">
        <v>345</v>
      </c>
      <c r="C1074" s="25">
        <v>45748</v>
      </c>
      <c r="D1074" s="24" t="s">
        <v>2660</v>
      </c>
      <c r="E1074" s="26">
        <v>0</v>
      </c>
      <c r="F1074" s="26">
        <v>0</v>
      </c>
      <c r="G1074" s="26">
        <v>0</v>
      </c>
      <c r="H1074" s="26">
        <v>0</v>
      </c>
    </row>
    <row r="1075" spans="1:8">
      <c r="A1075" s="24" t="s">
        <v>232</v>
      </c>
      <c r="B1075" s="24" t="s">
        <v>345</v>
      </c>
      <c r="C1075" s="25">
        <v>45778</v>
      </c>
      <c r="D1075" s="24" t="s">
        <v>2661</v>
      </c>
      <c r="E1075" s="26">
        <v>0</v>
      </c>
      <c r="F1075" s="26">
        <v>0</v>
      </c>
      <c r="G1075" s="26">
        <v>0</v>
      </c>
      <c r="H1075" s="26">
        <v>0</v>
      </c>
    </row>
    <row r="1076" spans="1:8">
      <c r="A1076" s="24" t="s">
        <v>232</v>
      </c>
      <c r="B1076" s="24" t="s">
        <v>345</v>
      </c>
      <c r="C1076" s="25">
        <v>45809</v>
      </c>
      <c r="D1076" s="24" t="s">
        <v>2662</v>
      </c>
      <c r="E1076" s="26">
        <v>0</v>
      </c>
      <c r="F1076" s="26">
        <v>0</v>
      </c>
      <c r="G1076" s="26">
        <v>0</v>
      </c>
      <c r="H1076" s="26">
        <v>0</v>
      </c>
    </row>
    <row r="1077" spans="1:8">
      <c r="A1077" s="24" t="s">
        <v>232</v>
      </c>
      <c r="B1077" s="24" t="s">
        <v>345</v>
      </c>
      <c r="C1077" s="25">
        <v>45839</v>
      </c>
      <c r="D1077" s="24" t="s">
        <v>2663</v>
      </c>
      <c r="E1077" s="26">
        <v>0</v>
      </c>
      <c r="F1077" s="26">
        <v>0</v>
      </c>
      <c r="G1077" s="26">
        <v>0</v>
      </c>
      <c r="H1077" s="26">
        <v>0</v>
      </c>
    </row>
    <row r="1078" spans="1:8">
      <c r="A1078" s="24" t="s">
        <v>232</v>
      </c>
      <c r="B1078" s="24" t="s">
        <v>345</v>
      </c>
      <c r="C1078" s="25">
        <v>45870</v>
      </c>
      <c r="D1078" s="24" t="s">
        <v>2664</v>
      </c>
      <c r="E1078" s="26">
        <v>0</v>
      </c>
      <c r="F1078" s="26">
        <v>45706.64</v>
      </c>
      <c r="G1078" s="26">
        <v>-45706.64</v>
      </c>
      <c r="H1078" s="26">
        <v>-45706.64</v>
      </c>
    </row>
    <row r="1079" spans="1:8">
      <c r="A1079" s="24" t="s">
        <v>232</v>
      </c>
      <c r="B1079" s="24" t="s">
        <v>345</v>
      </c>
      <c r="C1079" s="25">
        <v>45901</v>
      </c>
      <c r="D1079" s="24" t="s">
        <v>2665</v>
      </c>
      <c r="E1079" s="26">
        <v>0</v>
      </c>
      <c r="F1079" s="26">
        <v>0</v>
      </c>
      <c r="G1079" s="26">
        <v>0</v>
      </c>
      <c r="H1079" s="26">
        <v>-45706.64</v>
      </c>
    </row>
    <row r="1080" spans="1:8">
      <c r="A1080" s="24" t="s">
        <v>232</v>
      </c>
      <c r="B1080" s="24" t="s">
        <v>345</v>
      </c>
      <c r="C1080" s="25">
        <v>45931</v>
      </c>
      <c r="D1080" s="24" t="s">
        <v>2666</v>
      </c>
      <c r="E1080" s="26">
        <v>43411.040000000001</v>
      </c>
      <c r="F1080" s="26">
        <v>0</v>
      </c>
      <c r="G1080" s="26">
        <v>43411.040000000001</v>
      </c>
      <c r="H1080" s="26">
        <v>-2295.599999999999</v>
      </c>
    </row>
    <row r="1081" spans="1:8">
      <c r="A1081" s="24" t="s">
        <v>232</v>
      </c>
      <c r="B1081" s="24" t="s">
        <v>345</v>
      </c>
      <c r="C1081" s="25">
        <v>45962</v>
      </c>
      <c r="D1081" s="24" t="s">
        <v>2667</v>
      </c>
      <c r="E1081" s="26">
        <v>0</v>
      </c>
      <c r="F1081" s="26">
        <v>0</v>
      </c>
      <c r="G1081" s="26">
        <v>0</v>
      </c>
      <c r="H1081" s="26">
        <v>-2295.599999999999</v>
      </c>
    </row>
    <row r="1082" spans="1:8">
      <c r="A1082" s="24" t="s">
        <v>232</v>
      </c>
      <c r="B1082" s="24" t="s">
        <v>345</v>
      </c>
      <c r="C1082" s="25">
        <v>45992</v>
      </c>
      <c r="D1082" s="24" t="s">
        <v>2668</v>
      </c>
      <c r="E1082" s="26">
        <v>0</v>
      </c>
      <c r="F1082" s="26">
        <v>0</v>
      </c>
      <c r="G1082" s="26">
        <v>0</v>
      </c>
      <c r="H1082" s="26">
        <v>-2295.599999999999</v>
      </c>
    </row>
    <row r="1083" spans="1:8">
      <c r="A1083" s="24" t="s">
        <v>101</v>
      </c>
      <c r="B1083" s="24" t="s">
        <v>324</v>
      </c>
      <c r="C1083" s="25">
        <v>45658</v>
      </c>
      <c r="D1083" s="24" t="s">
        <v>2657</v>
      </c>
      <c r="E1083" s="26">
        <v>0</v>
      </c>
      <c r="F1083" s="26">
        <v>0</v>
      </c>
      <c r="G1083" s="26">
        <v>0</v>
      </c>
      <c r="H1083" s="26">
        <v>0</v>
      </c>
    </row>
    <row r="1084" spans="1:8">
      <c r="A1084" s="24" t="s">
        <v>101</v>
      </c>
      <c r="B1084" s="24" t="s">
        <v>324</v>
      </c>
      <c r="C1084" s="25">
        <v>45689</v>
      </c>
      <c r="D1084" s="24" t="s">
        <v>2658</v>
      </c>
      <c r="E1084" s="26">
        <v>0</v>
      </c>
      <c r="F1084" s="26">
        <v>0</v>
      </c>
      <c r="G1084" s="26">
        <v>0</v>
      </c>
      <c r="H1084" s="26">
        <v>0</v>
      </c>
    </row>
    <row r="1085" spans="1:8">
      <c r="A1085" s="24" t="s">
        <v>101</v>
      </c>
      <c r="B1085" s="24" t="s">
        <v>324</v>
      </c>
      <c r="C1085" s="25">
        <v>45717</v>
      </c>
      <c r="D1085" s="24" t="s">
        <v>2659</v>
      </c>
      <c r="E1085" s="26">
        <v>0</v>
      </c>
      <c r="F1085" s="26">
        <v>0</v>
      </c>
      <c r="G1085" s="26">
        <v>0</v>
      </c>
      <c r="H1085" s="26">
        <v>0</v>
      </c>
    </row>
    <row r="1086" spans="1:8">
      <c r="A1086" s="24" t="s">
        <v>101</v>
      </c>
      <c r="B1086" s="24" t="s">
        <v>324</v>
      </c>
      <c r="C1086" s="25">
        <v>45748</v>
      </c>
      <c r="D1086" s="24" t="s">
        <v>2660</v>
      </c>
      <c r="E1086" s="26">
        <v>0</v>
      </c>
      <c r="F1086" s="26">
        <v>0</v>
      </c>
      <c r="G1086" s="26">
        <v>0</v>
      </c>
      <c r="H1086" s="26">
        <v>0</v>
      </c>
    </row>
    <row r="1087" spans="1:8">
      <c r="A1087" s="24" t="s">
        <v>101</v>
      </c>
      <c r="B1087" s="24" t="s">
        <v>324</v>
      </c>
      <c r="C1087" s="25">
        <v>45778</v>
      </c>
      <c r="D1087" s="24" t="s">
        <v>2661</v>
      </c>
      <c r="E1087" s="26">
        <v>0</v>
      </c>
      <c r="F1087" s="26">
        <v>0</v>
      </c>
      <c r="G1087" s="26">
        <v>0</v>
      </c>
      <c r="H1087" s="26">
        <v>0</v>
      </c>
    </row>
    <row r="1088" spans="1:8">
      <c r="A1088" s="24" t="s">
        <v>101</v>
      </c>
      <c r="B1088" s="24" t="s">
        <v>324</v>
      </c>
      <c r="C1088" s="25">
        <v>45809</v>
      </c>
      <c r="D1088" s="24" t="s">
        <v>2662</v>
      </c>
      <c r="E1088" s="26">
        <v>0</v>
      </c>
      <c r="F1088" s="26">
        <v>0</v>
      </c>
      <c r="G1088" s="26">
        <v>0</v>
      </c>
      <c r="H1088" s="26">
        <v>0</v>
      </c>
    </row>
    <row r="1089" spans="1:8">
      <c r="A1089" s="24" t="s">
        <v>101</v>
      </c>
      <c r="B1089" s="24" t="s">
        <v>324</v>
      </c>
      <c r="C1089" s="25">
        <v>45839</v>
      </c>
      <c r="D1089" s="24" t="s">
        <v>2663</v>
      </c>
      <c r="E1089" s="26">
        <v>0</v>
      </c>
      <c r="F1089" s="26">
        <v>0</v>
      </c>
      <c r="G1089" s="26">
        <v>0</v>
      </c>
      <c r="H1089" s="26">
        <v>0</v>
      </c>
    </row>
    <row r="1090" spans="1:8">
      <c r="A1090" s="24" t="s">
        <v>101</v>
      </c>
      <c r="B1090" s="24" t="s">
        <v>324</v>
      </c>
      <c r="C1090" s="25">
        <v>45870</v>
      </c>
      <c r="D1090" s="24" t="s">
        <v>2664</v>
      </c>
      <c r="E1090" s="26">
        <v>0</v>
      </c>
      <c r="F1090" s="26">
        <v>0</v>
      </c>
      <c r="G1090" s="26">
        <v>0</v>
      </c>
      <c r="H1090" s="26">
        <v>0</v>
      </c>
    </row>
    <row r="1091" spans="1:8">
      <c r="A1091" s="24" t="s">
        <v>101</v>
      </c>
      <c r="B1091" s="24" t="s">
        <v>324</v>
      </c>
      <c r="C1091" s="25">
        <v>45901</v>
      </c>
      <c r="D1091" s="24" t="s">
        <v>2665</v>
      </c>
      <c r="E1091" s="26">
        <v>0</v>
      </c>
      <c r="F1091" s="26">
        <v>0</v>
      </c>
      <c r="G1091" s="26">
        <v>0</v>
      </c>
      <c r="H1091" s="26">
        <v>0</v>
      </c>
    </row>
    <row r="1092" spans="1:8">
      <c r="A1092" s="24" t="s">
        <v>101</v>
      </c>
      <c r="B1092" s="24" t="s">
        <v>324</v>
      </c>
      <c r="C1092" s="25">
        <v>45931</v>
      </c>
      <c r="D1092" s="24" t="s">
        <v>2666</v>
      </c>
      <c r="E1092" s="26">
        <v>0</v>
      </c>
      <c r="F1092" s="26">
        <v>0</v>
      </c>
      <c r="G1092" s="26">
        <v>0</v>
      </c>
      <c r="H1092" s="26">
        <v>0</v>
      </c>
    </row>
    <row r="1093" spans="1:8">
      <c r="A1093" s="24" t="s">
        <v>101</v>
      </c>
      <c r="B1093" s="24" t="s">
        <v>324</v>
      </c>
      <c r="C1093" s="25">
        <v>45962</v>
      </c>
      <c r="D1093" s="24" t="s">
        <v>2667</v>
      </c>
      <c r="E1093" s="26">
        <v>0</v>
      </c>
      <c r="F1093" s="26">
        <v>0</v>
      </c>
      <c r="G1093" s="26">
        <v>0</v>
      </c>
      <c r="H1093" s="26">
        <v>0</v>
      </c>
    </row>
    <row r="1094" spans="1:8">
      <c r="A1094" s="24" t="s">
        <v>101</v>
      </c>
      <c r="B1094" s="24" t="s">
        <v>324</v>
      </c>
      <c r="C1094" s="25">
        <v>45992</v>
      </c>
      <c r="D1094" s="24" t="s">
        <v>2668</v>
      </c>
      <c r="E1094" s="26">
        <v>0</v>
      </c>
      <c r="F1094" s="26">
        <v>0</v>
      </c>
      <c r="G1094" s="26">
        <v>0</v>
      </c>
      <c r="H1094" s="26">
        <v>0</v>
      </c>
    </row>
    <row r="1095" spans="1:8">
      <c r="A1095" s="24" t="s">
        <v>294</v>
      </c>
      <c r="B1095" s="24" t="s">
        <v>324</v>
      </c>
      <c r="C1095" s="25">
        <v>45658</v>
      </c>
      <c r="D1095" s="24" t="s">
        <v>2657</v>
      </c>
      <c r="E1095" s="26">
        <v>0</v>
      </c>
      <c r="F1095" s="26">
        <v>0</v>
      </c>
      <c r="G1095" s="26">
        <v>0</v>
      </c>
      <c r="H1095" s="26">
        <v>0</v>
      </c>
    </row>
    <row r="1096" spans="1:8">
      <c r="A1096" s="24" t="s">
        <v>294</v>
      </c>
      <c r="B1096" s="24" t="s">
        <v>324</v>
      </c>
      <c r="C1096" s="25">
        <v>45689</v>
      </c>
      <c r="D1096" s="24" t="s">
        <v>2658</v>
      </c>
      <c r="E1096" s="26">
        <v>0</v>
      </c>
      <c r="F1096" s="26">
        <v>0</v>
      </c>
      <c r="G1096" s="26">
        <v>0</v>
      </c>
      <c r="H1096" s="26">
        <v>0</v>
      </c>
    </row>
    <row r="1097" spans="1:8">
      <c r="A1097" s="24" t="s">
        <v>294</v>
      </c>
      <c r="B1097" s="24" t="s">
        <v>324</v>
      </c>
      <c r="C1097" s="25">
        <v>45717</v>
      </c>
      <c r="D1097" s="24" t="s">
        <v>2659</v>
      </c>
      <c r="E1097" s="26">
        <v>0</v>
      </c>
      <c r="F1097" s="26">
        <v>0</v>
      </c>
      <c r="G1097" s="26">
        <v>0</v>
      </c>
      <c r="H1097" s="26">
        <v>0</v>
      </c>
    </row>
    <row r="1098" spans="1:8">
      <c r="A1098" s="24" t="s">
        <v>294</v>
      </c>
      <c r="B1098" s="24" t="s">
        <v>324</v>
      </c>
      <c r="C1098" s="25">
        <v>45748</v>
      </c>
      <c r="D1098" s="24" t="s">
        <v>2660</v>
      </c>
      <c r="E1098" s="26">
        <v>0</v>
      </c>
      <c r="F1098" s="26">
        <v>0</v>
      </c>
      <c r="G1098" s="26">
        <v>0</v>
      </c>
      <c r="H1098" s="26">
        <v>0</v>
      </c>
    </row>
    <row r="1099" spans="1:8">
      <c r="A1099" s="24" t="s">
        <v>294</v>
      </c>
      <c r="B1099" s="24" t="s">
        <v>324</v>
      </c>
      <c r="C1099" s="25">
        <v>45778</v>
      </c>
      <c r="D1099" s="24" t="s">
        <v>2661</v>
      </c>
      <c r="E1099" s="26">
        <v>0</v>
      </c>
      <c r="F1099" s="26">
        <v>0</v>
      </c>
      <c r="G1099" s="26">
        <v>0</v>
      </c>
      <c r="H1099" s="26">
        <v>0</v>
      </c>
    </row>
    <row r="1100" spans="1:8">
      <c r="A1100" s="24" t="s">
        <v>294</v>
      </c>
      <c r="B1100" s="24" t="s">
        <v>324</v>
      </c>
      <c r="C1100" s="25">
        <v>45809</v>
      </c>
      <c r="D1100" s="24" t="s">
        <v>2662</v>
      </c>
      <c r="E1100" s="26">
        <v>0</v>
      </c>
      <c r="F1100" s="26">
        <v>0</v>
      </c>
      <c r="G1100" s="26">
        <v>0</v>
      </c>
      <c r="H1100" s="26">
        <v>0</v>
      </c>
    </row>
    <row r="1101" spans="1:8">
      <c r="A1101" s="24" t="s">
        <v>294</v>
      </c>
      <c r="B1101" s="24" t="s">
        <v>324</v>
      </c>
      <c r="C1101" s="25">
        <v>45839</v>
      </c>
      <c r="D1101" s="24" t="s">
        <v>2663</v>
      </c>
      <c r="E1101" s="26">
        <v>0</v>
      </c>
      <c r="F1101" s="26">
        <v>0</v>
      </c>
      <c r="G1101" s="26">
        <v>0</v>
      </c>
      <c r="H1101" s="26">
        <v>0</v>
      </c>
    </row>
    <row r="1102" spans="1:8">
      <c r="A1102" s="24" t="s">
        <v>294</v>
      </c>
      <c r="B1102" s="24" t="s">
        <v>324</v>
      </c>
      <c r="C1102" s="25">
        <v>45870</v>
      </c>
      <c r="D1102" s="24" t="s">
        <v>2664</v>
      </c>
      <c r="E1102" s="26">
        <v>0</v>
      </c>
      <c r="F1102" s="26">
        <v>0</v>
      </c>
      <c r="G1102" s="26">
        <v>0</v>
      </c>
      <c r="H1102" s="26">
        <v>0</v>
      </c>
    </row>
    <row r="1103" spans="1:8">
      <c r="A1103" s="24" t="s">
        <v>294</v>
      </c>
      <c r="B1103" s="24" t="s">
        <v>324</v>
      </c>
      <c r="C1103" s="25">
        <v>45901</v>
      </c>
      <c r="D1103" s="24" t="s">
        <v>2665</v>
      </c>
      <c r="E1103" s="26">
        <v>0</v>
      </c>
      <c r="F1103" s="26">
        <v>0</v>
      </c>
      <c r="G1103" s="26">
        <v>0</v>
      </c>
      <c r="H1103" s="26">
        <v>0</v>
      </c>
    </row>
    <row r="1104" spans="1:8">
      <c r="A1104" s="24" t="s">
        <v>294</v>
      </c>
      <c r="B1104" s="24" t="s">
        <v>324</v>
      </c>
      <c r="C1104" s="25">
        <v>45931</v>
      </c>
      <c r="D1104" s="24" t="s">
        <v>2666</v>
      </c>
      <c r="E1104" s="26">
        <v>0</v>
      </c>
      <c r="F1104" s="26">
        <v>0</v>
      </c>
      <c r="G1104" s="26">
        <v>0</v>
      </c>
      <c r="H1104" s="26">
        <v>0</v>
      </c>
    </row>
    <row r="1105" spans="1:8">
      <c r="A1105" s="24" t="s">
        <v>294</v>
      </c>
      <c r="B1105" s="24" t="s">
        <v>324</v>
      </c>
      <c r="C1105" s="25">
        <v>45962</v>
      </c>
      <c r="D1105" s="24" t="s">
        <v>2667</v>
      </c>
      <c r="E1105" s="26">
        <v>0</v>
      </c>
      <c r="F1105" s="26">
        <v>0</v>
      </c>
      <c r="G1105" s="26">
        <v>0</v>
      </c>
      <c r="H1105" s="26">
        <v>0</v>
      </c>
    </row>
    <row r="1106" spans="1:8">
      <c r="A1106" s="24" t="s">
        <v>294</v>
      </c>
      <c r="B1106" s="24" t="s">
        <v>324</v>
      </c>
      <c r="C1106" s="25">
        <v>45992</v>
      </c>
      <c r="D1106" s="24" t="s">
        <v>2668</v>
      </c>
      <c r="E1106" s="26">
        <v>59968.69</v>
      </c>
      <c r="F1106" s="26">
        <v>0</v>
      </c>
      <c r="G1106" s="26">
        <v>59968.69</v>
      </c>
      <c r="H1106" s="26">
        <v>59968.69</v>
      </c>
    </row>
    <row r="1107" spans="1:8">
      <c r="A1107" s="24" t="s">
        <v>170</v>
      </c>
      <c r="B1107" s="24" t="s">
        <v>345</v>
      </c>
      <c r="C1107" s="25">
        <v>45658</v>
      </c>
      <c r="D1107" s="24" t="s">
        <v>2657</v>
      </c>
      <c r="E1107" s="26">
        <v>0</v>
      </c>
      <c r="F1107" s="26">
        <v>0</v>
      </c>
      <c r="G1107" s="26">
        <v>0</v>
      </c>
      <c r="H1107" s="26">
        <v>0</v>
      </c>
    </row>
    <row r="1108" spans="1:8">
      <c r="A1108" s="24" t="s">
        <v>170</v>
      </c>
      <c r="B1108" s="24" t="s">
        <v>345</v>
      </c>
      <c r="C1108" s="25">
        <v>45689</v>
      </c>
      <c r="D1108" s="24" t="s">
        <v>2658</v>
      </c>
      <c r="E1108" s="26">
        <v>0</v>
      </c>
      <c r="F1108" s="26">
        <v>0</v>
      </c>
      <c r="G1108" s="26">
        <v>0</v>
      </c>
      <c r="H1108" s="26">
        <v>0</v>
      </c>
    </row>
    <row r="1109" spans="1:8">
      <c r="A1109" s="24" t="s">
        <v>170</v>
      </c>
      <c r="B1109" s="24" t="s">
        <v>345</v>
      </c>
      <c r="C1109" s="25">
        <v>45717</v>
      </c>
      <c r="D1109" s="24" t="s">
        <v>2659</v>
      </c>
      <c r="E1109" s="26">
        <v>0</v>
      </c>
      <c r="F1109" s="26">
        <v>0</v>
      </c>
      <c r="G1109" s="26">
        <v>0</v>
      </c>
      <c r="H1109" s="26">
        <v>0</v>
      </c>
    </row>
    <row r="1110" spans="1:8">
      <c r="A1110" s="24" t="s">
        <v>170</v>
      </c>
      <c r="B1110" s="24" t="s">
        <v>345</v>
      </c>
      <c r="C1110" s="25">
        <v>45748</v>
      </c>
      <c r="D1110" s="24" t="s">
        <v>2660</v>
      </c>
      <c r="E1110" s="26">
        <v>0</v>
      </c>
      <c r="F1110" s="26">
        <v>0</v>
      </c>
      <c r="G1110" s="26">
        <v>0</v>
      </c>
      <c r="H1110" s="26">
        <v>0</v>
      </c>
    </row>
    <row r="1111" spans="1:8">
      <c r="A1111" s="24" t="s">
        <v>170</v>
      </c>
      <c r="B1111" s="24" t="s">
        <v>345</v>
      </c>
      <c r="C1111" s="25">
        <v>45778</v>
      </c>
      <c r="D1111" s="24" t="s">
        <v>2661</v>
      </c>
      <c r="E1111" s="26">
        <v>0</v>
      </c>
      <c r="F1111" s="26">
        <v>0</v>
      </c>
      <c r="G1111" s="26">
        <v>0</v>
      </c>
      <c r="H1111" s="26">
        <v>0</v>
      </c>
    </row>
    <row r="1112" spans="1:8">
      <c r="A1112" s="24" t="s">
        <v>170</v>
      </c>
      <c r="B1112" s="24" t="s">
        <v>345</v>
      </c>
      <c r="C1112" s="25">
        <v>45809</v>
      </c>
      <c r="D1112" s="24" t="s">
        <v>2662</v>
      </c>
      <c r="E1112" s="26">
        <v>0</v>
      </c>
      <c r="F1112" s="26">
        <v>0</v>
      </c>
      <c r="G1112" s="26">
        <v>0</v>
      </c>
      <c r="H1112" s="26">
        <v>0</v>
      </c>
    </row>
    <row r="1113" spans="1:8">
      <c r="A1113" s="24" t="s">
        <v>170</v>
      </c>
      <c r="B1113" s="24" t="s">
        <v>345</v>
      </c>
      <c r="C1113" s="25">
        <v>45839</v>
      </c>
      <c r="D1113" s="24" t="s">
        <v>2663</v>
      </c>
      <c r="E1113" s="26">
        <v>0</v>
      </c>
      <c r="F1113" s="26">
        <v>96487.13</v>
      </c>
      <c r="G1113" s="26">
        <v>-96487.13</v>
      </c>
      <c r="H1113" s="26">
        <v>-96487.13</v>
      </c>
    </row>
    <row r="1114" spans="1:8">
      <c r="A1114" s="24" t="s">
        <v>170</v>
      </c>
      <c r="B1114" s="24" t="s">
        <v>345</v>
      </c>
      <c r="C1114" s="25">
        <v>45870</v>
      </c>
      <c r="D1114" s="24" t="s">
        <v>2664</v>
      </c>
      <c r="E1114" s="26">
        <v>0</v>
      </c>
      <c r="F1114" s="26">
        <v>1819.11</v>
      </c>
      <c r="G1114" s="26">
        <v>-1819.11</v>
      </c>
      <c r="H1114" s="26">
        <v>-98306.240000000005</v>
      </c>
    </row>
    <row r="1115" spans="1:8">
      <c r="A1115" s="24" t="s">
        <v>170</v>
      </c>
      <c r="B1115" s="24" t="s">
        <v>345</v>
      </c>
      <c r="C1115" s="25">
        <v>45901</v>
      </c>
      <c r="D1115" s="24" t="s">
        <v>2665</v>
      </c>
      <c r="E1115" s="26">
        <v>0</v>
      </c>
      <c r="F1115" s="26">
        <v>0</v>
      </c>
      <c r="G1115" s="26">
        <v>0</v>
      </c>
      <c r="H1115" s="26">
        <v>-98306.240000000005</v>
      </c>
    </row>
    <row r="1116" spans="1:8">
      <c r="A1116" s="24" t="s">
        <v>170</v>
      </c>
      <c r="B1116" s="24" t="s">
        <v>345</v>
      </c>
      <c r="C1116" s="25">
        <v>45931</v>
      </c>
      <c r="D1116" s="24" t="s">
        <v>2666</v>
      </c>
      <c r="E1116" s="26">
        <v>0</v>
      </c>
      <c r="F1116" s="26">
        <v>0</v>
      </c>
      <c r="G1116" s="26">
        <v>0</v>
      </c>
      <c r="H1116" s="26">
        <v>-98306.240000000005</v>
      </c>
    </row>
    <row r="1117" spans="1:8">
      <c r="A1117" s="24" t="s">
        <v>170</v>
      </c>
      <c r="B1117" s="24" t="s">
        <v>345</v>
      </c>
      <c r="C1117" s="25">
        <v>45962</v>
      </c>
      <c r="D1117" s="24" t="s">
        <v>2667</v>
      </c>
      <c r="E1117" s="26">
        <v>0</v>
      </c>
      <c r="F1117" s="26">
        <v>21850.11</v>
      </c>
      <c r="G1117" s="26">
        <v>-21850.11</v>
      </c>
      <c r="H1117" s="26">
        <v>-120156.35</v>
      </c>
    </row>
    <row r="1118" spans="1:8">
      <c r="A1118" s="24" t="s">
        <v>170</v>
      </c>
      <c r="B1118" s="24" t="s">
        <v>345</v>
      </c>
      <c r="C1118" s="25">
        <v>45992</v>
      </c>
      <c r="D1118" s="24" t="s">
        <v>2668</v>
      </c>
      <c r="E1118" s="26">
        <v>0</v>
      </c>
      <c r="F1118" s="26">
        <v>1042.08</v>
      </c>
      <c r="G1118" s="26">
        <v>-1042.08</v>
      </c>
      <c r="H1118" s="26">
        <v>-121198.43</v>
      </c>
    </row>
    <row r="1119" spans="1:8">
      <c r="A1119" s="24" t="s">
        <v>298</v>
      </c>
      <c r="B1119" s="24" t="s">
        <v>329</v>
      </c>
      <c r="C1119" s="25">
        <v>45658</v>
      </c>
      <c r="D1119" s="24" t="s">
        <v>2657</v>
      </c>
      <c r="E1119" s="26">
        <v>0</v>
      </c>
      <c r="F1119" s="26">
        <v>0</v>
      </c>
      <c r="G1119" s="26">
        <v>0</v>
      </c>
      <c r="H1119" s="26">
        <v>0</v>
      </c>
    </row>
    <row r="1120" spans="1:8">
      <c r="A1120" s="24" t="s">
        <v>298</v>
      </c>
      <c r="B1120" s="24" t="s">
        <v>329</v>
      </c>
      <c r="C1120" s="25">
        <v>45689</v>
      </c>
      <c r="D1120" s="24" t="s">
        <v>2658</v>
      </c>
      <c r="E1120" s="26">
        <v>0</v>
      </c>
      <c r="F1120" s="26">
        <v>0</v>
      </c>
      <c r="G1120" s="26">
        <v>0</v>
      </c>
      <c r="H1120" s="26">
        <v>0</v>
      </c>
    </row>
    <row r="1121" spans="1:8">
      <c r="A1121" s="24" t="s">
        <v>298</v>
      </c>
      <c r="B1121" s="24" t="s">
        <v>329</v>
      </c>
      <c r="C1121" s="25">
        <v>45717</v>
      </c>
      <c r="D1121" s="24" t="s">
        <v>2659</v>
      </c>
      <c r="E1121" s="26">
        <v>0</v>
      </c>
      <c r="F1121" s="26">
        <v>0</v>
      </c>
      <c r="G1121" s="26">
        <v>0</v>
      </c>
      <c r="H1121" s="26">
        <v>0</v>
      </c>
    </row>
    <row r="1122" spans="1:8">
      <c r="A1122" s="24" t="s">
        <v>298</v>
      </c>
      <c r="B1122" s="24" t="s">
        <v>329</v>
      </c>
      <c r="C1122" s="25">
        <v>45748</v>
      </c>
      <c r="D1122" s="24" t="s">
        <v>2660</v>
      </c>
      <c r="E1122" s="26">
        <v>0</v>
      </c>
      <c r="F1122" s="26">
        <v>0</v>
      </c>
      <c r="G1122" s="26">
        <v>0</v>
      </c>
      <c r="H1122" s="26">
        <v>0</v>
      </c>
    </row>
    <row r="1123" spans="1:8">
      <c r="A1123" s="24" t="s">
        <v>298</v>
      </c>
      <c r="B1123" s="24" t="s">
        <v>329</v>
      </c>
      <c r="C1123" s="25">
        <v>45778</v>
      </c>
      <c r="D1123" s="24" t="s">
        <v>2661</v>
      </c>
      <c r="E1123" s="26">
        <v>0</v>
      </c>
      <c r="F1123" s="26">
        <v>0</v>
      </c>
      <c r="G1123" s="26">
        <v>0</v>
      </c>
      <c r="H1123" s="26">
        <v>0</v>
      </c>
    </row>
    <row r="1124" spans="1:8">
      <c r="A1124" s="24" t="s">
        <v>298</v>
      </c>
      <c r="B1124" s="24" t="s">
        <v>329</v>
      </c>
      <c r="C1124" s="25">
        <v>45809</v>
      </c>
      <c r="D1124" s="24" t="s">
        <v>2662</v>
      </c>
      <c r="E1124" s="26">
        <v>0</v>
      </c>
      <c r="F1124" s="26">
        <v>0</v>
      </c>
      <c r="G1124" s="26">
        <v>0</v>
      </c>
      <c r="H1124" s="26">
        <v>0</v>
      </c>
    </row>
    <row r="1125" spans="1:8">
      <c r="A1125" s="24" t="s">
        <v>298</v>
      </c>
      <c r="B1125" s="24" t="s">
        <v>329</v>
      </c>
      <c r="C1125" s="25">
        <v>45839</v>
      </c>
      <c r="D1125" s="24" t="s">
        <v>2663</v>
      </c>
      <c r="E1125" s="26">
        <v>0</v>
      </c>
      <c r="F1125" s="26">
        <v>64220.959999999999</v>
      </c>
      <c r="G1125" s="26">
        <v>-64220.959999999999</v>
      </c>
      <c r="H1125" s="26">
        <v>-64220.959999999999</v>
      </c>
    </row>
    <row r="1126" spans="1:8">
      <c r="A1126" s="24" t="s">
        <v>298</v>
      </c>
      <c r="B1126" s="24" t="s">
        <v>329</v>
      </c>
      <c r="C1126" s="25">
        <v>45870</v>
      </c>
      <c r="D1126" s="24" t="s">
        <v>2664</v>
      </c>
      <c r="E1126" s="26">
        <v>37152.949999999997</v>
      </c>
      <c r="F1126" s="26">
        <v>0</v>
      </c>
      <c r="G1126" s="26">
        <v>37152.949999999997</v>
      </c>
      <c r="H1126" s="26">
        <v>-27068.01</v>
      </c>
    </row>
    <row r="1127" spans="1:8">
      <c r="A1127" s="24" t="s">
        <v>298</v>
      </c>
      <c r="B1127" s="24" t="s">
        <v>329</v>
      </c>
      <c r="C1127" s="25">
        <v>45901</v>
      </c>
      <c r="D1127" s="24" t="s">
        <v>2665</v>
      </c>
      <c r="E1127" s="26">
        <v>0</v>
      </c>
      <c r="F1127" s="26">
        <v>0</v>
      </c>
      <c r="G1127" s="26">
        <v>0</v>
      </c>
      <c r="H1127" s="26">
        <v>-27068.01</v>
      </c>
    </row>
    <row r="1128" spans="1:8">
      <c r="A1128" s="24" t="s">
        <v>298</v>
      </c>
      <c r="B1128" s="24" t="s">
        <v>329</v>
      </c>
      <c r="C1128" s="25">
        <v>45931</v>
      </c>
      <c r="D1128" s="24" t="s">
        <v>2666</v>
      </c>
      <c r="E1128" s="26">
        <v>0</v>
      </c>
      <c r="F1128" s="26">
        <v>0</v>
      </c>
      <c r="G1128" s="26">
        <v>0</v>
      </c>
      <c r="H1128" s="26">
        <v>-27068.01</v>
      </c>
    </row>
    <row r="1129" spans="1:8">
      <c r="A1129" s="24" t="s">
        <v>298</v>
      </c>
      <c r="B1129" s="24" t="s">
        <v>329</v>
      </c>
      <c r="C1129" s="25">
        <v>45962</v>
      </c>
      <c r="D1129" s="24" t="s">
        <v>2667</v>
      </c>
      <c r="E1129" s="26">
        <v>0</v>
      </c>
      <c r="F1129" s="26">
        <v>0</v>
      </c>
      <c r="G1129" s="26">
        <v>0</v>
      </c>
      <c r="H1129" s="26">
        <v>-27068.01</v>
      </c>
    </row>
    <row r="1130" spans="1:8">
      <c r="A1130" s="24" t="s">
        <v>298</v>
      </c>
      <c r="B1130" s="24" t="s">
        <v>329</v>
      </c>
      <c r="C1130" s="25">
        <v>45992</v>
      </c>
      <c r="D1130" s="24" t="s">
        <v>2668</v>
      </c>
      <c r="E1130" s="26">
        <v>0</v>
      </c>
      <c r="F1130" s="26">
        <v>0</v>
      </c>
      <c r="G1130" s="26">
        <v>0</v>
      </c>
      <c r="H1130" s="26">
        <v>-27068.01</v>
      </c>
    </row>
    <row r="1131" spans="1:8">
      <c r="A1131" s="24" t="s">
        <v>228</v>
      </c>
      <c r="B1131" s="24" t="s">
        <v>337</v>
      </c>
      <c r="C1131" s="25">
        <v>45658</v>
      </c>
      <c r="D1131" s="24" t="s">
        <v>2657</v>
      </c>
      <c r="E1131" s="26">
        <v>0</v>
      </c>
      <c r="F1131" s="26">
        <v>0</v>
      </c>
      <c r="G1131" s="26">
        <v>0</v>
      </c>
      <c r="H1131" s="26">
        <v>0</v>
      </c>
    </row>
    <row r="1132" spans="1:8">
      <c r="A1132" s="24" t="s">
        <v>228</v>
      </c>
      <c r="B1132" s="24" t="s">
        <v>337</v>
      </c>
      <c r="C1132" s="25">
        <v>45689</v>
      </c>
      <c r="D1132" s="24" t="s">
        <v>2658</v>
      </c>
      <c r="E1132" s="26">
        <v>0</v>
      </c>
      <c r="F1132" s="26">
        <v>0</v>
      </c>
      <c r="G1132" s="26">
        <v>0</v>
      </c>
      <c r="H1132" s="26">
        <v>0</v>
      </c>
    </row>
    <row r="1133" spans="1:8">
      <c r="A1133" s="24" t="s">
        <v>228</v>
      </c>
      <c r="B1133" s="24" t="s">
        <v>337</v>
      </c>
      <c r="C1133" s="25">
        <v>45717</v>
      </c>
      <c r="D1133" s="24" t="s">
        <v>2659</v>
      </c>
      <c r="E1133" s="26">
        <v>0</v>
      </c>
      <c r="F1133" s="26">
        <v>0</v>
      </c>
      <c r="G1133" s="26">
        <v>0</v>
      </c>
      <c r="H1133" s="26">
        <v>0</v>
      </c>
    </row>
    <row r="1134" spans="1:8">
      <c r="A1134" s="24" t="s">
        <v>228</v>
      </c>
      <c r="B1134" s="24" t="s">
        <v>337</v>
      </c>
      <c r="C1134" s="25">
        <v>45748</v>
      </c>
      <c r="D1134" s="24" t="s">
        <v>2660</v>
      </c>
      <c r="E1134" s="26">
        <v>0</v>
      </c>
      <c r="F1134" s="26">
        <v>0</v>
      </c>
      <c r="G1134" s="26">
        <v>0</v>
      </c>
      <c r="H1134" s="26">
        <v>0</v>
      </c>
    </row>
    <row r="1135" spans="1:8">
      <c r="A1135" s="24" t="s">
        <v>228</v>
      </c>
      <c r="B1135" s="24" t="s">
        <v>337</v>
      </c>
      <c r="C1135" s="25">
        <v>45778</v>
      </c>
      <c r="D1135" s="24" t="s">
        <v>2661</v>
      </c>
      <c r="E1135" s="26">
        <v>0</v>
      </c>
      <c r="F1135" s="26">
        <v>0</v>
      </c>
      <c r="G1135" s="26">
        <v>0</v>
      </c>
      <c r="H1135" s="26">
        <v>0</v>
      </c>
    </row>
    <row r="1136" spans="1:8">
      <c r="A1136" s="24" t="s">
        <v>228</v>
      </c>
      <c r="B1136" s="24" t="s">
        <v>337</v>
      </c>
      <c r="C1136" s="25">
        <v>45809</v>
      </c>
      <c r="D1136" s="24" t="s">
        <v>2662</v>
      </c>
      <c r="E1136" s="26">
        <v>0</v>
      </c>
      <c r="F1136" s="26">
        <v>0</v>
      </c>
      <c r="G1136" s="26">
        <v>0</v>
      </c>
      <c r="H1136" s="26">
        <v>0</v>
      </c>
    </row>
    <row r="1137" spans="1:8">
      <c r="A1137" s="24" t="s">
        <v>228</v>
      </c>
      <c r="B1137" s="24" t="s">
        <v>337</v>
      </c>
      <c r="C1137" s="25">
        <v>45839</v>
      </c>
      <c r="D1137" s="24" t="s">
        <v>2663</v>
      </c>
      <c r="E1137" s="26">
        <v>0</v>
      </c>
      <c r="F1137" s="26">
        <v>0</v>
      </c>
      <c r="G1137" s="26">
        <v>0</v>
      </c>
      <c r="H1137" s="26">
        <v>0</v>
      </c>
    </row>
    <row r="1138" spans="1:8">
      <c r="A1138" s="24" t="s">
        <v>228</v>
      </c>
      <c r="B1138" s="24" t="s">
        <v>337</v>
      </c>
      <c r="C1138" s="25">
        <v>45870</v>
      </c>
      <c r="D1138" s="24" t="s">
        <v>2664</v>
      </c>
      <c r="E1138" s="26">
        <v>0</v>
      </c>
      <c r="F1138" s="26">
        <v>0</v>
      </c>
      <c r="G1138" s="26">
        <v>0</v>
      </c>
      <c r="H1138" s="26">
        <v>0</v>
      </c>
    </row>
    <row r="1139" spans="1:8">
      <c r="A1139" s="24" t="s">
        <v>228</v>
      </c>
      <c r="B1139" s="24" t="s">
        <v>337</v>
      </c>
      <c r="C1139" s="25">
        <v>45901</v>
      </c>
      <c r="D1139" s="24" t="s">
        <v>2665</v>
      </c>
      <c r="E1139" s="26">
        <v>0</v>
      </c>
      <c r="F1139" s="26">
        <v>0</v>
      </c>
      <c r="G1139" s="26">
        <v>0</v>
      </c>
      <c r="H1139" s="26">
        <v>0</v>
      </c>
    </row>
    <row r="1140" spans="1:8">
      <c r="A1140" s="24" t="s">
        <v>228</v>
      </c>
      <c r="B1140" s="24" t="s">
        <v>337</v>
      </c>
      <c r="C1140" s="25">
        <v>45931</v>
      </c>
      <c r="D1140" s="24" t="s">
        <v>2666</v>
      </c>
      <c r="E1140" s="26">
        <v>0</v>
      </c>
      <c r="F1140" s="26">
        <v>121546.3</v>
      </c>
      <c r="G1140" s="26">
        <v>-121546.3</v>
      </c>
      <c r="H1140" s="26">
        <v>-121546.3</v>
      </c>
    </row>
    <row r="1141" spans="1:8">
      <c r="A1141" s="24" t="s">
        <v>228</v>
      </c>
      <c r="B1141" s="24" t="s">
        <v>337</v>
      </c>
      <c r="C1141" s="25">
        <v>45962</v>
      </c>
      <c r="D1141" s="24" t="s">
        <v>2667</v>
      </c>
      <c r="E1141" s="26">
        <v>0</v>
      </c>
      <c r="F1141" s="26">
        <v>0</v>
      </c>
      <c r="G1141" s="26">
        <v>0</v>
      </c>
      <c r="H1141" s="26">
        <v>-121546.3</v>
      </c>
    </row>
    <row r="1142" spans="1:8">
      <c r="A1142" s="24" t="s">
        <v>228</v>
      </c>
      <c r="B1142" s="24" t="s">
        <v>337</v>
      </c>
      <c r="C1142" s="25">
        <v>45992</v>
      </c>
      <c r="D1142" s="24" t="s">
        <v>2668</v>
      </c>
      <c r="E1142" s="26">
        <v>0</v>
      </c>
      <c r="F1142" s="26">
        <v>0</v>
      </c>
      <c r="G1142" s="26">
        <v>0</v>
      </c>
      <c r="H1142" s="26">
        <v>-121546.3</v>
      </c>
    </row>
    <row r="1143" spans="1:8">
      <c r="A1143" s="24" t="s">
        <v>260</v>
      </c>
      <c r="B1143" s="24" t="s">
        <v>345</v>
      </c>
      <c r="C1143" s="25">
        <v>45658</v>
      </c>
      <c r="D1143" s="24" t="s">
        <v>2657</v>
      </c>
      <c r="E1143" s="26">
        <v>0</v>
      </c>
      <c r="F1143" s="26">
        <v>0</v>
      </c>
      <c r="G1143" s="26">
        <v>0</v>
      </c>
      <c r="H1143" s="26">
        <v>0</v>
      </c>
    </row>
    <row r="1144" spans="1:8">
      <c r="A1144" s="24" t="s">
        <v>260</v>
      </c>
      <c r="B1144" s="24" t="s">
        <v>345</v>
      </c>
      <c r="C1144" s="25">
        <v>45689</v>
      </c>
      <c r="D1144" s="24" t="s">
        <v>2658</v>
      </c>
      <c r="E1144" s="26">
        <v>0</v>
      </c>
      <c r="F1144" s="26">
        <v>0</v>
      </c>
      <c r="G1144" s="26">
        <v>0</v>
      </c>
      <c r="H1144" s="26">
        <v>0</v>
      </c>
    </row>
    <row r="1145" spans="1:8">
      <c r="A1145" s="24" t="s">
        <v>260</v>
      </c>
      <c r="B1145" s="24" t="s">
        <v>345</v>
      </c>
      <c r="C1145" s="25">
        <v>45717</v>
      </c>
      <c r="D1145" s="24" t="s">
        <v>2659</v>
      </c>
      <c r="E1145" s="26">
        <v>0</v>
      </c>
      <c r="F1145" s="26">
        <v>0</v>
      </c>
      <c r="G1145" s="26">
        <v>0</v>
      </c>
      <c r="H1145" s="26">
        <v>0</v>
      </c>
    </row>
    <row r="1146" spans="1:8">
      <c r="A1146" s="24" t="s">
        <v>260</v>
      </c>
      <c r="B1146" s="24" t="s">
        <v>345</v>
      </c>
      <c r="C1146" s="25">
        <v>45748</v>
      </c>
      <c r="D1146" s="24" t="s">
        <v>2660</v>
      </c>
      <c r="E1146" s="26">
        <v>0</v>
      </c>
      <c r="F1146" s="26">
        <v>0</v>
      </c>
      <c r="G1146" s="26">
        <v>0</v>
      </c>
      <c r="H1146" s="26">
        <v>0</v>
      </c>
    </row>
    <row r="1147" spans="1:8">
      <c r="A1147" s="24" t="s">
        <v>260</v>
      </c>
      <c r="B1147" s="24" t="s">
        <v>345</v>
      </c>
      <c r="C1147" s="25">
        <v>45778</v>
      </c>
      <c r="D1147" s="24" t="s">
        <v>2661</v>
      </c>
      <c r="E1147" s="26">
        <v>0</v>
      </c>
      <c r="F1147" s="26">
        <v>0</v>
      </c>
      <c r="G1147" s="26">
        <v>0</v>
      </c>
      <c r="H1147" s="26">
        <v>0</v>
      </c>
    </row>
    <row r="1148" spans="1:8">
      <c r="A1148" s="24" t="s">
        <v>260</v>
      </c>
      <c r="B1148" s="24" t="s">
        <v>345</v>
      </c>
      <c r="C1148" s="25">
        <v>45809</v>
      </c>
      <c r="D1148" s="24" t="s">
        <v>2662</v>
      </c>
      <c r="E1148" s="26">
        <v>0</v>
      </c>
      <c r="F1148" s="26">
        <v>0</v>
      </c>
      <c r="G1148" s="26">
        <v>0</v>
      </c>
      <c r="H1148" s="26">
        <v>0</v>
      </c>
    </row>
    <row r="1149" spans="1:8">
      <c r="A1149" s="24" t="s">
        <v>260</v>
      </c>
      <c r="B1149" s="24" t="s">
        <v>345</v>
      </c>
      <c r="C1149" s="25">
        <v>45839</v>
      </c>
      <c r="D1149" s="24" t="s">
        <v>2663</v>
      </c>
      <c r="E1149" s="26">
        <v>0</v>
      </c>
      <c r="F1149" s="26">
        <v>0</v>
      </c>
      <c r="G1149" s="26">
        <v>0</v>
      </c>
      <c r="H1149" s="26">
        <v>0</v>
      </c>
    </row>
    <row r="1150" spans="1:8">
      <c r="A1150" s="24" t="s">
        <v>260</v>
      </c>
      <c r="B1150" s="24" t="s">
        <v>345</v>
      </c>
      <c r="C1150" s="25">
        <v>45870</v>
      </c>
      <c r="D1150" s="24" t="s">
        <v>2664</v>
      </c>
      <c r="E1150" s="26">
        <v>0</v>
      </c>
      <c r="F1150" s="26">
        <v>0</v>
      </c>
      <c r="G1150" s="26">
        <v>0</v>
      </c>
      <c r="H1150" s="26">
        <v>0</v>
      </c>
    </row>
    <row r="1151" spans="1:8">
      <c r="A1151" s="24" t="s">
        <v>260</v>
      </c>
      <c r="B1151" s="24" t="s">
        <v>345</v>
      </c>
      <c r="C1151" s="25">
        <v>45901</v>
      </c>
      <c r="D1151" s="24" t="s">
        <v>2665</v>
      </c>
      <c r="E1151" s="26">
        <v>0</v>
      </c>
      <c r="F1151" s="26">
        <v>37947.96</v>
      </c>
      <c r="G1151" s="26">
        <v>-37947.96</v>
      </c>
      <c r="H1151" s="26">
        <v>-37947.96</v>
      </c>
    </row>
    <row r="1152" spans="1:8">
      <c r="A1152" s="24" t="s">
        <v>260</v>
      </c>
      <c r="B1152" s="24" t="s">
        <v>345</v>
      </c>
      <c r="C1152" s="25">
        <v>45931</v>
      </c>
      <c r="D1152" s="24" t="s">
        <v>2666</v>
      </c>
      <c r="E1152" s="26">
        <v>0</v>
      </c>
      <c r="F1152" s="26">
        <v>0</v>
      </c>
      <c r="G1152" s="26">
        <v>0</v>
      </c>
      <c r="H1152" s="26">
        <v>-37947.96</v>
      </c>
    </row>
    <row r="1153" spans="1:8">
      <c r="A1153" s="24" t="s">
        <v>260</v>
      </c>
      <c r="B1153" s="24" t="s">
        <v>345</v>
      </c>
      <c r="C1153" s="25">
        <v>45962</v>
      </c>
      <c r="D1153" s="24" t="s">
        <v>2667</v>
      </c>
      <c r="E1153" s="26">
        <v>0</v>
      </c>
      <c r="F1153" s="26">
        <v>0</v>
      </c>
      <c r="G1153" s="26">
        <v>0</v>
      </c>
      <c r="H1153" s="26">
        <v>-37947.96</v>
      </c>
    </row>
    <row r="1154" spans="1:8">
      <c r="A1154" s="24" t="s">
        <v>260</v>
      </c>
      <c r="B1154" s="24" t="s">
        <v>345</v>
      </c>
      <c r="C1154" s="25">
        <v>45992</v>
      </c>
      <c r="D1154" s="24" t="s">
        <v>2668</v>
      </c>
      <c r="E1154" s="26">
        <v>0</v>
      </c>
      <c r="F1154" s="26">
        <v>78999.8</v>
      </c>
      <c r="G1154" s="26">
        <v>-78999.8</v>
      </c>
      <c r="H1154" s="26">
        <v>-116947.76</v>
      </c>
    </row>
    <row r="1155" spans="1:8">
      <c r="A1155" s="24" t="s">
        <v>124</v>
      </c>
      <c r="B1155" s="24" t="s">
        <v>345</v>
      </c>
      <c r="C1155" s="25">
        <v>45658</v>
      </c>
      <c r="D1155" s="24" t="s">
        <v>2657</v>
      </c>
      <c r="E1155" s="26">
        <v>0</v>
      </c>
      <c r="F1155" s="26">
        <v>0</v>
      </c>
      <c r="G1155" s="26">
        <v>0</v>
      </c>
      <c r="H1155" s="26">
        <v>0</v>
      </c>
    </row>
    <row r="1156" spans="1:8">
      <c r="A1156" s="24" t="s">
        <v>124</v>
      </c>
      <c r="B1156" s="24" t="s">
        <v>345</v>
      </c>
      <c r="C1156" s="25">
        <v>45689</v>
      </c>
      <c r="D1156" s="24" t="s">
        <v>2658</v>
      </c>
      <c r="E1156" s="26">
        <v>0</v>
      </c>
      <c r="F1156" s="26">
        <v>0</v>
      </c>
      <c r="G1156" s="26">
        <v>0</v>
      </c>
      <c r="H1156" s="26">
        <v>0</v>
      </c>
    </row>
    <row r="1157" spans="1:8">
      <c r="A1157" s="24" t="s">
        <v>124</v>
      </c>
      <c r="B1157" s="24" t="s">
        <v>345</v>
      </c>
      <c r="C1157" s="25">
        <v>45717</v>
      </c>
      <c r="D1157" s="24" t="s">
        <v>2659</v>
      </c>
      <c r="E1157" s="26">
        <v>0</v>
      </c>
      <c r="F1157" s="26">
        <v>0</v>
      </c>
      <c r="G1157" s="26">
        <v>0</v>
      </c>
      <c r="H1157" s="26">
        <v>0</v>
      </c>
    </row>
    <row r="1158" spans="1:8">
      <c r="A1158" s="24" t="s">
        <v>124</v>
      </c>
      <c r="B1158" s="24" t="s">
        <v>345</v>
      </c>
      <c r="C1158" s="25">
        <v>45748</v>
      </c>
      <c r="D1158" s="24" t="s">
        <v>2660</v>
      </c>
      <c r="E1158" s="26">
        <v>0</v>
      </c>
      <c r="F1158" s="26">
        <v>0</v>
      </c>
      <c r="G1158" s="26">
        <v>0</v>
      </c>
      <c r="H1158" s="26">
        <v>0</v>
      </c>
    </row>
    <row r="1159" spans="1:8">
      <c r="A1159" s="24" t="s">
        <v>124</v>
      </c>
      <c r="B1159" s="24" t="s">
        <v>345</v>
      </c>
      <c r="C1159" s="25">
        <v>45778</v>
      </c>
      <c r="D1159" s="24" t="s">
        <v>2661</v>
      </c>
      <c r="E1159" s="26">
        <v>0</v>
      </c>
      <c r="F1159" s="26">
        <v>0</v>
      </c>
      <c r="G1159" s="26">
        <v>0</v>
      </c>
      <c r="H1159" s="26">
        <v>0</v>
      </c>
    </row>
    <row r="1160" spans="1:8">
      <c r="A1160" s="24" t="s">
        <v>124</v>
      </c>
      <c r="B1160" s="24" t="s">
        <v>345</v>
      </c>
      <c r="C1160" s="25">
        <v>45809</v>
      </c>
      <c r="D1160" s="24" t="s">
        <v>2662</v>
      </c>
      <c r="E1160" s="26">
        <v>0</v>
      </c>
      <c r="F1160" s="26">
        <v>0</v>
      </c>
      <c r="G1160" s="26">
        <v>0</v>
      </c>
      <c r="H1160" s="26">
        <v>0</v>
      </c>
    </row>
    <row r="1161" spans="1:8">
      <c r="A1161" s="24" t="s">
        <v>124</v>
      </c>
      <c r="B1161" s="24" t="s">
        <v>345</v>
      </c>
      <c r="C1161" s="25">
        <v>45839</v>
      </c>
      <c r="D1161" s="24" t="s">
        <v>2663</v>
      </c>
      <c r="E1161" s="26">
        <v>0</v>
      </c>
      <c r="F1161" s="26">
        <v>0</v>
      </c>
      <c r="G1161" s="26">
        <v>0</v>
      </c>
      <c r="H1161" s="26">
        <v>0</v>
      </c>
    </row>
    <row r="1162" spans="1:8">
      <c r="A1162" s="24" t="s">
        <v>124</v>
      </c>
      <c r="B1162" s="24" t="s">
        <v>345</v>
      </c>
      <c r="C1162" s="25">
        <v>45870</v>
      </c>
      <c r="D1162" s="24" t="s">
        <v>2664</v>
      </c>
      <c r="E1162" s="26">
        <v>0</v>
      </c>
      <c r="F1162" s="26">
        <v>0</v>
      </c>
      <c r="G1162" s="26">
        <v>0</v>
      </c>
      <c r="H1162" s="26">
        <v>0</v>
      </c>
    </row>
    <row r="1163" spans="1:8">
      <c r="A1163" s="24" t="s">
        <v>124</v>
      </c>
      <c r="B1163" s="24" t="s">
        <v>345</v>
      </c>
      <c r="C1163" s="25">
        <v>45901</v>
      </c>
      <c r="D1163" s="24" t="s">
        <v>2665</v>
      </c>
      <c r="E1163" s="26">
        <v>0</v>
      </c>
      <c r="F1163" s="26">
        <v>0</v>
      </c>
      <c r="G1163" s="26">
        <v>0</v>
      </c>
      <c r="H1163" s="26">
        <v>0</v>
      </c>
    </row>
    <row r="1164" spans="1:8">
      <c r="A1164" s="24" t="s">
        <v>124</v>
      </c>
      <c r="B1164" s="24" t="s">
        <v>345</v>
      </c>
      <c r="C1164" s="25">
        <v>45931</v>
      </c>
      <c r="D1164" s="24" t="s">
        <v>2666</v>
      </c>
      <c r="E1164" s="26">
        <v>0</v>
      </c>
      <c r="F1164" s="26">
        <v>15322.64</v>
      </c>
      <c r="G1164" s="26">
        <v>-15322.64</v>
      </c>
      <c r="H1164" s="26">
        <v>-15322.64</v>
      </c>
    </row>
    <row r="1165" spans="1:8">
      <c r="A1165" s="24" t="s">
        <v>124</v>
      </c>
      <c r="B1165" s="24" t="s">
        <v>345</v>
      </c>
      <c r="C1165" s="25">
        <v>45962</v>
      </c>
      <c r="D1165" s="24" t="s">
        <v>2667</v>
      </c>
      <c r="E1165" s="26">
        <v>0</v>
      </c>
      <c r="F1165" s="26">
        <v>41750.71</v>
      </c>
      <c r="G1165" s="26">
        <v>-41750.71</v>
      </c>
      <c r="H1165" s="26">
        <v>-57073.35</v>
      </c>
    </row>
    <row r="1166" spans="1:8">
      <c r="A1166" s="24" t="s">
        <v>124</v>
      </c>
      <c r="B1166" s="24" t="s">
        <v>345</v>
      </c>
      <c r="C1166" s="25">
        <v>45992</v>
      </c>
      <c r="D1166" s="24" t="s">
        <v>2668</v>
      </c>
      <c r="E1166" s="26">
        <v>0</v>
      </c>
      <c r="F1166" s="26">
        <v>1651.69</v>
      </c>
      <c r="G1166" s="26">
        <v>-1651.69</v>
      </c>
      <c r="H1166" s="26">
        <v>-58725.04</v>
      </c>
    </row>
    <row r="1167" spans="1:8">
      <c r="A1167" s="24" t="s">
        <v>96</v>
      </c>
      <c r="B1167" s="24" t="s">
        <v>318</v>
      </c>
      <c r="C1167" s="25">
        <v>45658</v>
      </c>
      <c r="D1167" s="24" t="s">
        <v>2657</v>
      </c>
      <c r="E1167" s="26">
        <v>0</v>
      </c>
      <c r="F1167" s="26">
        <v>0</v>
      </c>
      <c r="G1167" s="26">
        <v>0</v>
      </c>
      <c r="H1167" s="26">
        <v>0</v>
      </c>
    </row>
    <row r="1168" spans="1:8">
      <c r="A1168" s="24" t="s">
        <v>96</v>
      </c>
      <c r="B1168" s="24" t="s">
        <v>318</v>
      </c>
      <c r="C1168" s="25">
        <v>45689</v>
      </c>
      <c r="D1168" s="24" t="s">
        <v>2658</v>
      </c>
      <c r="E1168" s="26">
        <v>0</v>
      </c>
      <c r="F1168" s="26">
        <v>0</v>
      </c>
      <c r="G1168" s="26">
        <v>0</v>
      </c>
      <c r="H1168" s="26">
        <v>0</v>
      </c>
    </row>
    <row r="1169" spans="1:8">
      <c r="A1169" s="24" t="s">
        <v>96</v>
      </c>
      <c r="B1169" s="24" t="s">
        <v>318</v>
      </c>
      <c r="C1169" s="25">
        <v>45717</v>
      </c>
      <c r="D1169" s="24" t="s">
        <v>2659</v>
      </c>
      <c r="E1169" s="26">
        <v>0</v>
      </c>
      <c r="F1169" s="26">
        <v>0</v>
      </c>
      <c r="G1169" s="26">
        <v>0</v>
      </c>
      <c r="H1169" s="26">
        <v>0</v>
      </c>
    </row>
    <row r="1170" spans="1:8">
      <c r="A1170" s="24" t="s">
        <v>96</v>
      </c>
      <c r="B1170" s="24" t="s">
        <v>318</v>
      </c>
      <c r="C1170" s="25">
        <v>45748</v>
      </c>
      <c r="D1170" s="24" t="s">
        <v>2660</v>
      </c>
      <c r="E1170" s="26">
        <v>0</v>
      </c>
      <c r="F1170" s="26">
        <v>0</v>
      </c>
      <c r="G1170" s="26">
        <v>0</v>
      </c>
      <c r="H1170" s="26">
        <v>0</v>
      </c>
    </row>
    <row r="1171" spans="1:8">
      <c r="A1171" s="24" t="s">
        <v>96</v>
      </c>
      <c r="B1171" s="24" t="s">
        <v>318</v>
      </c>
      <c r="C1171" s="25">
        <v>45778</v>
      </c>
      <c r="D1171" s="24" t="s">
        <v>2661</v>
      </c>
      <c r="E1171" s="26">
        <v>0</v>
      </c>
      <c r="F1171" s="26">
        <v>0</v>
      </c>
      <c r="G1171" s="26">
        <v>0</v>
      </c>
      <c r="H1171" s="26">
        <v>0</v>
      </c>
    </row>
    <row r="1172" spans="1:8">
      <c r="A1172" s="24" t="s">
        <v>96</v>
      </c>
      <c r="B1172" s="24" t="s">
        <v>318</v>
      </c>
      <c r="C1172" s="25">
        <v>45809</v>
      </c>
      <c r="D1172" s="24" t="s">
        <v>2662</v>
      </c>
      <c r="E1172" s="26">
        <v>0</v>
      </c>
      <c r="F1172" s="26">
        <v>0</v>
      </c>
      <c r="G1172" s="26">
        <v>0</v>
      </c>
      <c r="H1172" s="26">
        <v>0</v>
      </c>
    </row>
    <row r="1173" spans="1:8">
      <c r="A1173" s="24" t="s">
        <v>96</v>
      </c>
      <c r="B1173" s="24" t="s">
        <v>318</v>
      </c>
      <c r="C1173" s="25">
        <v>45839</v>
      </c>
      <c r="D1173" s="24" t="s">
        <v>2663</v>
      </c>
      <c r="E1173" s="26">
        <v>0</v>
      </c>
      <c r="F1173" s="26">
        <v>0</v>
      </c>
      <c r="G1173" s="26">
        <v>0</v>
      </c>
      <c r="H1173" s="26">
        <v>0</v>
      </c>
    </row>
    <row r="1174" spans="1:8">
      <c r="A1174" s="24" t="s">
        <v>96</v>
      </c>
      <c r="B1174" s="24" t="s">
        <v>318</v>
      </c>
      <c r="C1174" s="25">
        <v>45870</v>
      </c>
      <c r="D1174" s="24" t="s">
        <v>2664</v>
      </c>
      <c r="E1174" s="26">
        <v>0</v>
      </c>
      <c r="F1174" s="26">
        <v>0</v>
      </c>
      <c r="G1174" s="26">
        <v>0</v>
      </c>
      <c r="H1174" s="26">
        <v>0</v>
      </c>
    </row>
    <row r="1175" spans="1:8">
      <c r="A1175" s="24" t="s">
        <v>96</v>
      </c>
      <c r="B1175" s="24" t="s">
        <v>318</v>
      </c>
      <c r="C1175" s="25">
        <v>45901</v>
      </c>
      <c r="D1175" s="24" t="s">
        <v>2665</v>
      </c>
      <c r="E1175" s="26">
        <v>0</v>
      </c>
      <c r="F1175" s="26">
        <v>0</v>
      </c>
      <c r="G1175" s="26">
        <v>0</v>
      </c>
      <c r="H1175" s="26">
        <v>0</v>
      </c>
    </row>
    <row r="1176" spans="1:8">
      <c r="A1176" s="24" t="s">
        <v>96</v>
      </c>
      <c r="B1176" s="24" t="s">
        <v>318</v>
      </c>
      <c r="C1176" s="25">
        <v>45931</v>
      </c>
      <c r="D1176" s="24" t="s">
        <v>2666</v>
      </c>
      <c r="E1176" s="26">
        <v>0</v>
      </c>
      <c r="F1176" s="26">
        <v>35862.14</v>
      </c>
      <c r="G1176" s="26">
        <v>-35862.14</v>
      </c>
      <c r="H1176" s="26">
        <v>-35862.14</v>
      </c>
    </row>
    <row r="1177" spans="1:8">
      <c r="A1177" s="24" t="s">
        <v>96</v>
      </c>
      <c r="B1177" s="24" t="s">
        <v>318</v>
      </c>
      <c r="C1177" s="25">
        <v>45962</v>
      </c>
      <c r="D1177" s="24" t="s">
        <v>2667</v>
      </c>
      <c r="E1177" s="26">
        <v>0</v>
      </c>
      <c r="F1177" s="26">
        <v>0</v>
      </c>
      <c r="G1177" s="26">
        <v>0</v>
      </c>
      <c r="H1177" s="26">
        <v>-35862.14</v>
      </c>
    </row>
    <row r="1178" spans="1:8">
      <c r="A1178" s="24" t="s">
        <v>96</v>
      </c>
      <c r="B1178" s="24" t="s">
        <v>318</v>
      </c>
      <c r="C1178" s="25">
        <v>45992</v>
      </c>
      <c r="D1178" s="24" t="s">
        <v>2668</v>
      </c>
      <c r="E1178" s="26">
        <v>0</v>
      </c>
      <c r="F1178" s="26">
        <v>0</v>
      </c>
      <c r="G1178" s="26">
        <v>0</v>
      </c>
      <c r="H1178" s="26">
        <v>-35862.14</v>
      </c>
    </row>
    <row r="1179" spans="1:8">
      <c r="A1179" s="24" t="s">
        <v>269</v>
      </c>
      <c r="B1179" s="24" t="s">
        <v>337</v>
      </c>
      <c r="C1179" s="25">
        <v>45658</v>
      </c>
      <c r="D1179" s="24" t="s">
        <v>2657</v>
      </c>
      <c r="E1179" s="26">
        <v>0</v>
      </c>
      <c r="F1179" s="26">
        <v>0</v>
      </c>
      <c r="G1179" s="26">
        <v>0</v>
      </c>
      <c r="H1179" s="26">
        <v>0</v>
      </c>
    </row>
    <row r="1180" spans="1:8">
      <c r="A1180" s="24" t="s">
        <v>269</v>
      </c>
      <c r="B1180" s="24" t="s">
        <v>337</v>
      </c>
      <c r="C1180" s="25">
        <v>45689</v>
      </c>
      <c r="D1180" s="24" t="s">
        <v>2658</v>
      </c>
      <c r="E1180" s="26">
        <v>0</v>
      </c>
      <c r="F1180" s="26">
        <v>0</v>
      </c>
      <c r="G1180" s="26">
        <v>0</v>
      </c>
      <c r="H1180" s="26">
        <v>0</v>
      </c>
    </row>
    <row r="1181" spans="1:8">
      <c r="A1181" s="24" t="s">
        <v>269</v>
      </c>
      <c r="B1181" s="24" t="s">
        <v>337</v>
      </c>
      <c r="C1181" s="25">
        <v>45717</v>
      </c>
      <c r="D1181" s="24" t="s">
        <v>2659</v>
      </c>
      <c r="E1181" s="26">
        <v>0</v>
      </c>
      <c r="F1181" s="26">
        <v>0</v>
      </c>
      <c r="G1181" s="26">
        <v>0</v>
      </c>
      <c r="H1181" s="26">
        <v>0</v>
      </c>
    </row>
    <row r="1182" spans="1:8">
      <c r="A1182" s="24" t="s">
        <v>269</v>
      </c>
      <c r="B1182" s="24" t="s">
        <v>337</v>
      </c>
      <c r="C1182" s="25">
        <v>45748</v>
      </c>
      <c r="D1182" s="24" t="s">
        <v>2660</v>
      </c>
      <c r="E1182" s="26">
        <v>0</v>
      </c>
      <c r="F1182" s="26">
        <v>0</v>
      </c>
      <c r="G1182" s="26">
        <v>0</v>
      </c>
      <c r="H1182" s="26">
        <v>0</v>
      </c>
    </row>
    <row r="1183" spans="1:8">
      <c r="A1183" s="24" t="s">
        <v>269</v>
      </c>
      <c r="B1183" s="24" t="s">
        <v>337</v>
      </c>
      <c r="C1183" s="25">
        <v>45778</v>
      </c>
      <c r="D1183" s="24" t="s">
        <v>2661</v>
      </c>
      <c r="E1183" s="26">
        <v>0</v>
      </c>
      <c r="F1183" s="26">
        <v>0</v>
      </c>
      <c r="G1183" s="26">
        <v>0</v>
      </c>
      <c r="H1183" s="26">
        <v>0</v>
      </c>
    </row>
    <row r="1184" spans="1:8">
      <c r="A1184" s="24" t="s">
        <v>269</v>
      </c>
      <c r="B1184" s="24" t="s">
        <v>337</v>
      </c>
      <c r="C1184" s="25">
        <v>45809</v>
      </c>
      <c r="D1184" s="24" t="s">
        <v>2662</v>
      </c>
      <c r="E1184" s="26">
        <v>0</v>
      </c>
      <c r="F1184" s="26">
        <v>0</v>
      </c>
      <c r="G1184" s="26">
        <v>0</v>
      </c>
      <c r="H1184" s="26">
        <v>0</v>
      </c>
    </row>
    <row r="1185" spans="1:8">
      <c r="A1185" s="24" t="s">
        <v>269</v>
      </c>
      <c r="B1185" s="24" t="s">
        <v>337</v>
      </c>
      <c r="C1185" s="25">
        <v>45839</v>
      </c>
      <c r="D1185" s="24" t="s">
        <v>2663</v>
      </c>
      <c r="E1185" s="26">
        <v>0</v>
      </c>
      <c r="F1185" s="26">
        <v>65587.070000000007</v>
      </c>
      <c r="G1185" s="26">
        <v>-65587.070000000007</v>
      </c>
      <c r="H1185" s="26">
        <v>-65587.070000000007</v>
      </c>
    </row>
    <row r="1186" spans="1:8">
      <c r="A1186" s="24" t="s">
        <v>269</v>
      </c>
      <c r="B1186" s="24" t="s">
        <v>337</v>
      </c>
      <c r="C1186" s="25">
        <v>45870</v>
      </c>
      <c r="D1186" s="24" t="s">
        <v>2664</v>
      </c>
      <c r="E1186" s="26">
        <v>0</v>
      </c>
      <c r="F1186" s="26">
        <v>0</v>
      </c>
      <c r="G1186" s="26">
        <v>0</v>
      </c>
      <c r="H1186" s="26">
        <v>-65587.070000000007</v>
      </c>
    </row>
    <row r="1187" spans="1:8">
      <c r="A1187" s="24" t="s">
        <v>269</v>
      </c>
      <c r="B1187" s="24" t="s">
        <v>337</v>
      </c>
      <c r="C1187" s="25">
        <v>45901</v>
      </c>
      <c r="D1187" s="24" t="s">
        <v>2665</v>
      </c>
      <c r="E1187" s="26">
        <v>0</v>
      </c>
      <c r="F1187" s="26">
        <v>0</v>
      </c>
      <c r="G1187" s="26">
        <v>0</v>
      </c>
      <c r="H1187" s="26">
        <v>-65587.070000000007</v>
      </c>
    </row>
    <row r="1188" spans="1:8">
      <c r="A1188" s="24" t="s">
        <v>269</v>
      </c>
      <c r="B1188" s="24" t="s">
        <v>337</v>
      </c>
      <c r="C1188" s="25">
        <v>45931</v>
      </c>
      <c r="D1188" s="24" t="s">
        <v>2666</v>
      </c>
      <c r="E1188" s="26">
        <v>0</v>
      </c>
      <c r="F1188" s="26">
        <v>0</v>
      </c>
      <c r="G1188" s="26">
        <v>0</v>
      </c>
      <c r="H1188" s="26">
        <v>-65587.070000000007</v>
      </c>
    </row>
    <row r="1189" spans="1:8">
      <c r="A1189" s="24" t="s">
        <v>269</v>
      </c>
      <c r="B1189" s="24" t="s">
        <v>337</v>
      </c>
      <c r="C1189" s="25">
        <v>45962</v>
      </c>
      <c r="D1189" s="24" t="s">
        <v>2667</v>
      </c>
      <c r="E1189" s="26">
        <v>0</v>
      </c>
      <c r="F1189" s="26">
        <v>0</v>
      </c>
      <c r="G1189" s="26">
        <v>0</v>
      </c>
      <c r="H1189" s="26">
        <v>-65587.070000000007</v>
      </c>
    </row>
    <row r="1190" spans="1:8">
      <c r="A1190" s="24" t="s">
        <v>269</v>
      </c>
      <c r="B1190" s="24" t="s">
        <v>337</v>
      </c>
      <c r="C1190" s="25">
        <v>45992</v>
      </c>
      <c r="D1190" s="24" t="s">
        <v>2668</v>
      </c>
      <c r="E1190" s="26">
        <v>0</v>
      </c>
      <c r="F1190" s="26">
        <v>0</v>
      </c>
      <c r="G1190" s="26">
        <v>0</v>
      </c>
      <c r="H1190" s="26">
        <v>-65587.070000000007</v>
      </c>
    </row>
    <row r="1191" spans="1:8">
      <c r="A1191" s="24" t="s">
        <v>40</v>
      </c>
      <c r="B1191" s="24" t="s">
        <v>329</v>
      </c>
      <c r="C1191" s="25">
        <v>45658</v>
      </c>
      <c r="D1191" s="24" t="s">
        <v>2657</v>
      </c>
      <c r="E1191" s="26">
        <v>0</v>
      </c>
      <c r="F1191" s="26">
        <v>0</v>
      </c>
      <c r="G1191" s="26">
        <v>0</v>
      </c>
      <c r="H1191" s="26">
        <v>0</v>
      </c>
    </row>
    <row r="1192" spans="1:8">
      <c r="A1192" s="24" t="s">
        <v>40</v>
      </c>
      <c r="B1192" s="24" t="s">
        <v>329</v>
      </c>
      <c r="C1192" s="25">
        <v>45689</v>
      </c>
      <c r="D1192" s="24" t="s">
        <v>2658</v>
      </c>
      <c r="E1192" s="26">
        <v>0</v>
      </c>
      <c r="F1192" s="26">
        <v>0</v>
      </c>
      <c r="G1192" s="26">
        <v>0</v>
      </c>
      <c r="H1192" s="26">
        <v>0</v>
      </c>
    </row>
    <row r="1193" spans="1:8">
      <c r="A1193" s="24" t="s">
        <v>40</v>
      </c>
      <c r="B1193" s="24" t="s">
        <v>329</v>
      </c>
      <c r="C1193" s="25">
        <v>45717</v>
      </c>
      <c r="D1193" s="24" t="s">
        <v>2659</v>
      </c>
      <c r="E1193" s="26">
        <v>0</v>
      </c>
      <c r="F1193" s="26">
        <v>0</v>
      </c>
      <c r="G1193" s="26">
        <v>0</v>
      </c>
      <c r="H1193" s="26">
        <v>0</v>
      </c>
    </row>
    <row r="1194" spans="1:8">
      <c r="A1194" s="24" t="s">
        <v>40</v>
      </c>
      <c r="B1194" s="24" t="s">
        <v>329</v>
      </c>
      <c r="C1194" s="25">
        <v>45748</v>
      </c>
      <c r="D1194" s="24" t="s">
        <v>2660</v>
      </c>
      <c r="E1194" s="26">
        <v>0</v>
      </c>
      <c r="F1194" s="26">
        <v>0</v>
      </c>
      <c r="G1194" s="26">
        <v>0</v>
      </c>
      <c r="H1194" s="26">
        <v>0</v>
      </c>
    </row>
    <row r="1195" spans="1:8">
      <c r="A1195" s="24" t="s">
        <v>40</v>
      </c>
      <c r="B1195" s="24" t="s">
        <v>329</v>
      </c>
      <c r="C1195" s="25">
        <v>45778</v>
      </c>
      <c r="D1195" s="24" t="s">
        <v>2661</v>
      </c>
      <c r="E1195" s="26">
        <v>0</v>
      </c>
      <c r="F1195" s="26">
        <v>0</v>
      </c>
      <c r="G1195" s="26">
        <v>0</v>
      </c>
      <c r="H1195" s="26">
        <v>0</v>
      </c>
    </row>
    <row r="1196" spans="1:8">
      <c r="A1196" s="24" t="s">
        <v>40</v>
      </c>
      <c r="B1196" s="24" t="s">
        <v>329</v>
      </c>
      <c r="C1196" s="25">
        <v>45809</v>
      </c>
      <c r="D1196" s="24" t="s">
        <v>2662</v>
      </c>
      <c r="E1196" s="26">
        <v>0</v>
      </c>
      <c r="F1196" s="26">
        <v>0</v>
      </c>
      <c r="G1196" s="26">
        <v>0</v>
      </c>
      <c r="H1196" s="26">
        <v>0</v>
      </c>
    </row>
    <row r="1197" spans="1:8">
      <c r="A1197" s="24" t="s">
        <v>40</v>
      </c>
      <c r="B1197" s="24" t="s">
        <v>329</v>
      </c>
      <c r="C1197" s="25">
        <v>45839</v>
      </c>
      <c r="D1197" s="24" t="s">
        <v>2663</v>
      </c>
      <c r="E1197" s="26">
        <v>0</v>
      </c>
      <c r="F1197" s="26">
        <v>0</v>
      </c>
      <c r="G1197" s="26">
        <v>0</v>
      </c>
      <c r="H1197" s="26">
        <v>0</v>
      </c>
    </row>
    <row r="1198" spans="1:8">
      <c r="A1198" s="24" t="s">
        <v>40</v>
      </c>
      <c r="B1198" s="24" t="s">
        <v>329</v>
      </c>
      <c r="C1198" s="25">
        <v>45870</v>
      </c>
      <c r="D1198" s="24" t="s">
        <v>2664</v>
      </c>
      <c r="E1198" s="26">
        <v>0</v>
      </c>
      <c r="F1198" s="26">
        <v>74048.2</v>
      </c>
      <c r="G1198" s="26">
        <v>-74048.2</v>
      </c>
      <c r="H1198" s="26">
        <v>-74048.2</v>
      </c>
    </row>
    <row r="1199" spans="1:8">
      <c r="A1199" s="24" t="s">
        <v>40</v>
      </c>
      <c r="B1199" s="24" t="s">
        <v>329</v>
      </c>
      <c r="C1199" s="25">
        <v>45901</v>
      </c>
      <c r="D1199" s="24" t="s">
        <v>2665</v>
      </c>
      <c r="E1199" s="26">
        <v>0</v>
      </c>
      <c r="F1199" s="26">
        <v>113797.46</v>
      </c>
      <c r="G1199" s="26">
        <v>-113797.46</v>
      </c>
      <c r="H1199" s="26">
        <v>-187845.66</v>
      </c>
    </row>
    <row r="1200" spans="1:8">
      <c r="A1200" s="24" t="s">
        <v>40</v>
      </c>
      <c r="B1200" s="24" t="s">
        <v>329</v>
      </c>
      <c r="C1200" s="25">
        <v>45931</v>
      </c>
      <c r="D1200" s="24" t="s">
        <v>2666</v>
      </c>
      <c r="E1200" s="26">
        <v>0</v>
      </c>
      <c r="F1200" s="26">
        <v>71083.570000000007</v>
      </c>
      <c r="G1200" s="26">
        <v>-71083.570000000007</v>
      </c>
      <c r="H1200" s="26">
        <v>-258929.23</v>
      </c>
    </row>
    <row r="1201" spans="1:8">
      <c r="A1201" s="24" t="s">
        <v>40</v>
      </c>
      <c r="B1201" s="24" t="s">
        <v>329</v>
      </c>
      <c r="C1201" s="25">
        <v>45962</v>
      </c>
      <c r="D1201" s="24" t="s">
        <v>2667</v>
      </c>
      <c r="E1201" s="26">
        <v>0</v>
      </c>
      <c r="F1201" s="26">
        <v>0</v>
      </c>
      <c r="G1201" s="26">
        <v>0</v>
      </c>
      <c r="H1201" s="26">
        <v>-258929.23</v>
      </c>
    </row>
    <row r="1202" spans="1:8">
      <c r="A1202" s="24" t="s">
        <v>40</v>
      </c>
      <c r="B1202" s="24" t="s">
        <v>329</v>
      </c>
      <c r="C1202" s="25">
        <v>45992</v>
      </c>
      <c r="D1202" s="24" t="s">
        <v>2668</v>
      </c>
      <c r="E1202" s="26">
        <v>0</v>
      </c>
      <c r="F1202" s="26">
        <v>0</v>
      </c>
      <c r="G1202" s="26">
        <v>0</v>
      </c>
      <c r="H1202" s="26">
        <v>-258929.23</v>
      </c>
    </row>
    <row r="1203" spans="1:8">
      <c r="A1203" s="24" t="s">
        <v>127</v>
      </c>
      <c r="B1203" s="24" t="s">
        <v>329</v>
      </c>
      <c r="C1203" s="25">
        <v>45658</v>
      </c>
      <c r="D1203" s="24" t="s">
        <v>2657</v>
      </c>
      <c r="E1203" s="26">
        <v>0</v>
      </c>
      <c r="F1203" s="26">
        <v>0</v>
      </c>
      <c r="G1203" s="26">
        <v>0</v>
      </c>
      <c r="H1203" s="26">
        <v>0</v>
      </c>
    </row>
    <row r="1204" spans="1:8">
      <c r="A1204" s="24" t="s">
        <v>127</v>
      </c>
      <c r="B1204" s="24" t="s">
        <v>329</v>
      </c>
      <c r="C1204" s="25">
        <v>45689</v>
      </c>
      <c r="D1204" s="24" t="s">
        <v>2658</v>
      </c>
      <c r="E1204" s="26">
        <v>0</v>
      </c>
      <c r="F1204" s="26">
        <v>0</v>
      </c>
      <c r="G1204" s="26">
        <v>0</v>
      </c>
      <c r="H1204" s="26">
        <v>0</v>
      </c>
    </row>
    <row r="1205" spans="1:8">
      <c r="A1205" s="24" t="s">
        <v>127</v>
      </c>
      <c r="B1205" s="24" t="s">
        <v>329</v>
      </c>
      <c r="C1205" s="25">
        <v>45717</v>
      </c>
      <c r="D1205" s="24" t="s">
        <v>2659</v>
      </c>
      <c r="E1205" s="26">
        <v>0</v>
      </c>
      <c r="F1205" s="26">
        <v>0</v>
      </c>
      <c r="G1205" s="26">
        <v>0</v>
      </c>
      <c r="H1205" s="26">
        <v>0</v>
      </c>
    </row>
    <row r="1206" spans="1:8">
      <c r="A1206" s="24" t="s">
        <v>127</v>
      </c>
      <c r="B1206" s="24" t="s">
        <v>329</v>
      </c>
      <c r="C1206" s="25">
        <v>45748</v>
      </c>
      <c r="D1206" s="24" t="s">
        <v>2660</v>
      </c>
      <c r="E1206" s="26">
        <v>0</v>
      </c>
      <c r="F1206" s="26">
        <v>0</v>
      </c>
      <c r="G1206" s="26">
        <v>0</v>
      </c>
      <c r="H1206" s="26">
        <v>0</v>
      </c>
    </row>
    <row r="1207" spans="1:8">
      <c r="A1207" s="24" t="s">
        <v>127</v>
      </c>
      <c r="B1207" s="24" t="s">
        <v>329</v>
      </c>
      <c r="C1207" s="25">
        <v>45778</v>
      </c>
      <c r="D1207" s="24" t="s">
        <v>2661</v>
      </c>
      <c r="E1207" s="26">
        <v>0</v>
      </c>
      <c r="F1207" s="26">
        <v>0</v>
      </c>
      <c r="G1207" s="26">
        <v>0</v>
      </c>
      <c r="H1207" s="26">
        <v>0</v>
      </c>
    </row>
    <row r="1208" spans="1:8">
      <c r="A1208" s="24" t="s">
        <v>127</v>
      </c>
      <c r="B1208" s="24" t="s">
        <v>329</v>
      </c>
      <c r="C1208" s="25">
        <v>45809</v>
      </c>
      <c r="D1208" s="24" t="s">
        <v>2662</v>
      </c>
      <c r="E1208" s="26">
        <v>0</v>
      </c>
      <c r="F1208" s="26">
        <v>0</v>
      </c>
      <c r="G1208" s="26">
        <v>0</v>
      </c>
      <c r="H1208" s="26">
        <v>0</v>
      </c>
    </row>
    <row r="1209" spans="1:8">
      <c r="A1209" s="24" t="s">
        <v>127</v>
      </c>
      <c r="B1209" s="24" t="s">
        <v>329</v>
      </c>
      <c r="C1209" s="25">
        <v>45839</v>
      </c>
      <c r="D1209" s="24" t="s">
        <v>2663</v>
      </c>
      <c r="E1209" s="26">
        <v>0</v>
      </c>
      <c r="F1209" s="26">
        <v>0</v>
      </c>
      <c r="G1209" s="26">
        <v>0</v>
      </c>
      <c r="H1209" s="26">
        <v>0</v>
      </c>
    </row>
    <row r="1210" spans="1:8">
      <c r="A1210" s="24" t="s">
        <v>127</v>
      </c>
      <c r="B1210" s="24" t="s">
        <v>329</v>
      </c>
      <c r="C1210" s="25">
        <v>45870</v>
      </c>
      <c r="D1210" s="24" t="s">
        <v>2664</v>
      </c>
      <c r="E1210" s="26">
        <v>0</v>
      </c>
      <c r="F1210" s="26">
        <v>0</v>
      </c>
      <c r="G1210" s="26">
        <v>0</v>
      </c>
      <c r="H1210" s="26">
        <v>0</v>
      </c>
    </row>
    <row r="1211" spans="1:8">
      <c r="A1211" s="24" t="s">
        <v>127</v>
      </c>
      <c r="B1211" s="24" t="s">
        <v>329</v>
      </c>
      <c r="C1211" s="25">
        <v>45901</v>
      </c>
      <c r="D1211" s="24" t="s">
        <v>2665</v>
      </c>
      <c r="E1211" s="26">
        <v>0</v>
      </c>
      <c r="F1211" s="26">
        <v>0</v>
      </c>
      <c r="G1211" s="26">
        <v>0</v>
      </c>
      <c r="H1211" s="26">
        <v>0</v>
      </c>
    </row>
    <row r="1212" spans="1:8">
      <c r="A1212" s="24" t="s">
        <v>127</v>
      </c>
      <c r="B1212" s="24" t="s">
        <v>329</v>
      </c>
      <c r="C1212" s="25">
        <v>45931</v>
      </c>
      <c r="D1212" s="24" t="s">
        <v>2666</v>
      </c>
      <c r="E1212" s="26">
        <v>0</v>
      </c>
      <c r="F1212" s="26">
        <v>4567.6400000000003</v>
      </c>
      <c r="G1212" s="26">
        <v>-4567.6400000000003</v>
      </c>
      <c r="H1212" s="26">
        <v>-4567.6400000000003</v>
      </c>
    </row>
    <row r="1213" spans="1:8">
      <c r="A1213" s="24" t="s">
        <v>127</v>
      </c>
      <c r="B1213" s="24" t="s">
        <v>329</v>
      </c>
      <c r="C1213" s="25">
        <v>45962</v>
      </c>
      <c r="D1213" s="24" t="s">
        <v>2667</v>
      </c>
      <c r="E1213" s="26">
        <v>0</v>
      </c>
      <c r="F1213" s="26">
        <v>0</v>
      </c>
      <c r="G1213" s="26">
        <v>0</v>
      </c>
      <c r="H1213" s="26">
        <v>-4567.6400000000003</v>
      </c>
    </row>
    <row r="1214" spans="1:8">
      <c r="A1214" s="24" t="s">
        <v>127</v>
      </c>
      <c r="B1214" s="24" t="s">
        <v>329</v>
      </c>
      <c r="C1214" s="25">
        <v>45992</v>
      </c>
      <c r="D1214" s="24" t="s">
        <v>2668</v>
      </c>
      <c r="E1214" s="26">
        <v>0</v>
      </c>
      <c r="F1214" s="26">
        <v>0</v>
      </c>
      <c r="G1214" s="26">
        <v>0</v>
      </c>
      <c r="H1214" s="26">
        <v>-4567.6400000000003</v>
      </c>
    </row>
    <row r="1215" spans="1:8">
      <c r="A1215" s="24" t="s">
        <v>120</v>
      </c>
      <c r="B1215" s="24" t="s">
        <v>318</v>
      </c>
      <c r="C1215" s="25">
        <v>45658</v>
      </c>
      <c r="D1215" s="24" t="s">
        <v>2657</v>
      </c>
      <c r="E1215" s="26">
        <v>0</v>
      </c>
      <c r="F1215" s="26">
        <v>0</v>
      </c>
      <c r="G1215" s="26">
        <v>0</v>
      </c>
      <c r="H1215" s="26">
        <v>0</v>
      </c>
    </row>
    <row r="1216" spans="1:8">
      <c r="A1216" s="24" t="s">
        <v>120</v>
      </c>
      <c r="B1216" s="24" t="s">
        <v>318</v>
      </c>
      <c r="C1216" s="25">
        <v>45689</v>
      </c>
      <c r="D1216" s="24" t="s">
        <v>2658</v>
      </c>
      <c r="E1216" s="26">
        <v>0</v>
      </c>
      <c r="F1216" s="26">
        <v>0</v>
      </c>
      <c r="G1216" s="26">
        <v>0</v>
      </c>
      <c r="H1216" s="26">
        <v>0</v>
      </c>
    </row>
    <row r="1217" spans="1:8">
      <c r="A1217" s="24" t="s">
        <v>120</v>
      </c>
      <c r="B1217" s="24" t="s">
        <v>318</v>
      </c>
      <c r="C1217" s="25">
        <v>45717</v>
      </c>
      <c r="D1217" s="24" t="s">
        <v>2659</v>
      </c>
      <c r="E1217" s="26">
        <v>0</v>
      </c>
      <c r="F1217" s="26">
        <v>0</v>
      </c>
      <c r="G1217" s="26">
        <v>0</v>
      </c>
      <c r="H1217" s="26">
        <v>0</v>
      </c>
    </row>
    <row r="1218" spans="1:8">
      <c r="A1218" s="24" t="s">
        <v>120</v>
      </c>
      <c r="B1218" s="24" t="s">
        <v>318</v>
      </c>
      <c r="C1218" s="25">
        <v>45748</v>
      </c>
      <c r="D1218" s="24" t="s">
        <v>2660</v>
      </c>
      <c r="E1218" s="26">
        <v>0</v>
      </c>
      <c r="F1218" s="26">
        <v>0</v>
      </c>
      <c r="G1218" s="26">
        <v>0</v>
      </c>
      <c r="H1218" s="26">
        <v>0</v>
      </c>
    </row>
    <row r="1219" spans="1:8">
      <c r="A1219" s="24" t="s">
        <v>120</v>
      </c>
      <c r="B1219" s="24" t="s">
        <v>318</v>
      </c>
      <c r="C1219" s="25">
        <v>45778</v>
      </c>
      <c r="D1219" s="24" t="s">
        <v>2661</v>
      </c>
      <c r="E1219" s="26">
        <v>0</v>
      </c>
      <c r="F1219" s="26">
        <v>0</v>
      </c>
      <c r="G1219" s="26">
        <v>0</v>
      </c>
      <c r="H1219" s="26">
        <v>0</v>
      </c>
    </row>
    <row r="1220" spans="1:8">
      <c r="A1220" s="24" t="s">
        <v>120</v>
      </c>
      <c r="B1220" s="24" t="s">
        <v>318</v>
      </c>
      <c r="C1220" s="25">
        <v>45809</v>
      </c>
      <c r="D1220" s="24" t="s">
        <v>2662</v>
      </c>
      <c r="E1220" s="26">
        <v>0</v>
      </c>
      <c r="F1220" s="26">
        <v>0</v>
      </c>
      <c r="G1220" s="26">
        <v>0</v>
      </c>
      <c r="H1220" s="26">
        <v>0</v>
      </c>
    </row>
    <row r="1221" spans="1:8">
      <c r="A1221" s="24" t="s">
        <v>120</v>
      </c>
      <c r="B1221" s="24" t="s">
        <v>318</v>
      </c>
      <c r="C1221" s="25">
        <v>45839</v>
      </c>
      <c r="D1221" s="24" t="s">
        <v>2663</v>
      </c>
      <c r="E1221" s="26">
        <v>0</v>
      </c>
      <c r="F1221" s="26">
        <v>0</v>
      </c>
      <c r="G1221" s="26">
        <v>0</v>
      </c>
      <c r="H1221" s="26">
        <v>0</v>
      </c>
    </row>
    <row r="1222" spans="1:8">
      <c r="A1222" s="24" t="s">
        <v>120</v>
      </c>
      <c r="B1222" s="24" t="s">
        <v>318</v>
      </c>
      <c r="C1222" s="25">
        <v>45870</v>
      </c>
      <c r="D1222" s="24" t="s">
        <v>2664</v>
      </c>
      <c r="E1222" s="26">
        <v>0</v>
      </c>
      <c r="F1222" s="26">
        <v>0</v>
      </c>
      <c r="G1222" s="26">
        <v>0</v>
      </c>
      <c r="H1222" s="26">
        <v>0</v>
      </c>
    </row>
    <row r="1223" spans="1:8">
      <c r="A1223" s="24" t="s">
        <v>120</v>
      </c>
      <c r="B1223" s="24" t="s">
        <v>318</v>
      </c>
      <c r="C1223" s="25">
        <v>45901</v>
      </c>
      <c r="D1223" s="24" t="s">
        <v>2665</v>
      </c>
      <c r="E1223" s="26">
        <v>0</v>
      </c>
      <c r="F1223" s="26">
        <v>0</v>
      </c>
      <c r="G1223" s="26">
        <v>0</v>
      </c>
      <c r="H1223" s="26">
        <v>0</v>
      </c>
    </row>
    <row r="1224" spans="1:8">
      <c r="A1224" s="24" t="s">
        <v>120</v>
      </c>
      <c r="B1224" s="24" t="s">
        <v>318</v>
      </c>
      <c r="C1224" s="25">
        <v>45931</v>
      </c>
      <c r="D1224" s="24" t="s">
        <v>2666</v>
      </c>
      <c r="E1224" s="26">
        <v>0</v>
      </c>
      <c r="F1224" s="26">
        <v>117564.14</v>
      </c>
      <c r="G1224" s="26">
        <v>-117564.14</v>
      </c>
      <c r="H1224" s="26">
        <v>-117564.14</v>
      </c>
    </row>
    <row r="1225" spans="1:8">
      <c r="A1225" s="24" t="s">
        <v>120</v>
      </c>
      <c r="B1225" s="24" t="s">
        <v>318</v>
      </c>
      <c r="C1225" s="25">
        <v>45962</v>
      </c>
      <c r="D1225" s="24" t="s">
        <v>2667</v>
      </c>
      <c r="E1225" s="26">
        <v>0</v>
      </c>
      <c r="F1225" s="26">
        <v>0</v>
      </c>
      <c r="G1225" s="26">
        <v>0</v>
      </c>
      <c r="H1225" s="26">
        <v>-117564.14</v>
      </c>
    </row>
    <row r="1226" spans="1:8">
      <c r="A1226" s="24" t="s">
        <v>120</v>
      </c>
      <c r="B1226" s="24" t="s">
        <v>318</v>
      </c>
      <c r="C1226" s="25">
        <v>45992</v>
      </c>
      <c r="D1226" s="24" t="s">
        <v>2668</v>
      </c>
      <c r="E1226" s="26">
        <v>134732.69</v>
      </c>
      <c r="F1226" s="26">
        <v>0</v>
      </c>
      <c r="G1226" s="26">
        <v>134732.69</v>
      </c>
      <c r="H1226" s="26">
        <v>17168.55</v>
      </c>
    </row>
    <row r="1227" spans="1:8">
      <c r="A1227" s="24" t="s">
        <v>183</v>
      </c>
      <c r="B1227" s="24" t="s">
        <v>345</v>
      </c>
      <c r="C1227" s="25">
        <v>45658</v>
      </c>
      <c r="D1227" s="24" t="s">
        <v>2657</v>
      </c>
      <c r="E1227" s="26">
        <v>0</v>
      </c>
      <c r="F1227" s="26">
        <v>0</v>
      </c>
      <c r="G1227" s="26">
        <v>0</v>
      </c>
      <c r="H1227" s="26">
        <v>0</v>
      </c>
    </row>
    <row r="1228" spans="1:8">
      <c r="A1228" s="24" t="s">
        <v>183</v>
      </c>
      <c r="B1228" s="24" t="s">
        <v>345</v>
      </c>
      <c r="C1228" s="25">
        <v>45689</v>
      </c>
      <c r="D1228" s="24" t="s">
        <v>2658</v>
      </c>
      <c r="E1228" s="26">
        <v>0</v>
      </c>
      <c r="F1228" s="26">
        <v>0</v>
      </c>
      <c r="G1228" s="26">
        <v>0</v>
      </c>
      <c r="H1228" s="26">
        <v>0</v>
      </c>
    </row>
    <row r="1229" spans="1:8">
      <c r="A1229" s="24" t="s">
        <v>183</v>
      </c>
      <c r="B1229" s="24" t="s">
        <v>345</v>
      </c>
      <c r="C1229" s="25">
        <v>45717</v>
      </c>
      <c r="D1229" s="24" t="s">
        <v>2659</v>
      </c>
      <c r="E1229" s="26">
        <v>0</v>
      </c>
      <c r="F1229" s="26">
        <v>0</v>
      </c>
      <c r="G1229" s="26">
        <v>0</v>
      </c>
      <c r="H1229" s="26">
        <v>0</v>
      </c>
    </row>
    <row r="1230" spans="1:8">
      <c r="A1230" s="24" t="s">
        <v>183</v>
      </c>
      <c r="B1230" s="24" t="s">
        <v>345</v>
      </c>
      <c r="C1230" s="25">
        <v>45748</v>
      </c>
      <c r="D1230" s="24" t="s">
        <v>2660</v>
      </c>
      <c r="E1230" s="26">
        <v>0</v>
      </c>
      <c r="F1230" s="26">
        <v>0</v>
      </c>
      <c r="G1230" s="26">
        <v>0</v>
      </c>
      <c r="H1230" s="26">
        <v>0</v>
      </c>
    </row>
    <row r="1231" spans="1:8">
      <c r="A1231" s="24" t="s">
        <v>183</v>
      </c>
      <c r="B1231" s="24" t="s">
        <v>345</v>
      </c>
      <c r="C1231" s="25">
        <v>45778</v>
      </c>
      <c r="D1231" s="24" t="s">
        <v>2661</v>
      </c>
      <c r="E1231" s="26">
        <v>0</v>
      </c>
      <c r="F1231" s="26">
        <v>0</v>
      </c>
      <c r="G1231" s="26">
        <v>0</v>
      </c>
      <c r="H1231" s="26">
        <v>0</v>
      </c>
    </row>
    <row r="1232" spans="1:8">
      <c r="A1232" s="24" t="s">
        <v>183</v>
      </c>
      <c r="B1232" s="24" t="s">
        <v>345</v>
      </c>
      <c r="C1232" s="25">
        <v>45809</v>
      </c>
      <c r="D1232" s="24" t="s">
        <v>2662</v>
      </c>
      <c r="E1232" s="26">
        <v>0</v>
      </c>
      <c r="F1232" s="26">
        <v>0</v>
      </c>
      <c r="G1232" s="26">
        <v>0</v>
      </c>
      <c r="H1232" s="26">
        <v>0</v>
      </c>
    </row>
    <row r="1233" spans="1:8">
      <c r="A1233" s="24" t="s">
        <v>183</v>
      </c>
      <c r="B1233" s="24" t="s">
        <v>345</v>
      </c>
      <c r="C1233" s="25">
        <v>45839</v>
      </c>
      <c r="D1233" s="24" t="s">
        <v>2663</v>
      </c>
      <c r="E1233" s="26">
        <v>0</v>
      </c>
      <c r="F1233" s="26">
        <v>0</v>
      </c>
      <c r="G1233" s="26">
        <v>0</v>
      </c>
      <c r="H1233" s="26">
        <v>0</v>
      </c>
    </row>
    <row r="1234" spans="1:8">
      <c r="A1234" s="24" t="s">
        <v>183</v>
      </c>
      <c r="B1234" s="24" t="s">
        <v>345</v>
      </c>
      <c r="C1234" s="25">
        <v>45870</v>
      </c>
      <c r="D1234" s="24" t="s">
        <v>2664</v>
      </c>
      <c r="E1234" s="26">
        <v>0</v>
      </c>
      <c r="F1234" s="26">
        <v>99969.26</v>
      </c>
      <c r="G1234" s="26">
        <v>-99969.26</v>
      </c>
      <c r="H1234" s="26">
        <v>-99969.26</v>
      </c>
    </row>
    <row r="1235" spans="1:8">
      <c r="A1235" s="24" t="s">
        <v>183</v>
      </c>
      <c r="B1235" s="24" t="s">
        <v>345</v>
      </c>
      <c r="C1235" s="25">
        <v>45901</v>
      </c>
      <c r="D1235" s="24" t="s">
        <v>2665</v>
      </c>
      <c r="E1235" s="26">
        <v>0</v>
      </c>
      <c r="F1235" s="26">
        <v>0</v>
      </c>
      <c r="G1235" s="26">
        <v>0</v>
      </c>
      <c r="H1235" s="26">
        <v>-99969.26</v>
      </c>
    </row>
    <row r="1236" spans="1:8">
      <c r="A1236" s="24" t="s">
        <v>183</v>
      </c>
      <c r="B1236" s="24" t="s">
        <v>345</v>
      </c>
      <c r="C1236" s="25">
        <v>45931</v>
      </c>
      <c r="D1236" s="24" t="s">
        <v>2666</v>
      </c>
      <c r="E1236" s="26">
        <v>0</v>
      </c>
      <c r="F1236" s="26">
        <v>0</v>
      </c>
      <c r="G1236" s="26">
        <v>0</v>
      </c>
      <c r="H1236" s="26">
        <v>-99969.26</v>
      </c>
    </row>
    <row r="1237" spans="1:8">
      <c r="A1237" s="24" t="s">
        <v>183</v>
      </c>
      <c r="B1237" s="24" t="s">
        <v>345</v>
      </c>
      <c r="C1237" s="25">
        <v>45962</v>
      </c>
      <c r="D1237" s="24" t="s">
        <v>2667</v>
      </c>
      <c r="E1237" s="26">
        <v>0</v>
      </c>
      <c r="F1237" s="26">
        <v>52326.45</v>
      </c>
      <c r="G1237" s="26">
        <v>-52326.45</v>
      </c>
      <c r="H1237" s="26">
        <v>-152295.71</v>
      </c>
    </row>
    <row r="1238" spans="1:8">
      <c r="A1238" s="24" t="s">
        <v>183</v>
      </c>
      <c r="B1238" s="24" t="s">
        <v>345</v>
      </c>
      <c r="C1238" s="25">
        <v>45992</v>
      </c>
      <c r="D1238" s="24" t="s">
        <v>2668</v>
      </c>
      <c r="E1238" s="26">
        <v>0</v>
      </c>
      <c r="F1238" s="26">
        <v>0</v>
      </c>
      <c r="G1238" s="26">
        <v>0</v>
      </c>
      <c r="H1238" s="26">
        <v>-152295.71</v>
      </c>
    </row>
    <row r="1239" spans="1:8">
      <c r="A1239" s="24" t="s">
        <v>61</v>
      </c>
      <c r="B1239" s="24" t="s">
        <v>345</v>
      </c>
      <c r="C1239" s="25">
        <v>45658</v>
      </c>
      <c r="D1239" s="24" t="s">
        <v>2657</v>
      </c>
      <c r="E1239" s="26">
        <v>0</v>
      </c>
      <c r="F1239" s="26">
        <v>0</v>
      </c>
      <c r="G1239" s="26">
        <v>0</v>
      </c>
      <c r="H1239" s="26">
        <v>0</v>
      </c>
    </row>
    <row r="1240" spans="1:8">
      <c r="A1240" s="24" t="s">
        <v>61</v>
      </c>
      <c r="B1240" s="24" t="s">
        <v>345</v>
      </c>
      <c r="C1240" s="25">
        <v>45689</v>
      </c>
      <c r="D1240" s="24" t="s">
        <v>2658</v>
      </c>
      <c r="E1240" s="26">
        <v>0</v>
      </c>
      <c r="F1240" s="26">
        <v>0</v>
      </c>
      <c r="G1240" s="26">
        <v>0</v>
      </c>
      <c r="H1240" s="26">
        <v>0</v>
      </c>
    </row>
    <row r="1241" spans="1:8">
      <c r="A1241" s="24" t="s">
        <v>61</v>
      </c>
      <c r="B1241" s="24" t="s">
        <v>345</v>
      </c>
      <c r="C1241" s="25">
        <v>45717</v>
      </c>
      <c r="D1241" s="24" t="s">
        <v>2659</v>
      </c>
      <c r="E1241" s="26">
        <v>0</v>
      </c>
      <c r="F1241" s="26">
        <v>0</v>
      </c>
      <c r="G1241" s="26">
        <v>0</v>
      </c>
      <c r="H1241" s="26">
        <v>0</v>
      </c>
    </row>
    <row r="1242" spans="1:8">
      <c r="A1242" s="24" t="s">
        <v>61</v>
      </c>
      <c r="B1242" s="24" t="s">
        <v>345</v>
      </c>
      <c r="C1242" s="25">
        <v>45748</v>
      </c>
      <c r="D1242" s="24" t="s">
        <v>2660</v>
      </c>
      <c r="E1242" s="26">
        <v>0</v>
      </c>
      <c r="F1242" s="26">
        <v>0</v>
      </c>
      <c r="G1242" s="26">
        <v>0</v>
      </c>
      <c r="H1242" s="26">
        <v>0</v>
      </c>
    </row>
    <row r="1243" spans="1:8">
      <c r="A1243" s="24" t="s">
        <v>61</v>
      </c>
      <c r="B1243" s="24" t="s">
        <v>345</v>
      </c>
      <c r="C1243" s="25">
        <v>45778</v>
      </c>
      <c r="D1243" s="24" t="s">
        <v>2661</v>
      </c>
      <c r="E1243" s="26">
        <v>0</v>
      </c>
      <c r="F1243" s="26">
        <v>0</v>
      </c>
      <c r="G1243" s="26">
        <v>0</v>
      </c>
      <c r="H1243" s="26">
        <v>0</v>
      </c>
    </row>
    <row r="1244" spans="1:8">
      <c r="A1244" s="24" t="s">
        <v>61</v>
      </c>
      <c r="B1244" s="24" t="s">
        <v>345</v>
      </c>
      <c r="C1244" s="25">
        <v>45809</v>
      </c>
      <c r="D1244" s="24" t="s">
        <v>2662</v>
      </c>
      <c r="E1244" s="26">
        <v>0</v>
      </c>
      <c r="F1244" s="26">
        <v>0</v>
      </c>
      <c r="G1244" s="26">
        <v>0</v>
      </c>
      <c r="H1244" s="26">
        <v>0</v>
      </c>
    </row>
    <row r="1245" spans="1:8">
      <c r="A1245" s="24" t="s">
        <v>61</v>
      </c>
      <c r="B1245" s="24" t="s">
        <v>345</v>
      </c>
      <c r="C1245" s="25">
        <v>45839</v>
      </c>
      <c r="D1245" s="24" t="s">
        <v>2663</v>
      </c>
      <c r="E1245" s="26">
        <v>0</v>
      </c>
      <c r="F1245" s="26">
        <v>0</v>
      </c>
      <c r="G1245" s="26">
        <v>0</v>
      </c>
      <c r="H1245" s="26">
        <v>0</v>
      </c>
    </row>
    <row r="1246" spans="1:8">
      <c r="A1246" s="24" t="s">
        <v>61</v>
      </c>
      <c r="B1246" s="24" t="s">
        <v>345</v>
      </c>
      <c r="C1246" s="25">
        <v>45870</v>
      </c>
      <c r="D1246" s="24" t="s">
        <v>2664</v>
      </c>
      <c r="E1246" s="26">
        <v>0</v>
      </c>
      <c r="F1246" s="26">
        <v>0</v>
      </c>
      <c r="G1246" s="26">
        <v>0</v>
      </c>
      <c r="H1246" s="26">
        <v>0</v>
      </c>
    </row>
    <row r="1247" spans="1:8">
      <c r="A1247" s="24" t="s">
        <v>61</v>
      </c>
      <c r="B1247" s="24" t="s">
        <v>345</v>
      </c>
      <c r="C1247" s="25">
        <v>45901</v>
      </c>
      <c r="D1247" s="24" t="s">
        <v>2665</v>
      </c>
      <c r="E1247" s="26">
        <v>0</v>
      </c>
      <c r="F1247" s="26">
        <v>204040.02</v>
      </c>
      <c r="G1247" s="26">
        <v>-204040.02</v>
      </c>
      <c r="H1247" s="26">
        <v>-204040.02</v>
      </c>
    </row>
    <row r="1248" spans="1:8">
      <c r="A1248" s="24" t="s">
        <v>61</v>
      </c>
      <c r="B1248" s="24" t="s">
        <v>345</v>
      </c>
      <c r="C1248" s="25">
        <v>45931</v>
      </c>
      <c r="D1248" s="24" t="s">
        <v>2666</v>
      </c>
      <c r="E1248" s="26">
        <v>0</v>
      </c>
      <c r="F1248" s="26">
        <v>0</v>
      </c>
      <c r="G1248" s="26">
        <v>0</v>
      </c>
      <c r="H1248" s="26">
        <v>-204040.02</v>
      </c>
    </row>
    <row r="1249" spans="1:8">
      <c r="A1249" s="24" t="s">
        <v>61</v>
      </c>
      <c r="B1249" s="24" t="s">
        <v>345</v>
      </c>
      <c r="C1249" s="25">
        <v>45962</v>
      </c>
      <c r="D1249" s="24" t="s">
        <v>2667</v>
      </c>
      <c r="E1249" s="26">
        <v>0</v>
      </c>
      <c r="F1249" s="26">
        <v>0</v>
      </c>
      <c r="G1249" s="26">
        <v>0</v>
      </c>
      <c r="H1249" s="26">
        <v>-204040.02</v>
      </c>
    </row>
    <row r="1250" spans="1:8">
      <c r="A1250" s="24" t="s">
        <v>61</v>
      </c>
      <c r="B1250" s="24" t="s">
        <v>345</v>
      </c>
      <c r="C1250" s="25">
        <v>45992</v>
      </c>
      <c r="D1250" s="24" t="s">
        <v>2668</v>
      </c>
      <c r="E1250" s="26">
        <v>0</v>
      </c>
      <c r="F1250" s="26">
        <v>0</v>
      </c>
      <c r="G1250" s="26">
        <v>0</v>
      </c>
      <c r="H1250" s="26">
        <v>-204040.02</v>
      </c>
    </row>
    <row r="1251" spans="1:8">
      <c r="A1251" s="24" t="s">
        <v>211</v>
      </c>
      <c r="B1251" s="24" t="s">
        <v>337</v>
      </c>
      <c r="C1251" s="25">
        <v>45658</v>
      </c>
      <c r="D1251" s="24" t="s">
        <v>2657</v>
      </c>
      <c r="E1251" s="26">
        <v>0</v>
      </c>
      <c r="F1251" s="26">
        <v>0</v>
      </c>
      <c r="G1251" s="26">
        <v>0</v>
      </c>
      <c r="H1251" s="26">
        <v>0</v>
      </c>
    </row>
    <row r="1252" spans="1:8">
      <c r="A1252" s="24" t="s">
        <v>211</v>
      </c>
      <c r="B1252" s="24" t="s">
        <v>337</v>
      </c>
      <c r="C1252" s="25">
        <v>45689</v>
      </c>
      <c r="D1252" s="24" t="s">
        <v>2658</v>
      </c>
      <c r="E1252" s="26">
        <v>0</v>
      </c>
      <c r="F1252" s="26">
        <v>0</v>
      </c>
      <c r="G1252" s="26">
        <v>0</v>
      </c>
      <c r="H1252" s="26">
        <v>0</v>
      </c>
    </row>
    <row r="1253" spans="1:8">
      <c r="A1253" s="24" t="s">
        <v>211</v>
      </c>
      <c r="B1253" s="24" t="s">
        <v>337</v>
      </c>
      <c r="C1253" s="25">
        <v>45717</v>
      </c>
      <c r="D1253" s="24" t="s">
        <v>2659</v>
      </c>
      <c r="E1253" s="26">
        <v>0</v>
      </c>
      <c r="F1253" s="26">
        <v>0</v>
      </c>
      <c r="G1253" s="26">
        <v>0</v>
      </c>
      <c r="H1253" s="26">
        <v>0</v>
      </c>
    </row>
    <row r="1254" spans="1:8">
      <c r="A1254" s="24" t="s">
        <v>211</v>
      </c>
      <c r="B1254" s="24" t="s">
        <v>337</v>
      </c>
      <c r="C1254" s="25">
        <v>45748</v>
      </c>
      <c r="D1254" s="24" t="s">
        <v>2660</v>
      </c>
      <c r="E1254" s="26">
        <v>0</v>
      </c>
      <c r="F1254" s="26">
        <v>0</v>
      </c>
      <c r="G1254" s="26">
        <v>0</v>
      </c>
      <c r="H1254" s="26">
        <v>0</v>
      </c>
    </row>
    <row r="1255" spans="1:8">
      <c r="A1255" s="24" t="s">
        <v>211</v>
      </c>
      <c r="B1255" s="24" t="s">
        <v>337</v>
      </c>
      <c r="C1255" s="25">
        <v>45778</v>
      </c>
      <c r="D1255" s="24" t="s">
        <v>2661</v>
      </c>
      <c r="E1255" s="26">
        <v>0</v>
      </c>
      <c r="F1255" s="26">
        <v>0</v>
      </c>
      <c r="G1255" s="26">
        <v>0</v>
      </c>
      <c r="H1255" s="26">
        <v>0</v>
      </c>
    </row>
    <row r="1256" spans="1:8">
      <c r="A1256" s="24" t="s">
        <v>211</v>
      </c>
      <c r="B1256" s="24" t="s">
        <v>337</v>
      </c>
      <c r="C1256" s="25">
        <v>45809</v>
      </c>
      <c r="D1256" s="24" t="s">
        <v>2662</v>
      </c>
      <c r="E1256" s="26">
        <v>0</v>
      </c>
      <c r="F1256" s="26">
        <v>0</v>
      </c>
      <c r="G1256" s="26">
        <v>0</v>
      </c>
      <c r="H1256" s="26">
        <v>0</v>
      </c>
    </row>
    <row r="1257" spans="1:8">
      <c r="A1257" s="24" t="s">
        <v>211</v>
      </c>
      <c r="B1257" s="24" t="s">
        <v>337</v>
      </c>
      <c r="C1257" s="25">
        <v>45839</v>
      </c>
      <c r="D1257" s="24" t="s">
        <v>2663</v>
      </c>
      <c r="E1257" s="26">
        <v>0</v>
      </c>
      <c r="F1257" s="26">
        <v>0</v>
      </c>
      <c r="G1257" s="26">
        <v>0</v>
      </c>
      <c r="H1257" s="26">
        <v>0</v>
      </c>
    </row>
    <row r="1258" spans="1:8">
      <c r="A1258" s="24" t="s">
        <v>211</v>
      </c>
      <c r="B1258" s="24" t="s">
        <v>337</v>
      </c>
      <c r="C1258" s="25">
        <v>45870</v>
      </c>
      <c r="D1258" s="24" t="s">
        <v>2664</v>
      </c>
      <c r="E1258" s="26">
        <v>0</v>
      </c>
      <c r="F1258" s="26">
        <v>0</v>
      </c>
      <c r="G1258" s="26">
        <v>0</v>
      </c>
      <c r="H1258" s="26">
        <v>0</v>
      </c>
    </row>
    <row r="1259" spans="1:8">
      <c r="A1259" s="24" t="s">
        <v>211</v>
      </c>
      <c r="B1259" s="24" t="s">
        <v>337</v>
      </c>
      <c r="C1259" s="25">
        <v>45901</v>
      </c>
      <c r="D1259" s="24" t="s">
        <v>2665</v>
      </c>
      <c r="E1259" s="26">
        <v>0</v>
      </c>
      <c r="F1259" s="26">
        <v>0</v>
      </c>
      <c r="G1259" s="26">
        <v>0</v>
      </c>
      <c r="H1259" s="26">
        <v>0</v>
      </c>
    </row>
    <row r="1260" spans="1:8">
      <c r="A1260" s="24" t="s">
        <v>211</v>
      </c>
      <c r="B1260" s="24" t="s">
        <v>337</v>
      </c>
      <c r="C1260" s="25">
        <v>45931</v>
      </c>
      <c r="D1260" s="24" t="s">
        <v>2666</v>
      </c>
      <c r="E1260" s="26">
        <v>0</v>
      </c>
      <c r="F1260" s="26">
        <v>0</v>
      </c>
      <c r="G1260" s="26">
        <v>0</v>
      </c>
      <c r="H1260" s="26">
        <v>0</v>
      </c>
    </row>
    <row r="1261" spans="1:8">
      <c r="A1261" s="24" t="s">
        <v>211</v>
      </c>
      <c r="B1261" s="24" t="s">
        <v>337</v>
      </c>
      <c r="C1261" s="25">
        <v>45962</v>
      </c>
      <c r="D1261" s="24" t="s">
        <v>2667</v>
      </c>
      <c r="E1261" s="26">
        <v>0</v>
      </c>
      <c r="F1261" s="26">
        <v>103576.06</v>
      </c>
      <c r="G1261" s="26">
        <v>-103576.06</v>
      </c>
      <c r="H1261" s="26">
        <v>-103576.06</v>
      </c>
    </row>
    <row r="1262" spans="1:8">
      <c r="A1262" s="24" t="s">
        <v>211</v>
      </c>
      <c r="B1262" s="24" t="s">
        <v>337</v>
      </c>
      <c r="C1262" s="25">
        <v>45992</v>
      </c>
      <c r="D1262" s="24" t="s">
        <v>2668</v>
      </c>
      <c r="E1262" s="26">
        <v>0</v>
      </c>
      <c r="F1262" s="26">
        <v>0</v>
      </c>
      <c r="G1262" s="26">
        <v>0</v>
      </c>
      <c r="H1262" s="26">
        <v>-103576.06</v>
      </c>
    </row>
    <row r="1263" spans="1:8">
      <c r="A1263" s="24" t="s">
        <v>73</v>
      </c>
      <c r="B1263" s="24" t="s">
        <v>329</v>
      </c>
      <c r="C1263" s="25">
        <v>45658</v>
      </c>
      <c r="D1263" s="24" t="s">
        <v>2657</v>
      </c>
      <c r="E1263" s="26">
        <v>0</v>
      </c>
      <c r="F1263" s="26">
        <v>0</v>
      </c>
      <c r="G1263" s="26">
        <v>0</v>
      </c>
      <c r="H1263" s="26">
        <v>0</v>
      </c>
    </row>
    <row r="1264" spans="1:8">
      <c r="A1264" s="24" t="s">
        <v>73</v>
      </c>
      <c r="B1264" s="24" t="s">
        <v>329</v>
      </c>
      <c r="C1264" s="25">
        <v>45689</v>
      </c>
      <c r="D1264" s="24" t="s">
        <v>2658</v>
      </c>
      <c r="E1264" s="26">
        <v>0</v>
      </c>
      <c r="F1264" s="26">
        <v>0</v>
      </c>
      <c r="G1264" s="26">
        <v>0</v>
      </c>
      <c r="H1264" s="26">
        <v>0</v>
      </c>
    </row>
    <row r="1265" spans="1:8">
      <c r="A1265" s="24" t="s">
        <v>73</v>
      </c>
      <c r="B1265" s="24" t="s">
        <v>329</v>
      </c>
      <c r="C1265" s="25">
        <v>45717</v>
      </c>
      <c r="D1265" s="24" t="s">
        <v>2659</v>
      </c>
      <c r="E1265" s="26">
        <v>0</v>
      </c>
      <c r="F1265" s="26">
        <v>0</v>
      </c>
      <c r="G1265" s="26">
        <v>0</v>
      </c>
      <c r="H1265" s="26">
        <v>0</v>
      </c>
    </row>
    <row r="1266" spans="1:8">
      <c r="A1266" s="24" t="s">
        <v>73</v>
      </c>
      <c r="B1266" s="24" t="s">
        <v>329</v>
      </c>
      <c r="C1266" s="25">
        <v>45748</v>
      </c>
      <c r="D1266" s="24" t="s">
        <v>2660</v>
      </c>
      <c r="E1266" s="26">
        <v>0</v>
      </c>
      <c r="F1266" s="26">
        <v>0</v>
      </c>
      <c r="G1266" s="26">
        <v>0</v>
      </c>
      <c r="H1266" s="26">
        <v>0</v>
      </c>
    </row>
    <row r="1267" spans="1:8">
      <c r="A1267" s="24" t="s">
        <v>73</v>
      </c>
      <c r="B1267" s="24" t="s">
        <v>329</v>
      </c>
      <c r="C1267" s="25">
        <v>45778</v>
      </c>
      <c r="D1267" s="24" t="s">
        <v>2661</v>
      </c>
      <c r="E1267" s="26">
        <v>0</v>
      </c>
      <c r="F1267" s="26">
        <v>0</v>
      </c>
      <c r="G1267" s="26">
        <v>0</v>
      </c>
      <c r="H1267" s="26">
        <v>0</v>
      </c>
    </row>
    <row r="1268" spans="1:8">
      <c r="A1268" s="24" t="s">
        <v>73</v>
      </c>
      <c r="B1268" s="24" t="s">
        <v>329</v>
      </c>
      <c r="C1268" s="25">
        <v>45809</v>
      </c>
      <c r="D1268" s="24" t="s">
        <v>2662</v>
      </c>
      <c r="E1268" s="26">
        <v>0</v>
      </c>
      <c r="F1268" s="26">
        <v>0</v>
      </c>
      <c r="G1268" s="26">
        <v>0</v>
      </c>
      <c r="H1268" s="26">
        <v>0</v>
      </c>
    </row>
    <row r="1269" spans="1:8">
      <c r="A1269" s="24" t="s">
        <v>73</v>
      </c>
      <c r="B1269" s="24" t="s">
        <v>329</v>
      </c>
      <c r="C1269" s="25">
        <v>45839</v>
      </c>
      <c r="D1269" s="24" t="s">
        <v>2663</v>
      </c>
      <c r="E1269" s="26">
        <v>0</v>
      </c>
      <c r="F1269" s="26">
        <v>0</v>
      </c>
      <c r="G1269" s="26">
        <v>0</v>
      </c>
      <c r="H1269" s="26">
        <v>0</v>
      </c>
    </row>
    <row r="1270" spans="1:8">
      <c r="A1270" s="24" t="s">
        <v>73</v>
      </c>
      <c r="B1270" s="24" t="s">
        <v>329</v>
      </c>
      <c r="C1270" s="25">
        <v>45870</v>
      </c>
      <c r="D1270" s="24" t="s">
        <v>2664</v>
      </c>
      <c r="E1270" s="26">
        <v>0</v>
      </c>
      <c r="F1270" s="26">
        <v>35862.61</v>
      </c>
      <c r="G1270" s="26">
        <v>-35862.61</v>
      </c>
      <c r="H1270" s="26">
        <v>-35862.61</v>
      </c>
    </row>
    <row r="1271" spans="1:8">
      <c r="A1271" s="24" t="s">
        <v>73</v>
      </c>
      <c r="B1271" s="24" t="s">
        <v>329</v>
      </c>
      <c r="C1271" s="25">
        <v>45901</v>
      </c>
      <c r="D1271" s="24" t="s">
        <v>2665</v>
      </c>
      <c r="E1271" s="26">
        <v>0</v>
      </c>
      <c r="F1271" s="26">
        <v>65409.88</v>
      </c>
      <c r="G1271" s="26">
        <v>-65409.88</v>
      </c>
      <c r="H1271" s="26">
        <v>-101272.49</v>
      </c>
    </row>
    <row r="1272" spans="1:8">
      <c r="A1272" s="24" t="s">
        <v>73</v>
      </c>
      <c r="B1272" s="24" t="s">
        <v>329</v>
      </c>
      <c r="C1272" s="25">
        <v>45931</v>
      </c>
      <c r="D1272" s="24" t="s">
        <v>2666</v>
      </c>
      <c r="E1272" s="26">
        <v>0</v>
      </c>
      <c r="F1272" s="26">
        <v>0</v>
      </c>
      <c r="G1272" s="26">
        <v>0</v>
      </c>
      <c r="H1272" s="26">
        <v>-101272.49</v>
      </c>
    </row>
    <row r="1273" spans="1:8">
      <c r="A1273" s="24" t="s">
        <v>73</v>
      </c>
      <c r="B1273" s="24" t="s">
        <v>329</v>
      </c>
      <c r="C1273" s="25">
        <v>45962</v>
      </c>
      <c r="D1273" s="24" t="s">
        <v>2667</v>
      </c>
      <c r="E1273" s="26">
        <v>0</v>
      </c>
      <c r="F1273" s="26">
        <v>0</v>
      </c>
      <c r="G1273" s="26">
        <v>0</v>
      </c>
      <c r="H1273" s="26">
        <v>-101272.49</v>
      </c>
    </row>
    <row r="1274" spans="1:8">
      <c r="A1274" s="24" t="s">
        <v>73</v>
      </c>
      <c r="B1274" s="24" t="s">
        <v>329</v>
      </c>
      <c r="C1274" s="25">
        <v>45992</v>
      </c>
      <c r="D1274" s="24" t="s">
        <v>2668</v>
      </c>
      <c r="E1274" s="26">
        <v>0</v>
      </c>
      <c r="F1274" s="26">
        <v>0</v>
      </c>
      <c r="G1274" s="26">
        <v>0</v>
      </c>
      <c r="H1274" s="26">
        <v>-101272.49</v>
      </c>
    </row>
    <row r="1275" spans="1:8">
      <c r="A1275" s="24" t="s">
        <v>190</v>
      </c>
      <c r="B1275" s="24" t="s">
        <v>337</v>
      </c>
      <c r="C1275" s="25">
        <v>45658</v>
      </c>
      <c r="D1275" s="24" t="s">
        <v>2657</v>
      </c>
      <c r="E1275" s="26">
        <v>0</v>
      </c>
      <c r="F1275" s="26">
        <v>0</v>
      </c>
      <c r="G1275" s="26">
        <v>0</v>
      </c>
      <c r="H1275" s="26">
        <v>0</v>
      </c>
    </row>
    <row r="1276" spans="1:8">
      <c r="A1276" s="24" t="s">
        <v>190</v>
      </c>
      <c r="B1276" s="24" t="s">
        <v>337</v>
      </c>
      <c r="C1276" s="25">
        <v>45689</v>
      </c>
      <c r="D1276" s="24" t="s">
        <v>2658</v>
      </c>
      <c r="E1276" s="26">
        <v>0</v>
      </c>
      <c r="F1276" s="26">
        <v>0</v>
      </c>
      <c r="G1276" s="26">
        <v>0</v>
      </c>
      <c r="H1276" s="26">
        <v>0</v>
      </c>
    </row>
    <row r="1277" spans="1:8">
      <c r="A1277" s="24" t="s">
        <v>190</v>
      </c>
      <c r="B1277" s="24" t="s">
        <v>337</v>
      </c>
      <c r="C1277" s="25">
        <v>45717</v>
      </c>
      <c r="D1277" s="24" t="s">
        <v>2659</v>
      </c>
      <c r="E1277" s="26">
        <v>0</v>
      </c>
      <c r="F1277" s="26">
        <v>0</v>
      </c>
      <c r="G1277" s="26">
        <v>0</v>
      </c>
      <c r="H1277" s="26">
        <v>0</v>
      </c>
    </row>
    <row r="1278" spans="1:8">
      <c r="A1278" s="24" t="s">
        <v>190</v>
      </c>
      <c r="B1278" s="24" t="s">
        <v>337</v>
      </c>
      <c r="C1278" s="25">
        <v>45748</v>
      </c>
      <c r="D1278" s="24" t="s">
        <v>2660</v>
      </c>
      <c r="E1278" s="26">
        <v>0</v>
      </c>
      <c r="F1278" s="26">
        <v>0</v>
      </c>
      <c r="G1278" s="26">
        <v>0</v>
      </c>
      <c r="H1278" s="26">
        <v>0</v>
      </c>
    </row>
    <row r="1279" spans="1:8">
      <c r="A1279" s="24" t="s">
        <v>190</v>
      </c>
      <c r="B1279" s="24" t="s">
        <v>337</v>
      </c>
      <c r="C1279" s="25">
        <v>45778</v>
      </c>
      <c r="D1279" s="24" t="s">
        <v>2661</v>
      </c>
      <c r="E1279" s="26">
        <v>0</v>
      </c>
      <c r="F1279" s="26">
        <v>0</v>
      </c>
      <c r="G1279" s="26">
        <v>0</v>
      </c>
      <c r="H1279" s="26">
        <v>0</v>
      </c>
    </row>
    <row r="1280" spans="1:8">
      <c r="A1280" s="24" t="s">
        <v>190</v>
      </c>
      <c r="B1280" s="24" t="s">
        <v>337</v>
      </c>
      <c r="C1280" s="25">
        <v>45809</v>
      </c>
      <c r="D1280" s="24" t="s">
        <v>2662</v>
      </c>
      <c r="E1280" s="26">
        <v>0</v>
      </c>
      <c r="F1280" s="26">
        <v>0</v>
      </c>
      <c r="G1280" s="26">
        <v>0</v>
      </c>
      <c r="H1280" s="26">
        <v>0</v>
      </c>
    </row>
    <row r="1281" spans="1:8">
      <c r="A1281" s="24" t="s">
        <v>190</v>
      </c>
      <c r="B1281" s="24" t="s">
        <v>337</v>
      </c>
      <c r="C1281" s="25">
        <v>45839</v>
      </c>
      <c r="D1281" s="24" t="s">
        <v>2663</v>
      </c>
      <c r="E1281" s="26">
        <v>0</v>
      </c>
      <c r="F1281" s="26">
        <v>0</v>
      </c>
      <c r="G1281" s="26">
        <v>0</v>
      </c>
      <c r="H1281" s="26">
        <v>0</v>
      </c>
    </row>
    <row r="1282" spans="1:8">
      <c r="A1282" s="24" t="s">
        <v>190</v>
      </c>
      <c r="B1282" s="24" t="s">
        <v>337</v>
      </c>
      <c r="C1282" s="25">
        <v>45870</v>
      </c>
      <c r="D1282" s="24" t="s">
        <v>2664</v>
      </c>
      <c r="E1282" s="26">
        <v>0</v>
      </c>
      <c r="F1282" s="26">
        <v>0</v>
      </c>
      <c r="G1282" s="26">
        <v>0</v>
      </c>
      <c r="H1282" s="26">
        <v>0</v>
      </c>
    </row>
    <row r="1283" spans="1:8">
      <c r="A1283" s="24" t="s">
        <v>190</v>
      </c>
      <c r="B1283" s="24" t="s">
        <v>337</v>
      </c>
      <c r="C1283" s="25">
        <v>45901</v>
      </c>
      <c r="D1283" s="24" t="s">
        <v>2665</v>
      </c>
      <c r="E1283" s="26">
        <v>0</v>
      </c>
      <c r="F1283" s="26">
        <v>15313.05</v>
      </c>
      <c r="G1283" s="26">
        <v>-15313.05</v>
      </c>
      <c r="H1283" s="26">
        <v>-15313.05</v>
      </c>
    </row>
    <row r="1284" spans="1:8">
      <c r="A1284" s="24" t="s">
        <v>190</v>
      </c>
      <c r="B1284" s="24" t="s">
        <v>337</v>
      </c>
      <c r="C1284" s="25">
        <v>45931</v>
      </c>
      <c r="D1284" s="24" t="s">
        <v>2666</v>
      </c>
      <c r="E1284" s="26">
        <v>0</v>
      </c>
      <c r="F1284" s="26">
        <v>0</v>
      </c>
      <c r="G1284" s="26">
        <v>0</v>
      </c>
      <c r="H1284" s="26">
        <v>-15313.05</v>
      </c>
    </row>
    <row r="1285" spans="1:8">
      <c r="A1285" s="24" t="s">
        <v>190</v>
      </c>
      <c r="B1285" s="24" t="s">
        <v>337</v>
      </c>
      <c r="C1285" s="25">
        <v>45962</v>
      </c>
      <c r="D1285" s="24" t="s">
        <v>2667</v>
      </c>
      <c r="E1285" s="26">
        <v>0</v>
      </c>
      <c r="F1285" s="26">
        <v>0</v>
      </c>
      <c r="G1285" s="26">
        <v>0</v>
      </c>
      <c r="H1285" s="26">
        <v>-15313.05</v>
      </c>
    </row>
    <row r="1286" spans="1:8">
      <c r="A1286" s="24" t="s">
        <v>190</v>
      </c>
      <c r="B1286" s="24" t="s">
        <v>337</v>
      </c>
      <c r="C1286" s="25">
        <v>45992</v>
      </c>
      <c r="D1286" s="24" t="s">
        <v>2668</v>
      </c>
      <c r="E1286" s="26">
        <v>0</v>
      </c>
      <c r="F1286" s="26">
        <v>0</v>
      </c>
      <c r="G1286" s="26">
        <v>0</v>
      </c>
      <c r="H1286" s="26">
        <v>-15313.05</v>
      </c>
    </row>
    <row r="1287" spans="1:8">
      <c r="A1287" s="24" t="s">
        <v>138</v>
      </c>
      <c r="B1287" s="24" t="s">
        <v>324</v>
      </c>
      <c r="C1287" s="25">
        <v>45658</v>
      </c>
      <c r="D1287" s="24" t="s">
        <v>2657</v>
      </c>
      <c r="E1287" s="26">
        <v>0</v>
      </c>
      <c r="F1287" s="26">
        <v>0</v>
      </c>
      <c r="G1287" s="26">
        <v>0</v>
      </c>
      <c r="H1287" s="26">
        <v>0</v>
      </c>
    </row>
    <row r="1288" spans="1:8">
      <c r="A1288" s="24" t="s">
        <v>138</v>
      </c>
      <c r="B1288" s="24" t="s">
        <v>324</v>
      </c>
      <c r="C1288" s="25">
        <v>45689</v>
      </c>
      <c r="D1288" s="24" t="s">
        <v>2658</v>
      </c>
      <c r="E1288" s="26">
        <v>0</v>
      </c>
      <c r="F1288" s="26">
        <v>0</v>
      </c>
      <c r="G1288" s="26">
        <v>0</v>
      </c>
      <c r="H1288" s="26">
        <v>0</v>
      </c>
    </row>
    <row r="1289" spans="1:8">
      <c r="A1289" s="24" t="s">
        <v>138</v>
      </c>
      <c r="B1289" s="24" t="s">
        <v>324</v>
      </c>
      <c r="C1289" s="25">
        <v>45717</v>
      </c>
      <c r="D1289" s="24" t="s">
        <v>2659</v>
      </c>
      <c r="E1289" s="26">
        <v>0</v>
      </c>
      <c r="F1289" s="26">
        <v>0</v>
      </c>
      <c r="G1289" s="26">
        <v>0</v>
      </c>
      <c r="H1289" s="26">
        <v>0</v>
      </c>
    </row>
    <row r="1290" spans="1:8">
      <c r="A1290" s="24" t="s">
        <v>138</v>
      </c>
      <c r="B1290" s="24" t="s">
        <v>324</v>
      </c>
      <c r="C1290" s="25">
        <v>45748</v>
      </c>
      <c r="D1290" s="24" t="s">
        <v>2660</v>
      </c>
      <c r="E1290" s="26">
        <v>0</v>
      </c>
      <c r="F1290" s="26">
        <v>0</v>
      </c>
      <c r="G1290" s="26">
        <v>0</v>
      </c>
      <c r="H1290" s="26">
        <v>0</v>
      </c>
    </row>
    <row r="1291" spans="1:8">
      <c r="A1291" s="24" t="s">
        <v>138</v>
      </c>
      <c r="B1291" s="24" t="s">
        <v>324</v>
      </c>
      <c r="C1291" s="25">
        <v>45778</v>
      </c>
      <c r="D1291" s="24" t="s">
        <v>2661</v>
      </c>
      <c r="E1291" s="26">
        <v>0</v>
      </c>
      <c r="F1291" s="26">
        <v>0</v>
      </c>
      <c r="G1291" s="26">
        <v>0</v>
      </c>
      <c r="H1291" s="26">
        <v>0</v>
      </c>
    </row>
    <row r="1292" spans="1:8">
      <c r="A1292" s="24" t="s">
        <v>138</v>
      </c>
      <c r="B1292" s="24" t="s">
        <v>324</v>
      </c>
      <c r="C1292" s="25">
        <v>45809</v>
      </c>
      <c r="D1292" s="24" t="s">
        <v>2662</v>
      </c>
      <c r="E1292" s="26">
        <v>0</v>
      </c>
      <c r="F1292" s="26">
        <v>0</v>
      </c>
      <c r="G1292" s="26">
        <v>0</v>
      </c>
      <c r="H1292" s="26">
        <v>0</v>
      </c>
    </row>
    <row r="1293" spans="1:8">
      <c r="A1293" s="24" t="s">
        <v>138</v>
      </c>
      <c r="B1293" s="24" t="s">
        <v>324</v>
      </c>
      <c r="C1293" s="25">
        <v>45839</v>
      </c>
      <c r="D1293" s="24" t="s">
        <v>2663</v>
      </c>
      <c r="E1293" s="26">
        <v>0</v>
      </c>
      <c r="F1293" s="26">
        <v>0</v>
      </c>
      <c r="G1293" s="26">
        <v>0</v>
      </c>
      <c r="H1293" s="26">
        <v>0</v>
      </c>
    </row>
    <row r="1294" spans="1:8">
      <c r="A1294" s="24" t="s">
        <v>138</v>
      </c>
      <c r="B1294" s="24" t="s">
        <v>324</v>
      </c>
      <c r="C1294" s="25">
        <v>45870</v>
      </c>
      <c r="D1294" s="24" t="s">
        <v>2664</v>
      </c>
      <c r="E1294" s="26">
        <v>0</v>
      </c>
      <c r="F1294" s="26">
        <v>0</v>
      </c>
      <c r="G1294" s="26">
        <v>0</v>
      </c>
      <c r="H1294" s="26">
        <v>0</v>
      </c>
    </row>
    <row r="1295" spans="1:8">
      <c r="A1295" s="24" t="s">
        <v>138</v>
      </c>
      <c r="B1295" s="24" t="s">
        <v>324</v>
      </c>
      <c r="C1295" s="25">
        <v>45901</v>
      </c>
      <c r="D1295" s="24" t="s">
        <v>2665</v>
      </c>
      <c r="E1295" s="26">
        <v>0</v>
      </c>
      <c r="F1295" s="26">
        <v>65357.77</v>
      </c>
      <c r="G1295" s="26">
        <v>-65357.77</v>
      </c>
      <c r="H1295" s="26">
        <v>-65357.77</v>
      </c>
    </row>
    <row r="1296" spans="1:8">
      <c r="A1296" s="24" t="s">
        <v>138</v>
      </c>
      <c r="B1296" s="24" t="s">
        <v>324</v>
      </c>
      <c r="C1296" s="25">
        <v>45931</v>
      </c>
      <c r="D1296" s="24" t="s">
        <v>2666</v>
      </c>
      <c r="E1296" s="26">
        <v>0</v>
      </c>
      <c r="F1296" s="26">
        <v>98190.23</v>
      </c>
      <c r="G1296" s="26">
        <v>-98190.23</v>
      </c>
      <c r="H1296" s="26">
        <v>-163548</v>
      </c>
    </row>
    <row r="1297" spans="1:8">
      <c r="A1297" s="24" t="s">
        <v>138</v>
      </c>
      <c r="B1297" s="24" t="s">
        <v>324</v>
      </c>
      <c r="C1297" s="25">
        <v>45962</v>
      </c>
      <c r="D1297" s="24" t="s">
        <v>2667</v>
      </c>
      <c r="E1297" s="26">
        <v>0</v>
      </c>
      <c r="F1297" s="26">
        <v>0</v>
      </c>
      <c r="G1297" s="26">
        <v>0</v>
      </c>
      <c r="H1297" s="26">
        <v>-163548</v>
      </c>
    </row>
    <row r="1298" spans="1:8">
      <c r="A1298" s="24" t="s">
        <v>138</v>
      </c>
      <c r="B1298" s="24" t="s">
        <v>324</v>
      </c>
      <c r="C1298" s="25">
        <v>45992</v>
      </c>
      <c r="D1298" s="24" t="s">
        <v>2668</v>
      </c>
      <c r="E1298" s="26">
        <v>0</v>
      </c>
      <c r="F1298" s="26">
        <v>107830.64</v>
      </c>
      <c r="G1298" s="26">
        <v>-107830.64</v>
      </c>
      <c r="H1298" s="26">
        <v>-271378.64</v>
      </c>
    </row>
    <row r="1299" spans="1:8">
      <c r="A1299" s="24" t="s">
        <v>69</v>
      </c>
      <c r="B1299" s="24" t="s">
        <v>318</v>
      </c>
      <c r="C1299" s="25">
        <v>45658</v>
      </c>
      <c r="D1299" s="24" t="s">
        <v>2657</v>
      </c>
      <c r="E1299" s="26">
        <v>0</v>
      </c>
      <c r="F1299" s="26">
        <v>0</v>
      </c>
      <c r="G1299" s="26">
        <v>0</v>
      </c>
      <c r="H1299" s="26">
        <v>0</v>
      </c>
    </row>
    <row r="1300" spans="1:8">
      <c r="A1300" s="24" t="s">
        <v>69</v>
      </c>
      <c r="B1300" s="24" t="s">
        <v>318</v>
      </c>
      <c r="C1300" s="25">
        <v>45689</v>
      </c>
      <c r="D1300" s="24" t="s">
        <v>2658</v>
      </c>
      <c r="E1300" s="26">
        <v>0</v>
      </c>
      <c r="F1300" s="26">
        <v>0</v>
      </c>
      <c r="G1300" s="26">
        <v>0</v>
      </c>
      <c r="H1300" s="26">
        <v>0</v>
      </c>
    </row>
    <row r="1301" spans="1:8">
      <c r="A1301" s="24" t="s">
        <v>69</v>
      </c>
      <c r="B1301" s="24" t="s">
        <v>318</v>
      </c>
      <c r="C1301" s="25">
        <v>45717</v>
      </c>
      <c r="D1301" s="24" t="s">
        <v>2659</v>
      </c>
      <c r="E1301" s="26">
        <v>0</v>
      </c>
      <c r="F1301" s="26">
        <v>0</v>
      </c>
      <c r="G1301" s="26">
        <v>0</v>
      </c>
      <c r="H1301" s="26">
        <v>0</v>
      </c>
    </row>
    <row r="1302" spans="1:8">
      <c r="A1302" s="24" t="s">
        <v>69</v>
      </c>
      <c r="B1302" s="24" t="s">
        <v>318</v>
      </c>
      <c r="C1302" s="25">
        <v>45748</v>
      </c>
      <c r="D1302" s="24" t="s">
        <v>2660</v>
      </c>
      <c r="E1302" s="26">
        <v>0</v>
      </c>
      <c r="F1302" s="26">
        <v>0</v>
      </c>
      <c r="G1302" s="26">
        <v>0</v>
      </c>
      <c r="H1302" s="26">
        <v>0</v>
      </c>
    </row>
    <row r="1303" spans="1:8">
      <c r="A1303" s="24" t="s">
        <v>69</v>
      </c>
      <c r="B1303" s="24" t="s">
        <v>318</v>
      </c>
      <c r="C1303" s="25">
        <v>45778</v>
      </c>
      <c r="D1303" s="24" t="s">
        <v>2661</v>
      </c>
      <c r="E1303" s="26">
        <v>0</v>
      </c>
      <c r="F1303" s="26">
        <v>0</v>
      </c>
      <c r="G1303" s="26">
        <v>0</v>
      </c>
      <c r="H1303" s="26">
        <v>0</v>
      </c>
    </row>
    <row r="1304" spans="1:8">
      <c r="A1304" s="24" t="s">
        <v>69</v>
      </c>
      <c r="B1304" s="24" t="s">
        <v>318</v>
      </c>
      <c r="C1304" s="25">
        <v>45809</v>
      </c>
      <c r="D1304" s="24" t="s">
        <v>2662</v>
      </c>
      <c r="E1304" s="26">
        <v>0</v>
      </c>
      <c r="F1304" s="26">
        <v>0</v>
      </c>
      <c r="G1304" s="26">
        <v>0</v>
      </c>
      <c r="H1304" s="26">
        <v>0</v>
      </c>
    </row>
    <row r="1305" spans="1:8">
      <c r="A1305" s="24" t="s">
        <v>69</v>
      </c>
      <c r="B1305" s="24" t="s">
        <v>318</v>
      </c>
      <c r="C1305" s="25">
        <v>45839</v>
      </c>
      <c r="D1305" s="24" t="s">
        <v>2663</v>
      </c>
      <c r="E1305" s="26">
        <v>0</v>
      </c>
      <c r="F1305" s="26">
        <v>0</v>
      </c>
      <c r="G1305" s="26">
        <v>0</v>
      </c>
      <c r="H1305" s="26">
        <v>0</v>
      </c>
    </row>
    <row r="1306" spans="1:8">
      <c r="A1306" s="24" t="s">
        <v>69</v>
      </c>
      <c r="B1306" s="24" t="s">
        <v>318</v>
      </c>
      <c r="C1306" s="25">
        <v>45870</v>
      </c>
      <c r="D1306" s="24" t="s">
        <v>2664</v>
      </c>
      <c r="E1306" s="26">
        <v>0</v>
      </c>
      <c r="F1306" s="26">
        <v>0</v>
      </c>
      <c r="G1306" s="26">
        <v>0</v>
      </c>
      <c r="H1306" s="26">
        <v>0</v>
      </c>
    </row>
    <row r="1307" spans="1:8">
      <c r="A1307" s="24" t="s">
        <v>69</v>
      </c>
      <c r="B1307" s="24" t="s">
        <v>318</v>
      </c>
      <c r="C1307" s="25">
        <v>45901</v>
      </c>
      <c r="D1307" s="24" t="s">
        <v>2665</v>
      </c>
      <c r="E1307" s="26">
        <v>0</v>
      </c>
      <c r="F1307" s="26">
        <v>0</v>
      </c>
      <c r="G1307" s="26">
        <v>0</v>
      </c>
      <c r="H1307" s="26">
        <v>0</v>
      </c>
    </row>
    <row r="1308" spans="1:8">
      <c r="A1308" s="24" t="s">
        <v>69</v>
      </c>
      <c r="B1308" s="24" t="s">
        <v>318</v>
      </c>
      <c r="C1308" s="25">
        <v>45931</v>
      </c>
      <c r="D1308" s="24" t="s">
        <v>2666</v>
      </c>
      <c r="E1308" s="26">
        <v>0</v>
      </c>
      <c r="F1308" s="26">
        <v>70404.41</v>
      </c>
      <c r="G1308" s="26">
        <v>-70404.41</v>
      </c>
      <c r="H1308" s="26">
        <v>-70404.41</v>
      </c>
    </row>
    <row r="1309" spans="1:8">
      <c r="A1309" s="24" t="s">
        <v>69</v>
      </c>
      <c r="B1309" s="24" t="s">
        <v>318</v>
      </c>
      <c r="C1309" s="25">
        <v>45962</v>
      </c>
      <c r="D1309" s="24" t="s">
        <v>2667</v>
      </c>
      <c r="E1309" s="26">
        <v>0</v>
      </c>
      <c r="F1309" s="26">
        <v>134866.99</v>
      </c>
      <c r="G1309" s="26">
        <v>-134866.99</v>
      </c>
      <c r="H1309" s="26">
        <v>-205271.4</v>
      </c>
    </row>
    <row r="1310" spans="1:8">
      <c r="A1310" s="24" t="s">
        <v>69</v>
      </c>
      <c r="B1310" s="24" t="s">
        <v>318</v>
      </c>
      <c r="C1310" s="25">
        <v>45992</v>
      </c>
      <c r="D1310" s="24" t="s">
        <v>2668</v>
      </c>
      <c r="E1310" s="26">
        <v>0</v>
      </c>
      <c r="F1310" s="26">
        <v>102290.68</v>
      </c>
      <c r="G1310" s="26">
        <v>-102290.68</v>
      </c>
      <c r="H1310" s="26">
        <v>-307562.08</v>
      </c>
    </row>
    <row r="1311" spans="1:8">
      <c r="A1311" s="24" t="s">
        <v>204</v>
      </c>
      <c r="B1311" s="24" t="s">
        <v>318</v>
      </c>
      <c r="C1311" s="25">
        <v>45658</v>
      </c>
      <c r="D1311" s="24" t="s">
        <v>2657</v>
      </c>
      <c r="E1311" s="26">
        <v>0</v>
      </c>
      <c r="F1311" s="26">
        <v>0</v>
      </c>
      <c r="G1311" s="26">
        <v>0</v>
      </c>
      <c r="H1311" s="26">
        <v>0</v>
      </c>
    </row>
    <row r="1312" spans="1:8">
      <c r="A1312" s="24" t="s">
        <v>204</v>
      </c>
      <c r="B1312" s="24" t="s">
        <v>318</v>
      </c>
      <c r="C1312" s="25">
        <v>45689</v>
      </c>
      <c r="D1312" s="24" t="s">
        <v>2658</v>
      </c>
      <c r="E1312" s="26">
        <v>0</v>
      </c>
      <c r="F1312" s="26">
        <v>0</v>
      </c>
      <c r="G1312" s="26">
        <v>0</v>
      </c>
      <c r="H1312" s="26">
        <v>0</v>
      </c>
    </row>
    <row r="1313" spans="1:8">
      <c r="A1313" s="24" t="s">
        <v>204</v>
      </c>
      <c r="B1313" s="24" t="s">
        <v>318</v>
      </c>
      <c r="C1313" s="25">
        <v>45717</v>
      </c>
      <c r="D1313" s="24" t="s">
        <v>2659</v>
      </c>
      <c r="E1313" s="26">
        <v>0</v>
      </c>
      <c r="F1313" s="26">
        <v>0</v>
      </c>
      <c r="G1313" s="26">
        <v>0</v>
      </c>
      <c r="H1313" s="26">
        <v>0</v>
      </c>
    </row>
    <row r="1314" spans="1:8">
      <c r="A1314" s="24" t="s">
        <v>204</v>
      </c>
      <c r="B1314" s="24" t="s">
        <v>318</v>
      </c>
      <c r="C1314" s="25">
        <v>45748</v>
      </c>
      <c r="D1314" s="24" t="s">
        <v>2660</v>
      </c>
      <c r="E1314" s="26">
        <v>0</v>
      </c>
      <c r="F1314" s="26">
        <v>0</v>
      </c>
      <c r="G1314" s="26">
        <v>0</v>
      </c>
      <c r="H1314" s="26">
        <v>0</v>
      </c>
    </row>
    <row r="1315" spans="1:8">
      <c r="A1315" s="24" t="s">
        <v>204</v>
      </c>
      <c r="B1315" s="24" t="s">
        <v>318</v>
      </c>
      <c r="C1315" s="25">
        <v>45778</v>
      </c>
      <c r="D1315" s="24" t="s">
        <v>2661</v>
      </c>
      <c r="E1315" s="26">
        <v>0</v>
      </c>
      <c r="F1315" s="26">
        <v>0</v>
      </c>
      <c r="G1315" s="26">
        <v>0</v>
      </c>
      <c r="H1315" s="26">
        <v>0</v>
      </c>
    </row>
    <row r="1316" spans="1:8">
      <c r="A1316" s="24" t="s">
        <v>204</v>
      </c>
      <c r="B1316" s="24" t="s">
        <v>318</v>
      </c>
      <c r="C1316" s="25">
        <v>45809</v>
      </c>
      <c r="D1316" s="24" t="s">
        <v>2662</v>
      </c>
      <c r="E1316" s="26">
        <v>0</v>
      </c>
      <c r="F1316" s="26">
        <v>0</v>
      </c>
      <c r="G1316" s="26">
        <v>0</v>
      </c>
      <c r="H1316" s="26">
        <v>0</v>
      </c>
    </row>
    <row r="1317" spans="1:8">
      <c r="A1317" s="24" t="s">
        <v>204</v>
      </c>
      <c r="B1317" s="24" t="s">
        <v>318</v>
      </c>
      <c r="C1317" s="25">
        <v>45839</v>
      </c>
      <c r="D1317" s="24" t="s">
        <v>2663</v>
      </c>
      <c r="E1317" s="26">
        <v>0</v>
      </c>
      <c r="F1317" s="26">
        <v>0</v>
      </c>
      <c r="G1317" s="26">
        <v>0</v>
      </c>
      <c r="H1317" s="26">
        <v>0</v>
      </c>
    </row>
    <row r="1318" spans="1:8">
      <c r="A1318" s="24" t="s">
        <v>204</v>
      </c>
      <c r="B1318" s="24" t="s">
        <v>318</v>
      </c>
      <c r="C1318" s="25">
        <v>45870</v>
      </c>
      <c r="D1318" s="24" t="s">
        <v>2664</v>
      </c>
      <c r="E1318" s="26">
        <v>0</v>
      </c>
      <c r="F1318" s="26">
        <v>155447.51999999999</v>
      </c>
      <c r="G1318" s="26">
        <v>-155447.51999999999</v>
      </c>
      <c r="H1318" s="26">
        <v>-155447.51999999999</v>
      </c>
    </row>
    <row r="1319" spans="1:8">
      <c r="A1319" s="24" t="s">
        <v>204</v>
      </c>
      <c r="B1319" s="24" t="s">
        <v>318</v>
      </c>
      <c r="C1319" s="25">
        <v>45901</v>
      </c>
      <c r="D1319" s="24" t="s">
        <v>2665</v>
      </c>
      <c r="E1319" s="26">
        <v>0</v>
      </c>
      <c r="F1319" s="26">
        <v>0</v>
      </c>
      <c r="G1319" s="26">
        <v>0</v>
      </c>
      <c r="H1319" s="26">
        <v>-155447.51999999999</v>
      </c>
    </row>
    <row r="1320" spans="1:8">
      <c r="A1320" s="24" t="s">
        <v>204</v>
      </c>
      <c r="B1320" s="24" t="s">
        <v>318</v>
      </c>
      <c r="C1320" s="25">
        <v>45931</v>
      </c>
      <c r="D1320" s="24" t="s">
        <v>2666</v>
      </c>
      <c r="E1320" s="26">
        <v>0</v>
      </c>
      <c r="F1320" s="26">
        <v>0</v>
      </c>
      <c r="G1320" s="26">
        <v>0</v>
      </c>
      <c r="H1320" s="26">
        <v>-155447.51999999999</v>
      </c>
    </row>
    <row r="1321" spans="1:8">
      <c r="A1321" s="24" t="s">
        <v>204</v>
      </c>
      <c r="B1321" s="24" t="s">
        <v>318</v>
      </c>
      <c r="C1321" s="25">
        <v>45962</v>
      </c>
      <c r="D1321" s="24" t="s">
        <v>2667</v>
      </c>
      <c r="E1321" s="26">
        <v>0</v>
      </c>
      <c r="F1321" s="26">
        <v>13713.31</v>
      </c>
      <c r="G1321" s="26">
        <v>-13713.31</v>
      </c>
      <c r="H1321" s="26">
        <v>-169160.83</v>
      </c>
    </row>
    <row r="1322" spans="1:8">
      <c r="A1322" s="24" t="s">
        <v>204</v>
      </c>
      <c r="B1322" s="24" t="s">
        <v>318</v>
      </c>
      <c r="C1322" s="25">
        <v>45992</v>
      </c>
      <c r="D1322" s="24" t="s">
        <v>2668</v>
      </c>
      <c r="E1322" s="26">
        <v>0</v>
      </c>
      <c r="F1322" s="26">
        <v>0</v>
      </c>
      <c r="G1322" s="26">
        <v>0</v>
      </c>
      <c r="H1322" s="26">
        <v>-169160.83</v>
      </c>
    </row>
    <row r="1323" spans="1:8">
      <c r="A1323" s="24" t="s">
        <v>82</v>
      </c>
      <c r="B1323" s="24" t="s">
        <v>337</v>
      </c>
      <c r="C1323" s="25">
        <v>45658</v>
      </c>
      <c r="D1323" s="24" t="s">
        <v>2657</v>
      </c>
      <c r="E1323" s="26">
        <v>0</v>
      </c>
      <c r="F1323" s="26">
        <v>0</v>
      </c>
      <c r="G1323" s="26">
        <v>0</v>
      </c>
      <c r="H1323" s="26">
        <v>0</v>
      </c>
    </row>
    <row r="1324" spans="1:8">
      <c r="A1324" s="24" t="s">
        <v>82</v>
      </c>
      <c r="B1324" s="24" t="s">
        <v>337</v>
      </c>
      <c r="C1324" s="25">
        <v>45689</v>
      </c>
      <c r="D1324" s="24" t="s">
        <v>2658</v>
      </c>
      <c r="E1324" s="26">
        <v>0</v>
      </c>
      <c r="F1324" s="26">
        <v>0</v>
      </c>
      <c r="G1324" s="26">
        <v>0</v>
      </c>
      <c r="H1324" s="26">
        <v>0</v>
      </c>
    </row>
    <row r="1325" spans="1:8">
      <c r="A1325" s="24" t="s">
        <v>82</v>
      </c>
      <c r="B1325" s="24" t="s">
        <v>337</v>
      </c>
      <c r="C1325" s="25">
        <v>45717</v>
      </c>
      <c r="D1325" s="24" t="s">
        <v>2659</v>
      </c>
      <c r="E1325" s="26">
        <v>0</v>
      </c>
      <c r="F1325" s="26">
        <v>0</v>
      </c>
      <c r="G1325" s="26">
        <v>0</v>
      </c>
      <c r="H1325" s="26">
        <v>0</v>
      </c>
    </row>
    <row r="1326" spans="1:8">
      <c r="A1326" s="24" t="s">
        <v>82</v>
      </c>
      <c r="B1326" s="24" t="s">
        <v>337</v>
      </c>
      <c r="C1326" s="25">
        <v>45748</v>
      </c>
      <c r="D1326" s="24" t="s">
        <v>2660</v>
      </c>
      <c r="E1326" s="26">
        <v>0</v>
      </c>
      <c r="F1326" s="26">
        <v>0</v>
      </c>
      <c r="G1326" s="26">
        <v>0</v>
      </c>
      <c r="H1326" s="26">
        <v>0</v>
      </c>
    </row>
    <row r="1327" spans="1:8">
      <c r="A1327" s="24" t="s">
        <v>82</v>
      </c>
      <c r="B1327" s="24" t="s">
        <v>337</v>
      </c>
      <c r="C1327" s="25">
        <v>45778</v>
      </c>
      <c r="D1327" s="24" t="s">
        <v>2661</v>
      </c>
      <c r="E1327" s="26">
        <v>0</v>
      </c>
      <c r="F1327" s="26">
        <v>0</v>
      </c>
      <c r="G1327" s="26">
        <v>0</v>
      </c>
      <c r="H1327" s="26">
        <v>0</v>
      </c>
    </row>
    <row r="1328" spans="1:8">
      <c r="A1328" s="24" t="s">
        <v>82</v>
      </c>
      <c r="B1328" s="24" t="s">
        <v>337</v>
      </c>
      <c r="C1328" s="25">
        <v>45809</v>
      </c>
      <c r="D1328" s="24" t="s">
        <v>2662</v>
      </c>
      <c r="E1328" s="26">
        <v>0</v>
      </c>
      <c r="F1328" s="26">
        <v>0</v>
      </c>
      <c r="G1328" s="26">
        <v>0</v>
      </c>
      <c r="H1328" s="26">
        <v>0</v>
      </c>
    </row>
    <row r="1329" spans="1:8">
      <c r="A1329" s="24" t="s">
        <v>82</v>
      </c>
      <c r="B1329" s="24" t="s">
        <v>337</v>
      </c>
      <c r="C1329" s="25">
        <v>45839</v>
      </c>
      <c r="D1329" s="24" t="s">
        <v>2663</v>
      </c>
      <c r="E1329" s="26">
        <v>0</v>
      </c>
      <c r="F1329" s="26">
        <v>116535.73</v>
      </c>
      <c r="G1329" s="26">
        <v>-116535.73</v>
      </c>
      <c r="H1329" s="26">
        <v>-116535.73</v>
      </c>
    </row>
    <row r="1330" spans="1:8">
      <c r="A1330" s="24" t="s">
        <v>82</v>
      </c>
      <c r="B1330" s="24" t="s">
        <v>337</v>
      </c>
      <c r="C1330" s="25">
        <v>45870</v>
      </c>
      <c r="D1330" s="24" t="s">
        <v>2664</v>
      </c>
      <c r="E1330" s="26">
        <v>0</v>
      </c>
      <c r="F1330" s="26">
        <v>0</v>
      </c>
      <c r="G1330" s="26">
        <v>0</v>
      </c>
      <c r="H1330" s="26">
        <v>-116535.73</v>
      </c>
    </row>
    <row r="1331" spans="1:8">
      <c r="A1331" s="24" t="s">
        <v>82</v>
      </c>
      <c r="B1331" s="24" t="s">
        <v>337</v>
      </c>
      <c r="C1331" s="25">
        <v>45901</v>
      </c>
      <c r="D1331" s="24" t="s">
        <v>2665</v>
      </c>
      <c r="E1331" s="26">
        <v>0</v>
      </c>
      <c r="F1331" s="26">
        <v>0</v>
      </c>
      <c r="G1331" s="26">
        <v>0</v>
      </c>
      <c r="H1331" s="26">
        <v>-116535.73</v>
      </c>
    </row>
    <row r="1332" spans="1:8">
      <c r="A1332" s="24" t="s">
        <v>82</v>
      </c>
      <c r="B1332" s="24" t="s">
        <v>337</v>
      </c>
      <c r="C1332" s="25">
        <v>45931</v>
      </c>
      <c r="D1332" s="24" t="s">
        <v>2666</v>
      </c>
      <c r="E1332" s="26">
        <v>0</v>
      </c>
      <c r="F1332" s="26">
        <v>0</v>
      </c>
      <c r="G1332" s="26">
        <v>0</v>
      </c>
      <c r="H1332" s="26">
        <v>-116535.73</v>
      </c>
    </row>
    <row r="1333" spans="1:8">
      <c r="A1333" s="24" t="s">
        <v>82</v>
      </c>
      <c r="B1333" s="24" t="s">
        <v>337</v>
      </c>
      <c r="C1333" s="25">
        <v>45962</v>
      </c>
      <c r="D1333" s="24" t="s">
        <v>2667</v>
      </c>
      <c r="E1333" s="26">
        <v>0</v>
      </c>
      <c r="F1333" s="26">
        <v>0</v>
      </c>
      <c r="G1333" s="26">
        <v>0</v>
      </c>
      <c r="H1333" s="26">
        <v>-116535.73</v>
      </c>
    </row>
    <row r="1334" spans="1:8">
      <c r="A1334" s="24" t="s">
        <v>82</v>
      </c>
      <c r="B1334" s="24" t="s">
        <v>337</v>
      </c>
      <c r="C1334" s="25">
        <v>45992</v>
      </c>
      <c r="D1334" s="24" t="s">
        <v>2668</v>
      </c>
      <c r="E1334" s="26">
        <v>0</v>
      </c>
      <c r="F1334" s="26">
        <v>45232.78</v>
      </c>
      <c r="G1334" s="26">
        <v>-45232.78</v>
      </c>
      <c r="H1334" s="26">
        <v>-161768.51</v>
      </c>
    </row>
    <row r="1335" spans="1:8">
      <c r="A1335" s="24" t="s">
        <v>227</v>
      </c>
      <c r="B1335" s="24" t="s">
        <v>329</v>
      </c>
      <c r="C1335" s="25">
        <v>45658</v>
      </c>
      <c r="D1335" s="24" t="s">
        <v>2657</v>
      </c>
      <c r="E1335" s="26">
        <v>0</v>
      </c>
      <c r="F1335" s="26">
        <v>0</v>
      </c>
      <c r="G1335" s="26">
        <v>0</v>
      </c>
      <c r="H1335" s="26">
        <v>0</v>
      </c>
    </row>
    <row r="1336" spans="1:8">
      <c r="A1336" s="24" t="s">
        <v>227</v>
      </c>
      <c r="B1336" s="24" t="s">
        <v>329</v>
      </c>
      <c r="C1336" s="25">
        <v>45689</v>
      </c>
      <c r="D1336" s="24" t="s">
        <v>2658</v>
      </c>
      <c r="E1336" s="26">
        <v>0</v>
      </c>
      <c r="F1336" s="26">
        <v>0</v>
      </c>
      <c r="G1336" s="26">
        <v>0</v>
      </c>
      <c r="H1336" s="26">
        <v>0</v>
      </c>
    </row>
    <row r="1337" spans="1:8">
      <c r="A1337" s="24" t="s">
        <v>227</v>
      </c>
      <c r="B1337" s="24" t="s">
        <v>329</v>
      </c>
      <c r="C1337" s="25">
        <v>45717</v>
      </c>
      <c r="D1337" s="24" t="s">
        <v>2659</v>
      </c>
      <c r="E1337" s="26">
        <v>0</v>
      </c>
      <c r="F1337" s="26">
        <v>0</v>
      </c>
      <c r="G1337" s="26">
        <v>0</v>
      </c>
      <c r="H1337" s="26">
        <v>0</v>
      </c>
    </row>
    <row r="1338" spans="1:8">
      <c r="A1338" s="24" t="s">
        <v>227</v>
      </c>
      <c r="B1338" s="24" t="s">
        <v>329</v>
      </c>
      <c r="C1338" s="25">
        <v>45748</v>
      </c>
      <c r="D1338" s="24" t="s">
        <v>2660</v>
      </c>
      <c r="E1338" s="26">
        <v>0</v>
      </c>
      <c r="F1338" s="26">
        <v>0</v>
      </c>
      <c r="G1338" s="26">
        <v>0</v>
      </c>
      <c r="H1338" s="26">
        <v>0</v>
      </c>
    </row>
    <row r="1339" spans="1:8">
      <c r="A1339" s="24" t="s">
        <v>227</v>
      </c>
      <c r="B1339" s="24" t="s">
        <v>329</v>
      </c>
      <c r="C1339" s="25">
        <v>45778</v>
      </c>
      <c r="D1339" s="24" t="s">
        <v>2661</v>
      </c>
      <c r="E1339" s="26">
        <v>0</v>
      </c>
      <c r="F1339" s="26">
        <v>0</v>
      </c>
      <c r="G1339" s="26">
        <v>0</v>
      </c>
      <c r="H1339" s="26">
        <v>0</v>
      </c>
    </row>
    <row r="1340" spans="1:8">
      <c r="A1340" s="24" t="s">
        <v>227</v>
      </c>
      <c r="B1340" s="24" t="s">
        <v>329</v>
      </c>
      <c r="C1340" s="25">
        <v>45809</v>
      </c>
      <c r="D1340" s="24" t="s">
        <v>2662</v>
      </c>
      <c r="E1340" s="26">
        <v>0</v>
      </c>
      <c r="F1340" s="26">
        <v>0</v>
      </c>
      <c r="G1340" s="26">
        <v>0</v>
      </c>
      <c r="H1340" s="26">
        <v>0</v>
      </c>
    </row>
    <row r="1341" spans="1:8">
      <c r="A1341" s="24" t="s">
        <v>227</v>
      </c>
      <c r="B1341" s="24" t="s">
        <v>329</v>
      </c>
      <c r="C1341" s="25">
        <v>45839</v>
      </c>
      <c r="D1341" s="24" t="s">
        <v>2663</v>
      </c>
      <c r="E1341" s="26">
        <v>0</v>
      </c>
      <c r="F1341" s="26">
        <v>0</v>
      </c>
      <c r="G1341" s="26">
        <v>0</v>
      </c>
      <c r="H1341" s="26">
        <v>0</v>
      </c>
    </row>
    <row r="1342" spans="1:8">
      <c r="A1342" s="24" t="s">
        <v>227</v>
      </c>
      <c r="B1342" s="24" t="s">
        <v>329</v>
      </c>
      <c r="C1342" s="25">
        <v>45870</v>
      </c>
      <c r="D1342" s="24" t="s">
        <v>2664</v>
      </c>
      <c r="E1342" s="26">
        <v>0</v>
      </c>
      <c r="F1342" s="26">
        <v>0</v>
      </c>
      <c r="G1342" s="26">
        <v>0</v>
      </c>
      <c r="H1342" s="26">
        <v>0</v>
      </c>
    </row>
    <row r="1343" spans="1:8">
      <c r="A1343" s="24" t="s">
        <v>227</v>
      </c>
      <c r="B1343" s="24" t="s">
        <v>329</v>
      </c>
      <c r="C1343" s="25">
        <v>45901</v>
      </c>
      <c r="D1343" s="24" t="s">
        <v>2665</v>
      </c>
      <c r="E1343" s="26">
        <v>0</v>
      </c>
      <c r="F1343" s="26">
        <v>8589.44</v>
      </c>
      <c r="G1343" s="26">
        <v>-8589.44</v>
      </c>
      <c r="H1343" s="26">
        <v>-8589.44</v>
      </c>
    </row>
    <row r="1344" spans="1:8">
      <c r="A1344" s="24" t="s">
        <v>227</v>
      </c>
      <c r="B1344" s="24" t="s">
        <v>329</v>
      </c>
      <c r="C1344" s="25">
        <v>45931</v>
      </c>
      <c r="D1344" s="24" t="s">
        <v>2666</v>
      </c>
      <c r="E1344" s="26">
        <v>0</v>
      </c>
      <c r="F1344" s="26">
        <v>0</v>
      </c>
      <c r="G1344" s="26">
        <v>0</v>
      </c>
      <c r="H1344" s="26">
        <v>-8589.44</v>
      </c>
    </row>
    <row r="1345" spans="1:8">
      <c r="A1345" s="24" t="s">
        <v>227</v>
      </c>
      <c r="B1345" s="24" t="s">
        <v>329</v>
      </c>
      <c r="C1345" s="25">
        <v>45962</v>
      </c>
      <c r="D1345" s="24" t="s">
        <v>2667</v>
      </c>
      <c r="E1345" s="26">
        <v>0</v>
      </c>
      <c r="F1345" s="26">
        <v>0</v>
      </c>
      <c r="G1345" s="26">
        <v>0</v>
      </c>
      <c r="H1345" s="26">
        <v>-8589.44</v>
      </c>
    </row>
    <row r="1346" spans="1:8">
      <c r="A1346" s="24" t="s">
        <v>227</v>
      </c>
      <c r="B1346" s="24" t="s">
        <v>329</v>
      </c>
      <c r="C1346" s="25">
        <v>45992</v>
      </c>
      <c r="D1346" s="24" t="s">
        <v>2668</v>
      </c>
      <c r="E1346" s="26">
        <v>0</v>
      </c>
      <c r="F1346" s="26">
        <v>0</v>
      </c>
      <c r="G1346" s="26">
        <v>0</v>
      </c>
      <c r="H1346" s="26">
        <v>-8589.44</v>
      </c>
    </row>
    <row r="1347" spans="1:8">
      <c r="A1347" s="24" t="s">
        <v>164</v>
      </c>
      <c r="B1347" s="24" t="s">
        <v>329</v>
      </c>
      <c r="C1347" s="25">
        <v>45658</v>
      </c>
      <c r="D1347" s="24" t="s">
        <v>2657</v>
      </c>
      <c r="E1347" s="26">
        <v>0</v>
      </c>
      <c r="F1347" s="26">
        <v>0</v>
      </c>
      <c r="G1347" s="26">
        <v>0</v>
      </c>
      <c r="H1347" s="26">
        <v>0</v>
      </c>
    </row>
    <row r="1348" spans="1:8">
      <c r="A1348" s="24" t="s">
        <v>164</v>
      </c>
      <c r="B1348" s="24" t="s">
        <v>329</v>
      </c>
      <c r="C1348" s="25">
        <v>45689</v>
      </c>
      <c r="D1348" s="24" t="s">
        <v>2658</v>
      </c>
      <c r="E1348" s="26">
        <v>0</v>
      </c>
      <c r="F1348" s="26">
        <v>0</v>
      </c>
      <c r="G1348" s="26">
        <v>0</v>
      </c>
      <c r="H1348" s="26">
        <v>0</v>
      </c>
    </row>
    <row r="1349" spans="1:8">
      <c r="A1349" s="24" t="s">
        <v>164</v>
      </c>
      <c r="B1349" s="24" t="s">
        <v>329</v>
      </c>
      <c r="C1349" s="25">
        <v>45717</v>
      </c>
      <c r="D1349" s="24" t="s">
        <v>2659</v>
      </c>
      <c r="E1349" s="26">
        <v>0</v>
      </c>
      <c r="F1349" s="26">
        <v>0</v>
      </c>
      <c r="G1349" s="26">
        <v>0</v>
      </c>
      <c r="H1349" s="26">
        <v>0</v>
      </c>
    </row>
    <row r="1350" spans="1:8">
      <c r="A1350" s="24" t="s">
        <v>164</v>
      </c>
      <c r="B1350" s="24" t="s">
        <v>329</v>
      </c>
      <c r="C1350" s="25">
        <v>45748</v>
      </c>
      <c r="D1350" s="24" t="s">
        <v>2660</v>
      </c>
      <c r="E1350" s="26">
        <v>0</v>
      </c>
      <c r="F1350" s="26">
        <v>0</v>
      </c>
      <c r="G1350" s="26">
        <v>0</v>
      </c>
      <c r="H1350" s="26">
        <v>0</v>
      </c>
    </row>
    <row r="1351" spans="1:8">
      <c r="A1351" s="24" t="s">
        <v>164</v>
      </c>
      <c r="B1351" s="24" t="s">
        <v>329</v>
      </c>
      <c r="C1351" s="25">
        <v>45778</v>
      </c>
      <c r="D1351" s="24" t="s">
        <v>2661</v>
      </c>
      <c r="E1351" s="26">
        <v>0</v>
      </c>
      <c r="F1351" s="26">
        <v>0</v>
      </c>
      <c r="G1351" s="26">
        <v>0</v>
      </c>
      <c r="H1351" s="26">
        <v>0</v>
      </c>
    </row>
    <row r="1352" spans="1:8">
      <c r="A1352" s="24" t="s">
        <v>164</v>
      </c>
      <c r="B1352" s="24" t="s">
        <v>329</v>
      </c>
      <c r="C1352" s="25">
        <v>45809</v>
      </c>
      <c r="D1352" s="24" t="s">
        <v>2662</v>
      </c>
      <c r="E1352" s="26">
        <v>0</v>
      </c>
      <c r="F1352" s="26">
        <v>0</v>
      </c>
      <c r="G1352" s="26">
        <v>0</v>
      </c>
      <c r="H1352" s="26">
        <v>0</v>
      </c>
    </row>
    <row r="1353" spans="1:8">
      <c r="A1353" s="24" t="s">
        <v>164</v>
      </c>
      <c r="B1353" s="24" t="s">
        <v>329</v>
      </c>
      <c r="C1353" s="25">
        <v>45839</v>
      </c>
      <c r="D1353" s="24" t="s">
        <v>2663</v>
      </c>
      <c r="E1353" s="26">
        <v>0</v>
      </c>
      <c r="F1353" s="26">
        <v>0</v>
      </c>
      <c r="G1353" s="26">
        <v>0</v>
      </c>
      <c r="H1353" s="26">
        <v>0</v>
      </c>
    </row>
    <row r="1354" spans="1:8">
      <c r="A1354" s="24" t="s">
        <v>164</v>
      </c>
      <c r="B1354" s="24" t="s">
        <v>329</v>
      </c>
      <c r="C1354" s="25">
        <v>45870</v>
      </c>
      <c r="D1354" s="24" t="s">
        <v>2664</v>
      </c>
      <c r="E1354" s="26">
        <v>0</v>
      </c>
      <c r="F1354" s="26">
        <v>0</v>
      </c>
      <c r="G1354" s="26">
        <v>0</v>
      </c>
      <c r="H1354" s="26">
        <v>0</v>
      </c>
    </row>
    <row r="1355" spans="1:8">
      <c r="A1355" s="24" t="s">
        <v>164</v>
      </c>
      <c r="B1355" s="24" t="s">
        <v>329</v>
      </c>
      <c r="C1355" s="25">
        <v>45901</v>
      </c>
      <c r="D1355" s="24" t="s">
        <v>2665</v>
      </c>
      <c r="E1355" s="26">
        <v>0</v>
      </c>
      <c r="F1355" s="26">
        <v>0</v>
      </c>
      <c r="G1355" s="26">
        <v>0</v>
      </c>
      <c r="H1355" s="26">
        <v>0</v>
      </c>
    </row>
    <row r="1356" spans="1:8">
      <c r="A1356" s="24" t="s">
        <v>164</v>
      </c>
      <c r="B1356" s="24" t="s">
        <v>329</v>
      </c>
      <c r="C1356" s="25">
        <v>45931</v>
      </c>
      <c r="D1356" s="24" t="s">
        <v>2666</v>
      </c>
      <c r="E1356" s="26">
        <v>0</v>
      </c>
      <c r="F1356" s="26">
        <v>0</v>
      </c>
      <c r="G1356" s="26">
        <v>0</v>
      </c>
      <c r="H1356" s="26">
        <v>0</v>
      </c>
    </row>
    <row r="1357" spans="1:8">
      <c r="A1357" s="24" t="s">
        <v>164</v>
      </c>
      <c r="B1357" s="24" t="s">
        <v>329</v>
      </c>
      <c r="C1357" s="25">
        <v>45962</v>
      </c>
      <c r="D1357" s="24" t="s">
        <v>2667</v>
      </c>
      <c r="E1357" s="26">
        <v>0</v>
      </c>
      <c r="F1357" s="26">
        <v>113989.06</v>
      </c>
      <c r="G1357" s="26">
        <v>-113989.06</v>
      </c>
      <c r="H1357" s="26">
        <v>-113989.06</v>
      </c>
    </row>
    <row r="1358" spans="1:8">
      <c r="A1358" s="24" t="s">
        <v>164</v>
      </c>
      <c r="B1358" s="24" t="s">
        <v>329</v>
      </c>
      <c r="C1358" s="25">
        <v>45992</v>
      </c>
      <c r="D1358" s="24" t="s">
        <v>2668</v>
      </c>
      <c r="E1358" s="26">
        <v>0</v>
      </c>
      <c r="F1358" s="26">
        <v>0</v>
      </c>
      <c r="G1358" s="26">
        <v>0</v>
      </c>
      <c r="H1358" s="26">
        <v>-113989.06</v>
      </c>
    </row>
    <row r="1359" spans="1:8">
      <c r="A1359" s="24" t="s">
        <v>112</v>
      </c>
      <c r="B1359" s="24" t="s">
        <v>345</v>
      </c>
      <c r="C1359" s="25">
        <v>45658</v>
      </c>
      <c r="D1359" s="24" t="s">
        <v>2657</v>
      </c>
      <c r="E1359" s="26">
        <v>0</v>
      </c>
      <c r="F1359" s="26">
        <v>0</v>
      </c>
      <c r="G1359" s="26">
        <v>0</v>
      </c>
      <c r="H1359" s="26">
        <v>0</v>
      </c>
    </row>
    <row r="1360" spans="1:8">
      <c r="A1360" s="24" t="s">
        <v>112</v>
      </c>
      <c r="B1360" s="24" t="s">
        <v>345</v>
      </c>
      <c r="C1360" s="25">
        <v>45689</v>
      </c>
      <c r="D1360" s="24" t="s">
        <v>2658</v>
      </c>
      <c r="E1360" s="26">
        <v>0</v>
      </c>
      <c r="F1360" s="26">
        <v>0</v>
      </c>
      <c r="G1360" s="26">
        <v>0</v>
      </c>
      <c r="H1360" s="26">
        <v>0</v>
      </c>
    </row>
    <row r="1361" spans="1:8">
      <c r="A1361" s="24" t="s">
        <v>112</v>
      </c>
      <c r="B1361" s="24" t="s">
        <v>345</v>
      </c>
      <c r="C1361" s="25">
        <v>45717</v>
      </c>
      <c r="D1361" s="24" t="s">
        <v>2659</v>
      </c>
      <c r="E1361" s="26">
        <v>0</v>
      </c>
      <c r="F1361" s="26">
        <v>0</v>
      </c>
      <c r="G1361" s="26">
        <v>0</v>
      </c>
      <c r="H1361" s="26">
        <v>0</v>
      </c>
    </row>
    <row r="1362" spans="1:8">
      <c r="A1362" s="24" t="s">
        <v>112</v>
      </c>
      <c r="B1362" s="24" t="s">
        <v>345</v>
      </c>
      <c r="C1362" s="25">
        <v>45748</v>
      </c>
      <c r="D1362" s="24" t="s">
        <v>2660</v>
      </c>
      <c r="E1362" s="26">
        <v>0</v>
      </c>
      <c r="F1362" s="26">
        <v>0</v>
      </c>
      <c r="G1362" s="26">
        <v>0</v>
      </c>
      <c r="H1362" s="26">
        <v>0</v>
      </c>
    </row>
    <row r="1363" spans="1:8">
      <c r="A1363" s="24" t="s">
        <v>112</v>
      </c>
      <c r="B1363" s="24" t="s">
        <v>345</v>
      </c>
      <c r="C1363" s="25">
        <v>45778</v>
      </c>
      <c r="D1363" s="24" t="s">
        <v>2661</v>
      </c>
      <c r="E1363" s="26">
        <v>0</v>
      </c>
      <c r="F1363" s="26">
        <v>0</v>
      </c>
      <c r="G1363" s="26">
        <v>0</v>
      </c>
      <c r="H1363" s="26">
        <v>0</v>
      </c>
    </row>
    <row r="1364" spans="1:8">
      <c r="A1364" s="24" t="s">
        <v>112</v>
      </c>
      <c r="B1364" s="24" t="s">
        <v>345</v>
      </c>
      <c r="C1364" s="25">
        <v>45809</v>
      </c>
      <c r="D1364" s="24" t="s">
        <v>2662</v>
      </c>
      <c r="E1364" s="26">
        <v>0</v>
      </c>
      <c r="F1364" s="26">
        <v>0</v>
      </c>
      <c r="G1364" s="26">
        <v>0</v>
      </c>
      <c r="H1364" s="26">
        <v>0</v>
      </c>
    </row>
    <row r="1365" spans="1:8">
      <c r="A1365" s="24" t="s">
        <v>112</v>
      </c>
      <c r="B1365" s="24" t="s">
        <v>345</v>
      </c>
      <c r="C1365" s="25">
        <v>45839</v>
      </c>
      <c r="D1365" s="24" t="s">
        <v>2663</v>
      </c>
      <c r="E1365" s="26">
        <v>0</v>
      </c>
      <c r="F1365" s="26">
        <v>0</v>
      </c>
      <c r="G1365" s="26">
        <v>0</v>
      </c>
      <c r="H1365" s="26">
        <v>0</v>
      </c>
    </row>
    <row r="1366" spans="1:8">
      <c r="A1366" s="24" t="s">
        <v>112</v>
      </c>
      <c r="B1366" s="24" t="s">
        <v>345</v>
      </c>
      <c r="C1366" s="25">
        <v>45870</v>
      </c>
      <c r="D1366" s="24" t="s">
        <v>2664</v>
      </c>
      <c r="E1366" s="26">
        <v>6495.46</v>
      </c>
      <c r="F1366" s="26">
        <v>0</v>
      </c>
      <c r="G1366" s="26">
        <v>6495.46</v>
      </c>
      <c r="H1366" s="26">
        <v>6495.46</v>
      </c>
    </row>
    <row r="1367" spans="1:8">
      <c r="A1367" s="24" t="s">
        <v>112</v>
      </c>
      <c r="B1367" s="24" t="s">
        <v>345</v>
      </c>
      <c r="C1367" s="25">
        <v>45901</v>
      </c>
      <c r="D1367" s="24" t="s">
        <v>2665</v>
      </c>
      <c r="E1367" s="26">
        <v>0</v>
      </c>
      <c r="F1367" s="26">
        <v>0</v>
      </c>
      <c r="G1367" s="26">
        <v>0</v>
      </c>
      <c r="H1367" s="26">
        <v>6495.46</v>
      </c>
    </row>
    <row r="1368" spans="1:8">
      <c r="A1368" s="24" t="s">
        <v>112</v>
      </c>
      <c r="B1368" s="24" t="s">
        <v>345</v>
      </c>
      <c r="C1368" s="25">
        <v>45931</v>
      </c>
      <c r="D1368" s="24" t="s">
        <v>2666</v>
      </c>
      <c r="E1368" s="26">
        <v>0</v>
      </c>
      <c r="F1368" s="26">
        <v>0</v>
      </c>
      <c r="G1368" s="26">
        <v>0</v>
      </c>
      <c r="H1368" s="26">
        <v>6495.46</v>
      </c>
    </row>
    <row r="1369" spans="1:8">
      <c r="A1369" s="24" t="s">
        <v>112</v>
      </c>
      <c r="B1369" s="24" t="s">
        <v>345</v>
      </c>
      <c r="C1369" s="25">
        <v>45962</v>
      </c>
      <c r="D1369" s="24" t="s">
        <v>2667</v>
      </c>
      <c r="E1369" s="26">
        <v>0</v>
      </c>
      <c r="F1369" s="26">
        <v>0</v>
      </c>
      <c r="G1369" s="26">
        <v>0</v>
      </c>
      <c r="H1369" s="26">
        <v>6495.46</v>
      </c>
    </row>
    <row r="1370" spans="1:8">
      <c r="A1370" s="24" t="s">
        <v>112</v>
      </c>
      <c r="B1370" s="24" t="s">
        <v>345</v>
      </c>
      <c r="C1370" s="25">
        <v>45992</v>
      </c>
      <c r="D1370" s="24" t="s">
        <v>2668</v>
      </c>
      <c r="E1370" s="26">
        <v>0</v>
      </c>
      <c r="F1370" s="26">
        <v>0</v>
      </c>
      <c r="G1370" s="26">
        <v>0</v>
      </c>
      <c r="H1370" s="26">
        <v>6495.46</v>
      </c>
    </row>
    <row r="1371" spans="1:8">
      <c r="A1371" s="24" t="s">
        <v>155</v>
      </c>
      <c r="B1371" s="24" t="s">
        <v>318</v>
      </c>
      <c r="C1371" s="25">
        <v>45658</v>
      </c>
      <c r="D1371" s="24" t="s">
        <v>2657</v>
      </c>
      <c r="E1371" s="26">
        <v>0</v>
      </c>
      <c r="F1371" s="26">
        <v>0</v>
      </c>
      <c r="G1371" s="26">
        <v>0</v>
      </c>
      <c r="H1371" s="26">
        <v>0</v>
      </c>
    </row>
    <row r="1372" spans="1:8">
      <c r="A1372" s="24" t="s">
        <v>155</v>
      </c>
      <c r="B1372" s="24" t="s">
        <v>318</v>
      </c>
      <c r="C1372" s="25">
        <v>45689</v>
      </c>
      <c r="D1372" s="24" t="s">
        <v>2658</v>
      </c>
      <c r="E1372" s="26">
        <v>0</v>
      </c>
      <c r="F1372" s="26">
        <v>0</v>
      </c>
      <c r="G1372" s="26">
        <v>0</v>
      </c>
      <c r="H1372" s="26">
        <v>0</v>
      </c>
    </row>
    <row r="1373" spans="1:8">
      <c r="A1373" s="24" t="s">
        <v>155</v>
      </c>
      <c r="B1373" s="24" t="s">
        <v>318</v>
      </c>
      <c r="C1373" s="25">
        <v>45717</v>
      </c>
      <c r="D1373" s="24" t="s">
        <v>2659</v>
      </c>
      <c r="E1373" s="26">
        <v>0</v>
      </c>
      <c r="F1373" s="26">
        <v>0</v>
      </c>
      <c r="G1373" s="26">
        <v>0</v>
      </c>
      <c r="H1373" s="26">
        <v>0</v>
      </c>
    </row>
    <row r="1374" spans="1:8">
      <c r="A1374" s="24" t="s">
        <v>155</v>
      </c>
      <c r="B1374" s="24" t="s">
        <v>318</v>
      </c>
      <c r="C1374" s="25">
        <v>45748</v>
      </c>
      <c r="D1374" s="24" t="s">
        <v>2660</v>
      </c>
      <c r="E1374" s="26">
        <v>0</v>
      </c>
      <c r="F1374" s="26">
        <v>0</v>
      </c>
      <c r="G1374" s="26">
        <v>0</v>
      </c>
      <c r="H1374" s="26">
        <v>0</v>
      </c>
    </row>
    <row r="1375" spans="1:8">
      <c r="A1375" s="24" t="s">
        <v>155</v>
      </c>
      <c r="B1375" s="24" t="s">
        <v>318</v>
      </c>
      <c r="C1375" s="25">
        <v>45778</v>
      </c>
      <c r="D1375" s="24" t="s">
        <v>2661</v>
      </c>
      <c r="E1375" s="26">
        <v>0</v>
      </c>
      <c r="F1375" s="26">
        <v>0</v>
      </c>
      <c r="G1375" s="26">
        <v>0</v>
      </c>
      <c r="H1375" s="26">
        <v>0</v>
      </c>
    </row>
    <row r="1376" spans="1:8">
      <c r="A1376" s="24" t="s">
        <v>155</v>
      </c>
      <c r="B1376" s="24" t="s">
        <v>318</v>
      </c>
      <c r="C1376" s="25">
        <v>45809</v>
      </c>
      <c r="D1376" s="24" t="s">
        <v>2662</v>
      </c>
      <c r="E1376" s="26">
        <v>0</v>
      </c>
      <c r="F1376" s="26">
        <v>0</v>
      </c>
      <c r="G1376" s="26">
        <v>0</v>
      </c>
      <c r="H1376" s="26">
        <v>0</v>
      </c>
    </row>
    <row r="1377" spans="1:8">
      <c r="A1377" s="24" t="s">
        <v>155</v>
      </c>
      <c r="B1377" s="24" t="s">
        <v>318</v>
      </c>
      <c r="C1377" s="25">
        <v>45839</v>
      </c>
      <c r="D1377" s="24" t="s">
        <v>2663</v>
      </c>
      <c r="E1377" s="26">
        <v>0</v>
      </c>
      <c r="F1377" s="26">
        <v>85919.85</v>
      </c>
      <c r="G1377" s="26">
        <v>-85919.85</v>
      </c>
      <c r="H1377" s="26">
        <v>-85919.85</v>
      </c>
    </row>
    <row r="1378" spans="1:8">
      <c r="A1378" s="24" t="s">
        <v>155</v>
      </c>
      <c r="B1378" s="24" t="s">
        <v>318</v>
      </c>
      <c r="C1378" s="25">
        <v>45870</v>
      </c>
      <c r="D1378" s="24" t="s">
        <v>2664</v>
      </c>
      <c r="E1378" s="26">
        <v>0</v>
      </c>
      <c r="F1378" s="26">
        <v>17300.02</v>
      </c>
      <c r="G1378" s="26">
        <v>-17300.02</v>
      </c>
      <c r="H1378" s="26">
        <v>-103219.87</v>
      </c>
    </row>
    <row r="1379" spans="1:8">
      <c r="A1379" s="24" t="s">
        <v>155</v>
      </c>
      <c r="B1379" s="24" t="s">
        <v>318</v>
      </c>
      <c r="C1379" s="25">
        <v>45901</v>
      </c>
      <c r="D1379" s="24" t="s">
        <v>2665</v>
      </c>
      <c r="E1379" s="26">
        <v>0</v>
      </c>
      <c r="F1379" s="26">
        <v>0</v>
      </c>
      <c r="G1379" s="26">
        <v>0</v>
      </c>
      <c r="H1379" s="26">
        <v>-103219.87</v>
      </c>
    </row>
    <row r="1380" spans="1:8">
      <c r="A1380" s="24" t="s">
        <v>155</v>
      </c>
      <c r="B1380" s="24" t="s">
        <v>318</v>
      </c>
      <c r="C1380" s="25">
        <v>45931</v>
      </c>
      <c r="D1380" s="24" t="s">
        <v>2666</v>
      </c>
      <c r="E1380" s="26">
        <v>0</v>
      </c>
      <c r="F1380" s="26">
        <v>0</v>
      </c>
      <c r="G1380" s="26">
        <v>0</v>
      </c>
      <c r="H1380" s="26">
        <v>-103219.87</v>
      </c>
    </row>
    <row r="1381" spans="1:8">
      <c r="A1381" s="24" t="s">
        <v>155</v>
      </c>
      <c r="B1381" s="24" t="s">
        <v>318</v>
      </c>
      <c r="C1381" s="25">
        <v>45962</v>
      </c>
      <c r="D1381" s="24" t="s">
        <v>2667</v>
      </c>
      <c r="E1381" s="26">
        <v>0</v>
      </c>
      <c r="F1381" s="26">
        <v>42100.97</v>
      </c>
      <c r="G1381" s="26">
        <v>-42100.97</v>
      </c>
      <c r="H1381" s="26">
        <v>-145320.84</v>
      </c>
    </row>
    <row r="1382" spans="1:8">
      <c r="A1382" s="24" t="s">
        <v>155</v>
      </c>
      <c r="B1382" s="24" t="s">
        <v>318</v>
      </c>
      <c r="C1382" s="25">
        <v>45992</v>
      </c>
      <c r="D1382" s="24" t="s">
        <v>2668</v>
      </c>
      <c r="E1382" s="26">
        <v>0</v>
      </c>
      <c r="F1382" s="26">
        <v>0</v>
      </c>
      <c r="G1382" s="26">
        <v>0</v>
      </c>
      <c r="H1382" s="26">
        <v>-145320.84</v>
      </c>
    </row>
    <row r="1383" spans="1:8">
      <c r="A1383" s="24" t="s">
        <v>38</v>
      </c>
      <c r="B1383" s="24" t="s">
        <v>345</v>
      </c>
      <c r="C1383" s="25">
        <v>45658</v>
      </c>
      <c r="D1383" s="24" t="s">
        <v>2657</v>
      </c>
      <c r="E1383" s="26">
        <v>0</v>
      </c>
      <c r="F1383" s="26">
        <v>0</v>
      </c>
      <c r="G1383" s="26">
        <v>0</v>
      </c>
      <c r="H1383" s="26">
        <v>0</v>
      </c>
    </row>
    <row r="1384" spans="1:8">
      <c r="A1384" s="24" t="s">
        <v>38</v>
      </c>
      <c r="B1384" s="24" t="s">
        <v>345</v>
      </c>
      <c r="C1384" s="25">
        <v>45689</v>
      </c>
      <c r="D1384" s="24" t="s">
        <v>2658</v>
      </c>
      <c r="E1384" s="26">
        <v>0</v>
      </c>
      <c r="F1384" s="26">
        <v>0</v>
      </c>
      <c r="G1384" s="26">
        <v>0</v>
      </c>
      <c r="H1384" s="26">
        <v>0</v>
      </c>
    </row>
    <row r="1385" spans="1:8">
      <c r="A1385" s="24" t="s">
        <v>38</v>
      </c>
      <c r="B1385" s="24" t="s">
        <v>345</v>
      </c>
      <c r="C1385" s="25">
        <v>45717</v>
      </c>
      <c r="D1385" s="24" t="s">
        <v>2659</v>
      </c>
      <c r="E1385" s="26">
        <v>0</v>
      </c>
      <c r="F1385" s="26">
        <v>0</v>
      </c>
      <c r="G1385" s="26">
        <v>0</v>
      </c>
      <c r="H1385" s="26">
        <v>0</v>
      </c>
    </row>
    <row r="1386" spans="1:8">
      <c r="A1386" s="24" t="s">
        <v>38</v>
      </c>
      <c r="B1386" s="24" t="s">
        <v>345</v>
      </c>
      <c r="C1386" s="25">
        <v>45748</v>
      </c>
      <c r="D1386" s="24" t="s">
        <v>2660</v>
      </c>
      <c r="E1386" s="26">
        <v>0</v>
      </c>
      <c r="F1386" s="26">
        <v>0</v>
      </c>
      <c r="G1386" s="26">
        <v>0</v>
      </c>
      <c r="H1386" s="26">
        <v>0</v>
      </c>
    </row>
    <row r="1387" spans="1:8">
      <c r="A1387" s="24" t="s">
        <v>38</v>
      </c>
      <c r="B1387" s="24" t="s">
        <v>345</v>
      </c>
      <c r="C1387" s="25">
        <v>45778</v>
      </c>
      <c r="D1387" s="24" t="s">
        <v>2661</v>
      </c>
      <c r="E1387" s="26">
        <v>0</v>
      </c>
      <c r="F1387" s="26">
        <v>0</v>
      </c>
      <c r="G1387" s="26">
        <v>0</v>
      </c>
      <c r="H1387" s="26">
        <v>0</v>
      </c>
    </row>
    <row r="1388" spans="1:8">
      <c r="A1388" s="24" t="s">
        <v>38</v>
      </c>
      <c r="B1388" s="24" t="s">
        <v>345</v>
      </c>
      <c r="C1388" s="25">
        <v>45809</v>
      </c>
      <c r="D1388" s="24" t="s">
        <v>2662</v>
      </c>
      <c r="E1388" s="26">
        <v>0</v>
      </c>
      <c r="F1388" s="26">
        <v>0</v>
      </c>
      <c r="G1388" s="26">
        <v>0</v>
      </c>
      <c r="H1388" s="26">
        <v>0</v>
      </c>
    </row>
    <row r="1389" spans="1:8">
      <c r="A1389" s="24" t="s">
        <v>38</v>
      </c>
      <c r="B1389" s="24" t="s">
        <v>345</v>
      </c>
      <c r="C1389" s="25">
        <v>45839</v>
      </c>
      <c r="D1389" s="24" t="s">
        <v>2663</v>
      </c>
      <c r="E1389" s="26">
        <v>0</v>
      </c>
      <c r="F1389" s="26">
        <v>0</v>
      </c>
      <c r="G1389" s="26">
        <v>0</v>
      </c>
      <c r="H1389" s="26">
        <v>0</v>
      </c>
    </row>
    <row r="1390" spans="1:8">
      <c r="A1390" s="24" t="s">
        <v>38</v>
      </c>
      <c r="B1390" s="24" t="s">
        <v>345</v>
      </c>
      <c r="C1390" s="25">
        <v>45870</v>
      </c>
      <c r="D1390" s="24" t="s">
        <v>2664</v>
      </c>
      <c r="E1390" s="26">
        <v>0</v>
      </c>
      <c r="F1390" s="26">
        <v>60220.47</v>
      </c>
      <c r="G1390" s="26">
        <v>-60220.47</v>
      </c>
      <c r="H1390" s="26">
        <v>-60220.47</v>
      </c>
    </row>
    <row r="1391" spans="1:8">
      <c r="A1391" s="24" t="s">
        <v>38</v>
      </c>
      <c r="B1391" s="24" t="s">
        <v>345</v>
      </c>
      <c r="C1391" s="25">
        <v>45901</v>
      </c>
      <c r="D1391" s="24" t="s">
        <v>2665</v>
      </c>
      <c r="E1391" s="26">
        <v>0</v>
      </c>
      <c r="F1391" s="26">
        <v>0</v>
      </c>
      <c r="G1391" s="26">
        <v>0</v>
      </c>
      <c r="H1391" s="26">
        <v>-60220.47</v>
      </c>
    </row>
    <row r="1392" spans="1:8">
      <c r="A1392" s="24" t="s">
        <v>38</v>
      </c>
      <c r="B1392" s="24" t="s">
        <v>345</v>
      </c>
      <c r="C1392" s="25">
        <v>45931</v>
      </c>
      <c r="D1392" s="24" t="s">
        <v>2666</v>
      </c>
      <c r="E1392" s="26">
        <v>0</v>
      </c>
      <c r="F1392" s="26">
        <v>0</v>
      </c>
      <c r="G1392" s="26">
        <v>0</v>
      </c>
      <c r="H1392" s="26">
        <v>-60220.47</v>
      </c>
    </row>
    <row r="1393" spans="1:8">
      <c r="A1393" s="24" t="s">
        <v>38</v>
      </c>
      <c r="B1393" s="24" t="s">
        <v>345</v>
      </c>
      <c r="C1393" s="25">
        <v>45962</v>
      </c>
      <c r="D1393" s="24" t="s">
        <v>2667</v>
      </c>
      <c r="E1393" s="26">
        <v>0</v>
      </c>
      <c r="F1393" s="26">
        <v>0</v>
      </c>
      <c r="G1393" s="26">
        <v>0</v>
      </c>
      <c r="H1393" s="26">
        <v>-60220.47</v>
      </c>
    </row>
    <row r="1394" spans="1:8">
      <c r="A1394" s="24" t="s">
        <v>38</v>
      </c>
      <c r="B1394" s="24" t="s">
        <v>345</v>
      </c>
      <c r="C1394" s="25">
        <v>45992</v>
      </c>
      <c r="D1394" s="24" t="s">
        <v>2668</v>
      </c>
      <c r="E1394" s="26">
        <v>0</v>
      </c>
      <c r="F1394" s="26">
        <v>0</v>
      </c>
      <c r="G1394" s="26">
        <v>0</v>
      </c>
      <c r="H1394" s="26">
        <v>-60220.47</v>
      </c>
    </row>
    <row r="1395" spans="1:8">
      <c r="A1395" s="24" t="s">
        <v>14</v>
      </c>
      <c r="B1395" s="24" t="s">
        <v>337</v>
      </c>
      <c r="C1395" s="25">
        <v>45658</v>
      </c>
      <c r="D1395" s="24" t="s">
        <v>2657</v>
      </c>
      <c r="E1395" s="26">
        <v>0</v>
      </c>
      <c r="F1395" s="26">
        <v>0</v>
      </c>
      <c r="G1395" s="26">
        <v>0</v>
      </c>
      <c r="H1395" s="26">
        <v>0</v>
      </c>
    </row>
    <row r="1396" spans="1:8">
      <c r="A1396" s="24" t="s">
        <v>14</v>
      </c>
      <c r="B1396" s="24" t="s">
        <v>337</v>
      </c>
      <c r="C1396" s="25">
        <v>45689</v>
      </c>
      <c r="D1396" s="24" t="s">
        <v>2658</v>
      </c>
      <c r="E1396" s="26">
        <v>0</v>
      </c>
      <c r="F1396" s="26">
        <v>0</v>
      </c>
      <c r="G1396" s="26">
        <v>0</v>
      </c>
      <c r="H1396" s="26">
        <v>0</v>
      </c>
    </row>
    <row r="1397" spans="1:8">
      <c r="A1397" s="24" t="s">
        <v>14</v>
      </c>
      <c r="B1397" s="24" t="s">
        <v>337</v>
      </c>
      <c r="C1397" s="25">
        <v>45717</v>
      </c>
      <c r="D1397" s="24" t="s">
        <v>2659</v>
      </c>
      <c r="E1397" s="26">
        <v>0</v>
      </c>
      <c r="F1397" s="26">
        <v>0</v>
      </c>
      <c r="G1397" s="26">
        <v>0</v>
      </c>
      <c r="H1397" s="26">
        <v>0</v>
      </c>
    </row>
    <row r="1398" spans="1:8">
      <c r="A1398" s="24" t="s">
        <v>14</v>
      </c>
      <c r="B1398" s="24" t="s">
        <v>337</v>
      </c>
      <c r="C1398" s="25">
        <v>45748</v>
      </c>
      <c r="D1398" s="24" t="s">
        <v>2660</v>
      </c>
      <c r="E1398" s="26">
        <v>0</v>
      </c>
      <c r="F1398" s="26">
        <v>0</v>
      </c>
      <c r="G1398" s="26">
        <v>0</v>
      </c>
      <c r="H1398" s="26">
        <v>0</v>
      </c>
    </row>
    <row r="1399" spans="1:8">
      <c r="A1399" s="24" t="s">
        <v>14</v>
      </c>
      <c r="B1399" s="24" t="s">
        <v>337</v>
      </c>
      <c r="C1399" s="25">
        <v>45778</v>
      </c>
      <c r="D1399" s="24" t="s">
        <v>2661</v>
      </c>
      <c r="E1399" s="26">
        <v>0</v>
      </c>
      <c r="F1399" s="26">
        <v>0</v>
      </c>
      <c r="G1399" s="26">
        <v>0</v>
      </c>
      <c r="H1399" s="26">
        <v>0</v>
      </c>
    </row>
    <row r="1400" spans="1:8">
      <c r="A1400" s="24" t="s">
        <v>14</v>
      </c>
      <c r="B1400" s="24" t="s">
        <v>337</v>
      </c>
      <c r="C1400" s="25">
        <v>45809</v>
      </c>
      <c r="D1400" s="24" t="s">
        <v>2662</v>
      </c>
      <c r="E1400" s="26">
        <v>0</v>
      </c>
      <c r="F1400" s="26">
        <v>0</v>
      </c>
      <c r="G1400" s="26">
        <v>0</v>
      </c>
      <c r="H1400" s="26">
        <v>0</v>
      </c>
    </row>
    <row r="1401" spans="1:8">
      <c r="A1401" s="24" t="s">
        <v>14</v>
      </c>
      <c r="B1401" s="24" t="s">
        <v>337</v>
      </c>
      <c r="C1401" s="25">
        <v>45839</v>
      </c>
      <c r="D1401" s="24" t="s">
        <v>2663</v>
      </c>
      <c r="E1401" s="26">
        <v>0</v>
      </c>
      <c r="F1401" s="26">
        <v>0</v>
      </c>
      <c r="G1401" s="26">
        <v>0</v>
      </c>
      <c r="H1401" s="26">
        <v>0</v>
      </c>
    </row>
    <row r="1402" spans="1:8">
      <c r="A1402" s="24" t="s">
        <v>14</v>
      </c>
      <c r="B1402" s="24" t="s">
        <v>337</v>
      </c>
      <c r="C1402" s="25">
        <v>45870</v>
      </c>
      <c r="D1402" s="24" t="s">
        <v>2664</v>
      </c>
      <c r="E1402" s="26">
        <v>0</v>
      </c>
      <c r="F1402" s="26">
        <v>0</v>
      </c>
      <c r="G1402" s="26">
        <v>0</v>
      </c>
      <c r="H1402" s="26">
        <v>0</v>
      </c>
    </row>
    <row r="1403" spans="1:8">
      <c r="A1403" s="24" t="s">
        <v>14</v>
      </c>
      <c r="B1403" s="24" t="s">
        <v>337</v>
      </c>
      <c r="C1403" s="25">
        <v>45901</v>
      </c>
      <c r="D1403" s="24" t="s">
        <v>2665</v>
      </c>
      <c r="E1403" s="26">
        <v>0</v>
      </c>
      <c r="F1403" s="26">
        <v>0</v>
      </c>
      <c r="G1403" s="26">
        <v>0</v>
      </c>
      <c r="H1403" s="26">
        <v>0</v>
      </c>
    </row>
    <row r="1404" spans="1:8">
      <c r="A1404" s="24" t="s">
        <v>14</v>
      </c>
      <c r="B1404" s="24" t="s">
        <v>337</v>
      </c>
      <c r="C1404" s="25">
        <v>45931</v>
      </c>
      <c r="D1404" s="24" t="s">
        <v>2666</v>
      </c>
      <c r="E1404" s="26">
        <v>0</v>
      </c>
      <c r="F1404" s="26">
        <v>0</v>
      </c>
      <c r="G1404" s="26">
        <v>0</v>
      </c>
      <c r="H1404" s="26">
        <v>0</v>
      </c>
    </row>
    <row r="1405" spans="1:8">
      <c r="A1405" s="24" t="s">
        <v>14</v>
      </c>
      <c r="B1405" s="24" t="s">
        <v>337</v>
      </c>
      <c r="C1405" s="25">
        <v>45962</v>
      </c>
      <c r="D1405" s="24" t="s">
        <v>2667</v>
      </c>
      <c r="E1405" s="26">
        <v>0</v>
      </c>
      <c r="F1405" s="26">
        <v>75007.710000000006</v>
      </c>
      <c r="G1405" s="26">
        <v>-75007.710000000006</v>
      </c>
      <c r="H1405" s="26">
        <v>-75007.710000000006</v>
      </c>
    </row>
    <row r="1406" spans="1:8">
      <c r="A1406" s="24" t="s">
        <v>14</v>
      </c>
      <c r="B1406" s="24" t="s">
        <v>337</v>
      </c>
      <c r="C1406" s="25">
        <v>45992</v>
      </c>
      <c r="D1406" s="24" t="s">
        <v>2668</v>
      </c>
      <c r="E1406" s="26">
        <v>0</v>
      </c>
      <c r="F1406" s="26">
        <v>0</v>
      </c>
      <c r="G1406" s="26">
        <v>0</v>
      </c>
      <c r="H1406" s="26">
        <v>-75007.710000000006</v>
      </c>
    </row>
    <row r="1407" spans="1:8">
      <c r="A1407" s="24" t="s">
        <v>215</v>
      </c>
      <c r="B1407" s="24" t="s">
        <v>345</v>
      </c>
      <c r="C1407" s="25">
        <v>45658</v>
      </c>
      <c r="D1407" s="24" t="s">
        <v>2657</v>
      </c>
      <c r="E1407" s="26">
        <v>0</v>
      </c>
      <c r="F1407" s="26">
        <v>0</v>
      </c>
      <c r="G1407" s="26">
        <v>0</v>
      </c>
      <c r="H1407" s="26">
        <v>0</v>
      </c>
    </row>
    <row r="1408" spans="1:8">
      <c r="A1408" s="24" t="s">
        <v>215</v>
      </c>
      <c r="B1408" s="24" t="s">
        <v>345</v>
      </c>
      <c r="C1408" s="25">
        <v>45689</v>
      </c>
      <c r="D1408" s="24" t="s">
        <v>2658</v>
      </c>
      <c r="E1408" s="26">
        <v>0</v>
      </c>
      <c r="F1408" s="26">
        <v>0</v>
      </c>
      <c r="G1408" s="26">
        <v>0</v>
      </c>
      <c r="H1408" s="26">
        <v>0</v>
      </c>
    </row>
    <row r="1409" spans="1:8">
      <c r="A1409" s="24" t="s">
        <v>215</v>
      </c>
      <c r="B1409" s="24" t="s">
        <v>345</v>
      </c>
      <c r="C1409" s="25">
        <v>45717</v>
      </c>
      <c r="D1409" s="24" t="s">
        <v>2659</v>
      </c>
      <c r="E1409" s="26">
        <v>0</v>
      </c>
      <c r="F1409" s="26">
        <v>0</v>
      </c>
      <c r="G1409" s="26">
        <v>0</v>
      </c>
      <c r="H1409" s="26">
        <v>0</v>
      </c>
    </row>
    <row r="1410" spans="1:8">
      <c r="A1410" s="24" t="s">
        <v>215</v>
      </c>
      <c r="B1410" s="24" t="s">
        <v>345</v>
      </c>
      <c r="C1410" s="25">
        <v>45748</v>
      </c>
      <c r="D1410" s="24" t="s">
        <v>2660</v>
      </c>
      <c r="E1410" s="26">
        <v>0</v>
      </c>
      <c r="F1410" s="26">
        <v>0</v>
      </c>
      <c r="G1410" s="26">
        <v>0</v>
      </c>
      <c r="H1410" s="26">
        <v>0</v>
      </c>
    </row>
    <row r="1411" spans="1:8">
      <c r="A1411" s="24" t="s">
        <v>215</v>
      </c>
      <c r="B1411" s="24" t="s">
        <v>345</v>
      </c>
      <c r="C1411" s="25">
        <v>45778</v>
      </c>
      <c r="D1411" s="24" t="s">
        <v>2661</v>
      </c>
      <c r="E1411" s="26">
        <v>0</v>
      </c>
      <c r="F1411" s="26">
        <v>0</v>
      </c>
      <c r="G1411" s="26">
        <v>0</v>
      </c>
      <c r="H1411" s="26">
        <v>0</v>
      </c>
    </row>
    <row r="1412" spans="1:8">
      <c r="A1412" s="24" t="s">
        <v>215</v>
      </c>
      <c r="B1412" s="24" t="s">
        <v>345</v>
      </c>
      <c r="C1412" s="25">
        <v>45809</v>
      </c>
      <c r="D1412" s="24" t="s">
        <v>2662</v>
      </c>
      <c r="E1412" s="26">
        <v>0</v>
      </c>
      <c r="F1412" s="26">
        <v>0</v>
      </c>
      <c r="G1412" s="26">
        <v>0</v>
      </c>
      <c r="H1412" s="26">
        <v>0</v>
      </c>
    </row>
    <row r="1413" spans="1:8">
      <c r="A1413" s="24" t="s">
        <v>215</v>
      </c>
      <c r="B1413" s="24" t="s">
        <v>345</v>
      </c>
      <c r="C1413" s="25">
        <v>45839</v>
      </c>
      <c r="D1413" s="24" t="s">
        <v>2663</v>
      </c>
      <c r="E1413" s="26">
        <v>0</v>
      </c>
      <c r="F1413" s="26">
        <v>0</v>
      </c>
      <c r="G1413" s="26">
        <v>0</v>
      </c>
      <c r="H1413" s="26">
        <v>0</v>
      </c>
    </row>
    <row r="1414" spans="1:8">
      <c r="A1414" s="24" t="s">
        <v>215</v>
      </c>
      <c r="B1414" s="24" t="s">
        <v>345</v>
      </c>
      <c r="C1414" s="25">
        <v>45870</v>
      </c>
      <c r="D1414" s="24" t="s">
        <v>2664</v>
      </c>
      <c r="E1414" s="26">
        <v>0</v>
      </c>
      <c r="F1414" s="26">
        <v>0</v>
      </c>
      <c r="G1414" s="26">
        <v>0</v>
      </c>
      <c r="H1414" s="26">
        <v>0</v>
      </c>
    </row>
    <row r="1415" spans="1:8">
      <c r="A1415" s="24" t="s">
        <v>215</v>
      </c>
      <c r="B1415" s="24" t="s">
        <v>345</v>
      </c>
      <c r="C1415" s="25">
        <v>45901</v>
      </c>
      <c r="D1415" s="24" t="s">
        <v>2665</v>
      </c>
      <c r="E1415" s="26">
        <v>0</v>
      </c>
      <c r="F1415" s="26">
        <v>0</v>
      </c>
      <c r="G1415" s="26">
        <v>0</v>
      </c>
      <c r="H1415" s="26">
        <v>0</v>
      </c>
    </row>
    <row r="1416" spans="1:8">
      <c r="A1416" s="24" t="s">
        <v>215</v>
      </c>
      <c r="B1416" s="24" t="s">
        <v>345</v>
      </c>
      <c r="C1416" s="25">
        <v>45931</v>
      </c>
      <c r="D1416" s="24" t="s">
        <v>2666</v>
      </c>
      <c r="E1416" s="26">
        <v>0</v>
      </c>
      <c r="F1416" s="26">
        <v>0</v>
      </c>
      <c r="G1416" s="26">
        <v>0</v>
      </c>
      <c r="H1416" s="26">
        <v>0</v>
      </c>
    </row>
    <row r="1417" spans="1:8">
      <c r="A1417" s="24" t="s">
        <v>215</v>
      </c>
      <c r="B1417" s="24" t="s">
        <v>345</v>
      </c>
      <c r="C1417" s="25">
        <v>45962</v>
      </c>
      <c r="D1417" s="24" t="s">
        <v>2667</v>
      </c>
      <c r="E1417" s="26">
        <v>0</v>
      </c>
      <c r="F1417" s="26">
        <v>60832.41</v>
      </c>
      <c r="G1417" s="26">
        <v>-60832.41</v>
      </c>
      <c r="H1417" s="26">
        <v>-60832.41</v>
      </c>
    </row>
    <row r="1418" spans="1:8">
      <c r="A1418" s="24" t="s">
        <v>215</v>
      </c>
      <c r="B1418" s="24" t="s">
        <v>345</v>
      </c>
      <c r="C1418" s="25">
        <v>45992</v>
      </c>
      <c r="D1418" s="24" t="s">
        <v>2668</v>
      </c>
      <c r="E1418" s="26">
        <v>0</v>
      </c>
      <c r="F1418" s="26">
        <v>0</v>
      </c>
      <c r="G1418" s="26">
        <v>0</v>
      </c>
      <c r="H1418" s="26">
        <v>-60832.41</v>
      </c>
    </row>
    <row r="1419" spans="1:8">
      <c r="A1419" s="24" t="s">
        <v>129</v>
      </c>
      <c r="B1419" s="24" t="s">
        <v>345</v>
      </c>
      <c r="C1419" s="25">
        <v>45658</v>
      </c>
      <c r="D1419" s="24" t="s">
        <v>2657</v>
      </c>
      <c r="E1419" s="26">
        <v>0</v>
      </c>
      <c r="F1419" s="26">
        <v>0</v>
      </c>
      <c r="G1419" s="26">
        <v>0</v>
      </c>
      <c r="H1419" s="26">
        <v>0</v>
      </c>
    </row>
    <row r="1420" spans="1:8">
      <c r="A1420" s="24" t="s">
        <v>129</v>
      </c>
      <c r="B1420" s="24" t="s">
        <v>345</v>
      </c>
      <c r="C1420" s="25">
        <v>45689</v>
      </c>
      <c r="D1420" s="24" t="s">
        <v>2658</v>
      </c>
      <c r="E1420" s="26">
        <v>0</v>
      </c>
      <c r="F1420" s="26">
        <v>0</v>
      </c>
      <c r="G1420" s="26">
        <v>0</v>
      </c>
      <c r="H1420" s="26">
        <v>0</v>
      </c>
    </row>
    <row r="1421" spans="1:8">
      <c r="A1421" s="24" t="s">
        <v>129</v>
      </c>
      <c r="B1421" s="24" t="s">
        <v>345</v>
      </c>
      <c r="C1421" s="25">
        <v>45717</v>
      </c>
      <c r="D1421" s="24" t="s">
        <v>2659</v>
      </c>
      <c r="E1421" s="26">
        <v>0</v>
      </c>
      <c r="F1421" s="26">
        <v>0</v>
      </c>
      <c r="G1421" s="26">
        <v>0</v>
      </c>
      <c r="H1421" s="26">
        <v>0</v>
      </c>
    </row>
    <row r="1422" spans="1:8">
      <c r="A1422" s="24" t="s">
        <v>129</v>
      </c>
      <c r="B1422" s="24" t="s">
        <v>345</v>
      </c>
      <c r="C1422" s="25">
        <v>45748</v>
      </c>
      <c r="D1422" s="24" t="s">
        <v>2660</v>
      </c>
      <c r="E1422" s="26">
        <v>0</v>
      </c>
      <c r="F1422" s="26">
        <v>0</v>
      </c>
      <c r="G1422" s="26">
        <v>0</v>
      </c>
      <c r="H1422" s="26">
        <v>0</v>
      </c>
    </row>
    <row r="1423" spans="1:8">
      <c r="A1423" s="24" t="s">
        <v>129</v>
      </c>
      <c r="B1423" s="24" t="s">
        <v>345</v>
      </c>
      <c r="C1423" s="25">
        <v>45778</v>
      </c>
      <c r="D1423" s="24" t="s">
        <v>2661</v>
      </c>
      <c r="E1423" s="26">
        <v>0</v>
      </c>
      <c r="F1423" s="26">
        <v>0</v>
      </c>
      <c r="G1423" s="26">
        <v>0</v>
      </c>
      <c r="H1423" s="26">
        <v>0</v>
      </c>
    </row>
    <row r="1424" spans="1:8">
      <c r="A1424" s="24" t="s">
        <v>129</v>
      </c>
      <c r="B1424" s="24" t="s">
        <v>345</v>
      </c>
      <c r="C1424" s="25">
        <v>45809</v>
      </c>
      <c r="D1424" s="24" t="s">
        <v>2662</v>
      </c>
      <c r="E1424" s="26">
        <v>0</v>
      </c>
      <c r="F1424" s="26">
        <v>0</v>
      </c>
      <c r="G1424" s="26">
        <v>0</v>
      </c>
      <c r="H1424" s="26">
        <v>0</v>
      </c>
    </row>
    <row r="1425" spans="1:8">
      <c r="A1425" s="24" t="s">
        <v>129</v>
      </c>
      <c r="B1425" s="24" t="s">
        <v>345</v>
      </c>
      <c r="C1425" s="25">
        <v>45839</v>
      </c>
      <c r="D1425" s="24" t="s">
        <v>2663</v>
      </c>
      <c r="E1425" s="26">
        <v>0</v>
      </c>
      <c r="F1425" s="26">
        <v>0</v>
      </c>
      <c r="G1425" s="26">
        <v>0</v>
      </c>
      <c r="H1425" s="26">
        <v>0</v>
      </c>
    </row>
    <row r="1426" spans="1:8">
      <c r="A1426" s="24" t="s">
        <v>129</v>
      </c>
      <c r="B1426" s="24" t="s">
        <v>345</v>
      </c>
      <c r="C1426" s="25">
        <v>45870</v>
      </c>
      <c r="D1426" s="24" t="s">
        <v>2664</v>
      </c>
      <c r="E1426" s="26">
        <v>0</v>
      </c>
      <c r="F1426" s="26">
        <v>0</v>
      </c>
      <c r="G1426" s="26">
        <v>0</v>
      </c>
      <c r="H1426" s="26">
        <v>0</v>
      </c>
    </row>
    <row r="1427" spans="1:8">
      <c r="A1427" s="24" t="s">
        <v>129</v>
      </c>
      <c r="B1427" s="24" t="s">
        <v>345</v>
      </c>
      <c r="C1427" s="25">
        <v>45901</v>
      </c>
      <c r="D1427" s="24" t="s">
        <v>2665</v>
      </c>
      <c r="E1427" s="26">
        <v>0</v>
      </c>
      <c r="F1427" s="26">
        <v>18056.669999999998</v>
      </c>
      <c r="G1427" s="26">
        <v>-18056.669999999998</v>
      </c>
      <c r="H1427" s="26">
        <v>-18056.669999999998</v>
      </c>
    </row>
    <row r="1428" spans="1:8">
      <c r="A1428" s="24" t="s">
        <v>129</v>
      </c>
      <c r="B1428" s="24" t="s">
        <v>345</v>
      </c>
      <c r="C1428" s="25">
        <v>45931</v>
      </c>
      <c r="D1428" s="24" t="s">
        <v>2666</v>
      </c>
      <c r="E1428" s="26">
        <v>17948.57</v>
      </c>
      <c r="F1428" s="26">
        <v>0</v>
      </c>
      <c r="G1428" s="26">
        <v>17948.57</v>
      </c>
      <c r="H1428" s="26">
        <v>-108.0999999999985</v>
      </c>
    </row>
    <row r="1429" spans="1:8">
      <c r="A1429" s="24" t="s">
        <v>129</v>
      </c>
      <c r="B1429" s="24" t="s">
        <v>345</v>
      </c>
      <c r="C1429" s="25">
        <v>45962</v>
      </c>
      <c r="D1429" s="24" t="s">
        <v>2667</v>
      </c>
      <c r="E1429" s="26">
        <v>0</v>
      </c>
      <c r="F1429" s="26">
        <v>91817.59</v>
      </c>
      <c r="G1429" s="26">
        <v>-91817.59</v>
      </c>
      <c r="H1429" s="26">
        <v>-91925.69</v>
      </c>
    </row>
    <row r="1430" spans="1:8">
      <c r="A1430" s="24" t="s">
        <v>129</v>
      </c>
      <c r="B1430" s="24" t="s">
        <v>345</v>
      </c>
      <c r="C1430" s="25">
        <v>45992</v>
      </c>
      <c r="D1430" s="24" t="s">
        <v>2668</v>
      </c>
      <c r="E1430" s="26">
        <v>37579.300000000003</v>
      </c>
      <c r="F1430" s="26">
        <v>0</v>
      </c>
      <c r="G1430" s="26">
        <v>37579.300000000003</v>
      </c>
      <c r="H1430" s="26">
        <v>-54346.39</v>
      </c>
    </row>
    <row r="1431" spans="1:8">
      <c r="A1431" s="24" t="s">
        <v>56</v>
      </c>
      <c r="B1431" s="24" t="s">
        <v>324</v>
      </c>
      <c r="C1431" s="25">
        <v>45658</v>
      </c>
      <c r="D1431" s="24" t="s">
        <v>2657</v>
      </c>
      <c r="E1431" s="26">
        <v>0</v>
      </c>
      <c r="F1431" s="26">
        <v>0</v>
      </c>
      <c r="G1431" s="26">
        <v>0</v>
      </c>
      <c r="H1431" s="26">
        <v>0</v>
      </c>
    </row>
    <row r="1432" spans="1:8">
      <c r="A1432" s="24" t="s">
        <v>56</v>
      </c>
      <c r="B1432" s="24" t="s">
        <v>324</v>
      </c>
      <c r="C1432" s="25">
        <v>45689</v>
      </c>
      <c r="D1432" s="24" t="s">
        <v>2658</v>
      </c>
      <c r="E1432" s="26">
        <v>0</v>
      </c>
      <c r="F1432" s="26">
        <v>0</v>
      </c>
      <c r="G1432" s="26">
        <v>0</v>
      </c>
      <c r="H1432" s="26">
        <v>0</v>
      </c>
    </row>
    <row r="1433" spans="1:8">
      <c r="A1433" s="24" t="s">
        <v>56</v>
      </c>
      <c r="B1433" s="24" t="s">
        <v>324</v>
      </c>
      <c r="C1433" s="25">
        <v>45717</v>
      </c>
      <c r="D1433" s="24" t="s">
        <v>2659</v>
      </c>
      <c r="E1433" s="26">
        <v>0</v>
      </c>
      <c r="F1433" s="26">
        <v>0</v>
      </c>
      <c r="G1433" s="26">
        <v>0</v>
      </c>
      <c r="H1433" s="26">
        <v>0</v>
      </c>
    </row>
    <row r="1434" spans="1:8">
      <c r="A1434" s="24" t="s">
        <v>56</v>
      </c>
      <c r="B1434" s="24" t="s">
        <v>324</v>
      </c>
      <c r="C1434" s="25">
        <v>45748</v>
      </c>
      <c r="D1434" s="24" t="s">
        <v>2660</v>
      </c>
      <c r="E1434" s="26">
        <v>0</v>
      </c>
      <c r="F1434" s="26">
        <v>0</v>
      </c>
      <c r="G1434" s="26">
        <v>0</v>
      </c>
      <c r="H1434" s="26">
        <v>0</v>
      </c>
    </row>
    <row r="1435" spans="1:8">
      <c r="A1435" s="24" t="s">
        <v>56</v>
      </c>
      <c r="B1435" s="24" t="s">
        <v>324</v>
      </c>
      <c r="C1435" s="25">
        <v>45778</v>
      </c>
      <c r="D1435" s="24" t="s">
        <v>2661</v>
      </c>
      <c r="E1435" s="26">
        <v>0</v>
      </c>
      <c r="F1435" s="26">
        <v>0</v>
      </c>
      <c r="G1435" s="26">
        <v>0</v>
      </c>
      <c r="H1435" s="26">
        <v>0</v>
      </c>
    </row>
    <row r="1436" spans="1:8">
      <c r="A1436" s="24" t="s">
        <v>56</v>
      </c>
      <c r="B1436" s="24" t="s">
        <v>324</v>
      </c>
      <c r="C1436" s="25">
        <v>45809</v>
      </c>
      <c r="D1436" s="24" t="s">
        <v>2662</v>
      </c>
      <c r="E1436" s="26">
        <v>0</v>
      </c>
      <c r="F1436" s="26">
        <v>0</v>
      </c>
      <c r="G1436" s="26">
        <v>0</v>
      </c>
      <c r="H1436" s="26">
        <v>0</v>
      </c>
    </row>
    <row r="1437" spans="1:8">
      <c r="A1437" s="24" t="s">
        <v>56</v>
      </c>
      <c r="B1437" s="24" t="s">
        <v>324</v>
      </c>
      <c r="C1437" s="25">
        <v>45839</v>
      </c>
      <c r="D1437" s="24" t="s">
        <v>2663</v>
      </c>
      <c r="E1437" s="26">
        <v>0</v>
      </c>
      <c r="F1437" s="26">
        <v>0</v>
      </c>
      <c r="G1437" s="26">
        <v>0</v>
      </c>
      <c r="H1437" s="26">
        <v>0</v>
      </c>
    </row>
    <row r="1438" spans="1:8">
      <c r="A1438" s="24" t="s">
        <v>56</v>
      </c>
      <c r="B1438" s="24" t="s">
        <v>324</v>
      </c>
      <c r="C1438" s="25">
        <v>45870</v>
      </c>
      <c r="D1438" s="24" t="s">
        <v>2664</v>
      </c>
      <c r="E1438" s="26">
        <v>0</v>
      </c>
      <c r="F1438" s="26">
        <v>0</v>
      </c>
      <c r="G1438" s="26">
        <v>0</v>
      </c>
      <c r="H1438" s="26">
        <v>0</v>
      </c>
    </row>
    <row r="1439" spans="1:8">
      <c r="A1439" s="24" t="s">
        <v>56</v>
      </c>
      <c r="B1439" s="24" t="s">
        <v>324</v>
      </c>
      <c r="C1439" s="25">
        <v>45901</v>
      </c>
      <c r="D1439" s="24" t="s">
        <v>2665</v>
      </c>
      <c r="E1439" s="26">
        <v>0</v>
      </c>
      <c r="F1439" s="26">
        <v>0</v>
      </c>
      <c r="G1439" s="26">
        <v>0</v>
      </c>
      <c r="H1439" s="26">
        <v>0</v>
      </c>
    </row>
    <row r="1440" spans="1:8">
      <c r="A1440" s="24" t="s">
        <v>56</v>
      </c>
      <c r="B1440" s="24" t="s">
        <v>324</v>
      </c>
      <c r="C1440" s="25">
        <v>45931</v>
      </c>
      <c r="D1440" s="24" t="s">
        <v>2666</v>
      </c>
      <c r="E1440" s="26">
        <v>0</v>
      </c>
      <c r="F1440" s="26">
        <v>92909.1</v>
      </c>
      <c r="G1440" s="26">
        <v>-92909.1</v>
      </c>
      <c r="H1440" s="26">
        <v>-92909.1</v>
      </c>
    </row>
    <row r="1441" spans="1:8">
      <c r="A1441" s="24" t="s">
        <v>56</v>
      </c>
      <c r="B1441" s="24" t="s">
        <v>324</v>
      </c>
      <c r="C1441" s="25">
        <v>45962</v>
      </c>
      <c r="D1441" s="24" t="s">
        <v>2667</v>
      </c>
      <c r="E1441" s="26">
        <v>0</v>
      </c>
      <c r="F1441" s="26">
        <v>57165.82</v>
      </c>
      <c r="G1441" s="26">
        <v>-57165.82</v>
      </c>
      <c r="H1441" s="26">
        <v>-150074.92000000001</v>
      </c>
    </row>
    <row r="1442" spans="1:8">
      <c r="A1442" s="24" t="s">
        <v>56</v>
      </c>
      <c r="B1442" s="24" t="s">
        <v>324</v>
      </c>
      <c r="C1442" s="25">
        <v>45992</v>
      </c>
      <c r="D1442" s="24" t="s">
        <v>2668</v>
      </c>
      <c r="E1442" s="26">
        <v>0</v>
      </c>
      <c r="F1442" s="26">
        <v>125147.69</v>
      </c>
      <c r="G1442" s="26">
        <v>-125147.69</v>
      </c>
      <c r="H1442" s="26">
        <v>-275222.61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442"/>
  <sheetViews>
    <sheetView showGridLines="0" workbookViewId="0">
      <pane ySplit="2" topLeftCell="A174" activePane="bottomLeft" state="frozen"/>
      <selection pane="bottomLeft" sqref="A1:L1"/>
    </sheetView>
  </sheetViews>
  <sheetFormatPr baseColWidth="10" defaultColWidth="8.83203125" defaultRowHeight="15"/>
  <cols>
    <col min="1" max="1" width="13" customWidth="1"/>
    <col min="2" max="2" width="20" customWidth="1"/>
    <col min="3" max="3" width="12" customWidth="1"/>
    <col min="4" max="4" width="10" customWidth="1"/>
    <col min="5" max="12" width="18" customWidth="1"/>
  </cols>
  <sheetData>
    <row r="1" spans="1:12" ht="28" customHeight="1">
      <c r="A1" s="30" t="s">
        <v>2830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2">
      <c r="A2" s="23" t="s">
        <v>1</v>
      </c>
      <c r="B2" s="23" t="s">
        <v>309</v>
      </c>
      <c r="C2" s="23" t="s">
        <v>2825</v>
      </c>
      <c r="D2" s="23" t="s">
        <v>2686</v>
      </c>
      <c r="E2" s="23" t="s">
        <v>2831</v>
      </c>
      <c r="F2" s="23" t="s">
        <v>2832</v>
      </c>
      <c r="G2" s="23" t="s">
        <v>2833</v>
      </c>
      <c r="H2" s="23" t="s">
        <v>2834</v>
      </c>
      <c r="I2" s="23" t="s">
        <v>2672</v>
      </c>
      <c r="J2" s="23" t="s">
        <v>2835</v>
      </c>
      <c r="K2" s="23" t="s">
        <v>2836</v>
      </c>
      <c r="L2" s="23" t="s">
        <v>2837</v>
      </c>
    </row>
    <row r="3" spans="1:12">
      <c r="A3" s="24" t="s">
        <v>7</v>
      </c>
      <c r="B3" s="24" t="s">
        <v>318</v>
      </c>
      <c r="C3" s="25">
        <v>45658</v>
      </c>
      <c r="D3" s="24" t="s">
        <v>2657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7151</v>
      </c>
      <c r="K3" s="26">
        <v>-7151</v>
      </c>
      <c r="L3" s="27">
        <v>0</v>
      </c>
    </row>
    <row r="4" spans="1:12">
      <c r="A4" s="24" t="s">
        <v>7</v>
      </c>
      <c r="B4" s="24" t="s">
        <v>318</v>
      </c>
      <c r="C4" s="25">
        <v>45689</v>
      </c>
      <c r="D4" s="24" t="s">
        <v>2658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6365</v>
      </c>
      <c r="K4" s="26">
        <v>-6365</v>
      </c>
      <c r="L4" s="27">
        <v>0</v>
      </c>
    </row>
    <row r="5" spans="1:12">
      <c r="A5" s="24" t="s">
        <v>7</v>
      </c>
      <c r="B5" s="24" t="s">
        <v>318</v>
      </c>
      <c r="C5" s="25">
        <v>45717</v>
      </c>
      <c r="D5" s="24" t="s">
        <v>2659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5920</v>
      </c>
      <c r="K5" s="26">
        <v>-5920</v>
      </c>
      <c r="L5" s="27">
        <v>0</v>
      </c>
    </row>
    <row r="6" spans="1:12">
      <c r="A6" s="24" t="s">
        <v>7</v>
      </c>
      <c r="B6" s="24" t="s">
        <v>318</v>
      </c>
      <c r="C6" s="25">
        <v>45748</v>
      </c>
      <c r="D6" s="24" t="s">
        <v>2660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11795</v>
      </c>
      <c r="K6" s="26">
        <v>-11795</v>
      </c>
      <c r="L6" s="27">
        <v>0</v>
      </c>
    </row>
    <row r="7" spans="1:12">
      <c r="A7" s="24" t="s">
        <v>7</v>
      </c>
      <c r="B7" s="24" t="s">
        <v>318</v>
      </c>
      <c r="C7" s="25">
        <v>45778</v>
      </c>
      <c r="D7" s="24" t="s">
        <v>2661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13374</v>
      </c>
      <c r="K7" s="26">
        <v>-13374</v>
      </c>
      <c r="L7" s="27">
        <v>0</v>
      </c>
    </row>
    <row r="8" spans="1:12">
      <c r="A8" s="24" t="s">
        <v>7</v>
      </c>
      <c r="B8" s="24" t="s">
        <v>318</v>
      </c>
      <c r="C8" s="25">
        <v>45809</v>
      </c>
      <c r="D8" s="24" t="s">
        <v>2662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22665</v>
      </c>
      <c r="K8" s="26">
        <v>-22665</v>
      </c>
      <c r="L8" s="27">
        <v>0</v>
      </c>
    </row>
    <row r="9" spans="1:12">
      <c r="A9" s="24" t="s">
        <v>7</v>
      </c>
      <c r="B9" s="24" t="s">
        <v>318</v>
      </c>
      <c r="C9" s="25">
        <v>45839</v>
      </c>
      <c r="D9" s="24" t="s">
        <v>2663</v>
      </c>
      <c r="E9" s="26">
        <v>17207.919999999998</v>
      </c>
      <c r="F9" s="26">
        <v>0</v>
      </c>
      <c r="G9" s="26">
        <v>17207.919999999998</v>
      </c>
      <c r="H9" s="26">
        <v>0</v>
      </c>
      <c r="I9" s="26">
        <v>17207.919999999998</v>
      </c>
      <c r="J9" s="26">
        <v>16395</v>
      </c>
      <c r="K9" s="26">
        <v>812.91999999999825</v>
      </c>
      <c r="L9" s="27">
        <v>4.7241037847688641E-2</v>
      </c>
    </row>
    <row r="10" spans="1:12">
      <c r="A10" s="24" t="s">
        <v>7</v>
      </c>
      <c r="B10" s="24" t="s">
        <v>318</v>
      </c>
      <c r="C10" s="25">
        <v>45870</v>
      </c>
      <c r="D10" s="24" t="s">
        <v>2664</v>
      </c>
      <c r="E10" s="26">
        <v>13974.82</v>
      </c>
      <c r="F10" s="26">
        <v>0</v>
      </c>
      <c r="G10" s="26">
        <v>13974.82</v>
      </c>
      <c r="H10" s="26">
        <v>0</v>
      </c>
      <c r="I10" s="26">
        <v>13974.82</v>
      </c>
      <c r="J10" s="26">
        <v>19409</v>
      </c>
      <c r="K10" s="26">
        <v>-5434.18</v>
      </c>
      <c r="L10" s="27">
        <v>-0.3888550979547501</v>
      </c>
    </row>
    <row r="11" spans="1:12">
      <c r="A11" s="24" t="s">
        <v>7</v>
      </c>
      <c r="B11" s="24" t="s">
        <v>318</v>
      </c>
      <c r="C11" s="25">
        <v>45901</v>
      </c>
      <c r="D11" s="24" t="s">
        <v>2665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22872</v>
      </c>
      <c r="K11" s="26">
        <v>-22872</v>
      </c>
      <c r="L11" s="27">
        <v>0</v>
      </c>
    </row>
    <row r="12" spans="1:12">
      <c r="A12" s="24" t="s">
        <v>7</v>
      </c>
      <c r="B12" s="24" t="s">
        <v>318</v>
      </c>
      <c r="C12" s="25">
        <v>45931</v>
      </c>
      <c r="D12" s="24" t="s">
        <v>2666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16951</v>
      </c>
      <c r="K12" s="26">
        <v>-16951</v>
      </c>
      <c r="L12" s="27">
        <v>0</v>
      </c>
    </row>
    <row r="13" spans="1:12">
      <c r="A13" s="24" t="s">
        <v>7</v>
      </c>
      <c r="B13" s="24" t="s">
        <v>318</v>
      </c>
      <c r="C13" s="25">
        <v>45962</v>
      </c>
      <c r="D13" s="24" t="s">
        <v>2667</v>
      </c>
      <c r="E13" s="26">
        <v>25605.88</v>
      </c>
      <c r="F13" s="26">
        <v>0</v>
      </c>
      <c r="G13" s="26">
        <v>25605.88</v>
      </c>
      <c r="H13" s="26">
        <v>79491.710000000006</v>
      </c>
      <c r="I13" s="26">
        <v>-53885.83</v>
      </c>
      <c r="J13" s="26">
        <v>23956</v>
      </c>
      <c r="K13" s="26">
        <v>-77841.83</v>
      </c>
      <c r="L13" s="27">
        <v>-3.0399982347804491</v>
      </c>
    </row>
    <row r="14" spans="1:12">
      <c r="A14" s="24" t="s">
        <v>7</v>
      </c>
      <c r="B14" s="24" t="s">
        <v>318</v>
      </c>
      <c r="C14" s="25">
        <v>45992</v>
      </c>
      <c r="D14" s="24" t="s">
        <v>2668</v>
      </c>
      <c r="E14" s="26">
        <v>10861.26</v>
      </c>
      <c r="F14" s="26">
        <v>0</v>
      </c>
      <c r="G14" s="26">
        <v>10861.26</v>
      </c>
      <c r="H14" s="26">
        <v>113835.94</v>
      </c>
      <c r="I14" s="26">
        <v>-102974.68</v>
      </c>
      <c r="J14" s="26">
        <v>21684</v>
      </c>
      <c r="K14" s="26">
        <v>-124658.68</v>
      </c>
      <c r="L14" s="27">
        <v>-11.477368187484689</v>
      </c>
    </row>
    <row r="15" spans="1:12">
      <c r="A15" s="24" t="s">
        <v>97</v>
      </c>
      <c r="B15" s="24" t="s">
        <v>324</v>
      </c>
      <c r="C15" s="25">
        <v>45658</v>
      </c>
      <c r="D15" s="24" t="s">
        <v>2657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10217</v>
      </c>
      <c r="K15" s="26">
        <v>-10217</v>
      </c>
      <c r="L15" s="27">
        <v>0</v>
      </c>
    </row>
    <row r="16" spans="1:12">
      <c r="A16" s="24" t="s">
        <v>97</v>
      </c>
      <c r="B16" s="24" t="s">
        <v>324</v>
      </c>
      <c r="C16" s="25">
        <v>45689</v>
      </c>
      <c r="D16" s="24" t="s">
        <v>2658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9653</v>
      </c>
      <c r="K16" s="26">
        <v>-9653</v>
      </c>
      <c r="L16" s="27">
        <v>0</v>
      </c>
    </row>
    <row r="17" spans="1:12">
      <c r="A17" s="24" t="s">
        <v>97</v>
      </c>
      <c r="B17" s="24" t="s">
        <v>324</v>
      </c>
      <c r="C17" s="25">
        <v>45717</v>
      </c>
      <c r="D17" s="24" t="s">
        <v>2659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20793</v>
      </c>
      <c r="K17" s="26">
        <v>-20793</v>
      </c>
      <c r="L17" s="27">
        <v>0</v>
      </c>
    </row>
    <row r="18" spans="1:12">
      <c r="A18" s="24" t="s">
        <v>97</v>
      </c>
      <c r="B18" s="24" t="s">
        <v>324</v>
      </c>
      <c r="C18" s="25">
        <v>45748</v>
      </c>
      <c r="D18" s="24" t="s">
        <v>2660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6419</v>
      </c>
      <c r="K18" s="26">
        <v>-6419</v>
      </c>
      <c r="L18" s="27">
        <v>0</v>
      </c>
    </row>
    <row r="19" spans="1:12">
      <c r="A19" s="24" t="s">
        <v>97</v>
      </c>
      <c r="B19" s="24" t="s">
        <v>324</v>
      </c>
      <c r="C19" s="25">
        <v>45778</v>
      </c>
      <c r="D19" s="24" t="s">
        <v>2661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15821</v>
      </c>
      <c r="K19" s="26">
        <v>-15821</v>
      </c>
      <c r="L19" s="27">
        <v>0</v>
      </c>
    </row>
    <row r="20" spans="1:12">
      <c r="A20" s="24" t="s">
        <v>97</v>
      </c>
      <c r="B20" s="24" t="s">
        <v>324</v>
      </c>
      <c r="C20" s="25">
        <v>45809</v>
      </c>
      <c r="D20" s="24" t="s">
        <v>2662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13771</v>
      </c>
      <c r="K20" s="26">
        <v>-13771</v>
      </c>
      <c r="L20" s="27">
        <v>0</v>
      </c>
    </row>
    <row r="21" spans="1:12">
      <c r="A21" s="24" t="s">
        <v>97</v>
      </c>
      <c r="B21" s="24" t="s">
        <v>324</v>
      </c>
      <c r="C21" s="25">
        <v>45839</v>
      </c>
      <c r="D21" s="24" t="s">
        <v>2663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22958</v>
      </c>
      <c r="K21" s="26">
        <v>-22958</v>
      </c>
      <c r="L21" s="27">
        <v>0</v>
      </c>
    </row>
    <row r="22" spans="1:12">
      <c r="A22" s="24" t="s">
        <v>97</v>
      </c>
      <c r="B22" s="24" t="s">
        <v>324</v>
      </c>
      <c r="C22" s="25">
        <v>45870</v>
      </c>
      <c r="D22" s="24" t="s">
        <v>2664</v>
      </c>
      <c r="E22" s="26">
        <v>0</v>
      </c>
      <c r="F22" s="26">
        <v>0</v>
      </c>
      <c r="G22" s="26">
        <v>0</v>
      </c>
      <c r="H22" s="26">
        <v>85858.38</v>
      </c>
      <c r="I22" s="26">
        <v>-85858.38</v>
      </c>
      <c r="J22" s="26">
        <v>11816</v>
      </c>
      <c r="K22" s="26">
        <v>-97674.38</v>
      </c>
      <c r="L22" s="27">
        <v>0</v>
      </c>
    </row>
    <row r="23" spans="1:12">
      <c r="A23" s="24" t="s">
        <v>97</v>
      </c>
      <c r="B23" s="24" t="s">
        <v>324</v>
      </c>
      <c r="C23" s="25">
        <v>45901</v>
      </c>
      <c r="D23" s="24" t="s">
        <v>2665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11632</v>
      </c>
      <c r="K23" s="26">
        <v>-11632</v>
      </c>
      <c r="L23" s="27">
        <v>0</v>
      </c>
    </row>
    <row r="24" spans="1:12">
      <c r="A24" s="24" t="s">
        <v>97</v>
      </c>
      <c r="B24" s="24" t="s">
        <v>324</v>
      </c>
      <c r="C24" s="25">
        <v>45931</v>
      </c>
      <c r="D24" s="24" t="s">
        <v>2666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21889</v>
      </c>
      <c r="K24" s="26">
        <v>-21889</v>
      </c>
      <c r="L24" s="27">
        <v>0</v>
      </c>
    </row>
    <row r="25" spans="1:12">
      <c r="A25" s="24" t="s">
        <v>97</v>
      </c>
      <c r="B25" s="24" t="s">
        <v>324</v>
      </c>
      <c r="C25" s="25">
        <v>45962</v>
      </c>
      <c r="D25" s="24" t="s">
        <v>2667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10163</v>
      </c>
      <c r="K25" s="26">
        <v>-10163</v>
      </c>
      <c r="L25" s="27">
        <v>0</v>
      </c>
    </row>
    <row r="26" spans="1:12">
      <c r="A26" s="24" t="s">
        <v>97</v>
      </c>
      <c r="B26" s="24" t="s">
        <v>324</v>
      </c>
      <c r="C26" s="25">
        <v>45992</v>
      </c>
      <c r="D26" s="24" t="s">
        <v>2668</v>
      </c>
      <c r="E26" s="26">
        <v>0</v>
      </c>
      <c r="F26" s="26">
        <v>0</v>
      </c>
      <c r="G26" s="26">
        <v>0</v>
      </c>
      <c r="H26" s="26">
        <v>50540.05</v>
      </c>
      <c r="I26" s="26">
        <v>-50540.05</v>
      </c>
      <c r="J26" s="26">
        <v>20695</v>
      </c>
      <c r="K26" s="26">
        <v>-71235.05</v>
      </c>
      <c r="L26" s="27">
        <v>0</v>
      </c>
    </row>
    <row r="27" spans="1:12">
      <c r="A27" s="24" t="s">
        <v>116</v>
      </c>
      <c r="B27" s="24" t="s">
        <v>329</v>
      </c>
      <c r="C27" s="25">
        <v>45658</v>
      </c>
      <c r="D27" s="24" t="s">
        <v>2657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19090</v>
      </c>
      <c r="K27" s="26">
        <v>-19090</v>
      </c>
      <c r="L27" s="27">
        <v>0</v>
      </c>
    </row>
    <row r="28" spans="1:12">
      <c r="A28" s="24" t="s">
        <v>116</v>
      </c>
      <c r="B28" s="24" t="s">
        <v>329</v>
      </c>
      <c r="C28" s="25">
        <v>45689</v>
      </c>
      <c r="D28" s="24" t="s">
        <v>2658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12273</v>
      </c>
      <c r="K28" s="26">
        <v>-12273</v>
      </c>
      <c r="L28" s="27">
        <v>0</v>
      </c>
    </row>
    <row r="29" spans="1:12">
      <c r="A29" s="24" t="s">
        <v>116</v>
      </c>
      <c r="B29" s="24" t="s">
        <v>329</v>
      </c>
      <c r="C29" s="25">
        <v>45717</v>
      </c>
      <c r="D29" s="24" t="s">
        <v>2659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7281</v>
      </c>
      <c r="K29" s="26">
        <v>-7281</v>
      </c>
      <c r="L29" s="27">
        <v>0</v>
      </c>
    </row>
    <row r="30" spans="1:12">
      <c r="A30" s="24" t="s">
        <v>116</v>
      </c>
      <c r="B30" s="24" t="s">
        <v>329</v>
      </c>
      <c r="C30" s="25">
        <v>45748</v>
      </c>
      <c r="D30" s="24" t="s">
        <v>2660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7006</v>
      </c>
      <c r="K30" s="26">
        <v>-7006</v>
      </c>
      <c r="L30" s="27">
        <v>0</v>
      </c>
    </row>
    <row r="31" spans="1:12">
      <c r="A31" s="24" t="s">
        <v>116</v>
      </c>
      <c r="B31" s="24" t="s">
        <v>329</v>
      </c>
      <c r="C31" s="25">
        <v>45778</v>
      </c>
      <c r="D31" s="24" t="s">
        <v>2661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9121</v>
      </c>
      <c r="K31" s="26">
        <v>-9121</v>
      </c>
      <c r="L31" s="27">
        <v>0</v>
      </c>
    </row>
    <row r="32" spans="1:12">
      <c r="A32" s="24" t="s">
        <v>116</v>
      </c>
      <c r="B32" s="24" t="s">
        <v>329</v>
      </c>
      <c r="C32" s="25">
        <v>45809</v>
      </c>
      <c r="D32" s="24" t="s">
        <v>2662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14824</v>
      </c>
      <c r="K32" s="26">
        <v>-14824</v>
      </c>
      <c r="L32" s="27">
        <v>0</v>
      </c>
    </row>
    <row r="33" spans="1:12">
      <c r="A33" s="24" t="s">
        <v>116</v>
      </c>
      <c r="B33" s="24" t="s">
        <v>329</v>
      </c>
      <c r="C33" s="25">
        <v>45839</v>
      </c>
      <c r="D33" s="24" t="s">
        <v>2663</v>
      </c>
      <c r="E33" s="26">
        <v>0</v>
      </c>
      <c r="F33" s="26">
        <v>0</v>
      </c>
      <c r="G33" s="26">
        <v>0</v>
      </c>
      <c r="H33" s="26">
        <v>27802.36</v>
      </c>
      <c r="I33" s="26">
        <v>-27802.36</v>
      </c>
      <c r="J33" s="26">
        <v>12816</v>
      </c>
      <c r="K33" s="26">
        <v>-40618.36</v>
      </c>
      <c r="L33" s="27">
        <v>0</v>
      </c>
    </row>
    <row r="34" spans="1:12">
      <c r="A34" s="24" t="s">
        <v>116</v>
      </c>
      <c r="B34" s="24" t="s">
        <v>329</v>
      </c>
      <c r="C34" s="25">
        <v>45870</v>
      </c>
      <c r="D34" s="24" t="s">
        <v>2664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22837</v>
      </c>
      <c r="K34" s="26">
        <v>-22837</v>
      </c>
      <c r="L34" s="27">
        <v>0</v>
      </c>
    </row>
    <row r="35" spans="1:12">
      <c r="A35" s="24" t="s">
        <v>116</v>
      </c>
      <c r="B35" s="24" t="s">
        <v>329</v>
      </c>
      <c r="C35" s="25">
        <v>45901</v>
      </c>
      <c r="D35" s="24" t="s">
        <v>2665</v>
      </c>
      <c r="E35" s="26">
        <v>44034.400000000001</v>
      </c>
      <c r="F35" s="26">
        <v>0</v>
      </c>
      <c r="G35" s="26">
        <v>44034.400000000001</v>
      </c>
      <c r="H35" s="26">
        <v>0</v>
      </c>
      <c r="I35" s="26">
        <v>44034.400000000001</v>
      </c>
      <c r="J35" s="26">
        <v>11240</v>
      </c>
      <c r="K35" s="26">
        <v>32794.400000000001</v>
      </c>
      <c r="L35" s="27">
        <v>0.74474501753174793</v>
      </c>
    </row>
    <row r="36" spans="1:12">
      <c r="A36" s="24" t="s">
        <v>116</v>
      </c>
      <c r="B36" s="24" t="s">
        <v>329</v>
      </c>
      <c r="C36" s="25">
        <v>45931</v>
      </c>
      <c r="D36" s="24" t="s">
        <v>2666</v>
      </c>
      <c r="E36" s="26">
        <v>18742</v>
      </c>
      <c r="F36" s="26">
        <v>0</v>
      </c>
      <c r="G36" s="26">
        <v>18742</v>
      </c>
      <c r="H36" s="26">
        <v>114092.71</v>
      </c>
      <c r="I36" s="26">
        <v>-95350.71</v>
      </c>
      <c r="J36" s="26">
        <v>23491</v>
      </c>
      <c r="K36" s="26">
        <v>-118841.71</v>
      </c>
      <c r="L36" s="27">
        <v>-6.3409299967986348</v>
      </c>
    </row>
    <row r="37" spans="1:12">
      <c r="A37" s="24" t="s">
        <v>116</v>
      </c>
      <c r="B37" s="24" t="s">
        <v>329</v>
      </c>
      <c r="C37" s="25">
        <v>45962</v>
      </c>
      <c r="D37" s="24" t="s">
        <v>2667</v>
      </c>
      <c r="E37" s="26">
        <v>44113.9</v>
      </c>
      <c r="F37" s="26">
        <v>0</v>
      </c>
      <c r="G37" s="26">
        <v>44113.9</v>
      </c>
      <c r="H37" s="26">
        <v>0</v>
      </c>
      <c r="I37" s="26">
        <v>44113.9</v>
      </c>
      <c r="J37" s="26">
        <v>5261</v>
      </c>
      <c r="K37" s="26">
        <v>38852.9</v>
      </c>
      <c r="L37" s="27">
        <v>0.88074053756299031</v>
      </c>
    </row>
    <row r="38" spans="1:12">
      <c r="A38" s="24" t="s">
        <v>116</v>
      </c>
      <c r="B38" s="24" t="s">
        <v>329</v>
      </c>
      <c r="C38" s="25">
        <v>45992</v>
      </c>
      <c r="D38" s="24" t="s">
        <v>2668</v>
      </c>
      <c r="E38" s="26">
        <v>28495.82</v>
      </c>
      <c r="F38" s="26">
        <v>0</v>
      </c>
      <c r="G38" s="26">
        <v>28495.82</v>
      </c>
      <c r="H38" s="26">
        <v>27305.87</v>
      </c>
      <c r="I38" s="26">
        <v>1189.950000000001</v>
      </c>
      <c r="J38" s="26">
        <v>12332</v>
      </c>
      <c r="K38" s="26">
        <v>-11142.05</v>
      </c>
      <c r="L38" s="27">
        <v>-0.3910064704226795</v>
      </c>
    </row>
    <row r="39" spans="1:12">
      <c r="A39" s="24" t="s">
        <v>94</v>
      </c>
      <c r="B39" s="24" t="s">
        <v>318</v>
      </c>
      <c r="C39" s="25">
        <v>45658</v>
      </c>
      <c r="D39" s="24" t="s">
        <v>2657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10469</v>
      </c>
      <c r="K39" s="26">
        <v>-10469</v>
      </c>
      <c r="L39" s="27">
        <v>0</v>
      </c>
    </row>
    <row r="40" spans="1:12">
      <c r="A40" s="24" t="s">
        <v>94</v>
      </c>
      <c r="B40" s="24" t="s">
        <v>318</v>
      </c>
      <c r="C40" s="25">
        <v>45689</v>
      </c>
      <c r="D40" s="24" t="s">
        <v>2658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20568</v>
      </c>
      <c r="K40" s="26">
        <v>-20568</v>
      </c>
      <c r="L40" s="27">
        <v>0</v>
      </c>
    </row>
    <row r="41" spans="1:12">
      <c r="A41" s="24" t="s">
        <v>94</v>
      </c>
      <c r="B41" s="24" t="s">
        <v>318</v>
      </c>
      <c r="C41" s="25">
        <v>45717</v>
      </c>
      <c r="D41" s="24" t="s">
        <v>2659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8799</v>
      </c>
      <c r="K41" s="26">
        <v>-8799</v>
      </c>
      <c r="L41" s="27">
        <v>0</v>
      </c>
    </row>
    <row r="42" spans="1:12">
      <c r="A42" s="24" t="s">
        <v>94</v>
      </c>
      <c r="B42" s="24" t="s">
        <v>318</v>
      </c>
      <c r="C42" s="25">
        <v>45748</v>
      </c>
      <c r="D42" s="24" t="s">
        <v>2660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21425</v>
      </c>
      <c r="K42" s="26">
        <v>-21425</v>
      </c>
      <c r="L42" s="27">
        <v>0</v>
      </c>
    </row>
    <row r="43" spans="1:12">
      <c r="A43" s="24" t="s">
        <v>94</v>
      </c>
      <c r="B43" s="24" t="s">
        <v>318</v>
      </c>
      <c r="C43" s="25">
        <v>45778</v>
      </c>
      <c r="D43" s="24" t="s">
        <v>2661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15454</v>
      </c>
      <c r="K43" s="26">
        <v>-15454</v>
      </c>
      <c r="L43" s="27">
        <v>0</v>
      </c>
    </row>
    <row r="44" spans="1:12">
      <c r="A44" s="24" t="s">
        <v>94</v>
      </c>
      <c r="B44" s="24" t="s">
        <v>318</v>
      </c>
      <c r="C44" s="25">
        <v>45809</v>
      </c>
      <c r="D44" s="24" t="s">
        <v>2662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20752</v>
      </c>
      <c r="K44" s="26">
        <v>-20752</v>
      </c>
      <c r="L44" s="27">
        <v>0</v>
      </c>
    </row>
    <row r="45" spans="1:12">
      <c r="A45" s="24" t="s">
        <v>94</v>
      </c>
      <c r="B45" s="24" t="s">
        <v>318</v>
      </c>
      <c r="C45" s="25">
        <v>45839</v>
      </c>
      <c r="D45" s="24" t="s">
        <v>2663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17777</v>
      </c>
      <c r="K45" s="26">
        <v>-17777</v>
      </c>
      <c r="L45" s="27">
        <v>0</v>
      </c>
    </row>
    <row r="46" spans="1:12">
      <c r="A46" s="24" t="s">
        <v>94</v>
      </c>
      <c r="B46" s="24" t="s">
        <v>318</v>
      </c>
      <c r="C46" s="25">
        <v>45870</v>
      </c>
      <c r="D46" s="24" t="s">
        <v>2664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24744</v>
      </c>
      <c r="K46" s="26">
        <v>-24744</v>
      </c>
      <c r="L46" s="27">
        <v>0</v>
      </c>
    </row>
    <row r="47" spans="1:12">
      <c r="A47" s="24" t="s">
        <v>94</v>
      </c>
      <c r="B47" s="24" t="s">
        <v>318</v>
      </c>
      <c r="C47" s="25">
        <v>45901</v>
      </c>
      <c r="D47" s="24" t="s">
        <v>2665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19502</v>
      </c>
      <c r="K47" s="26">
        <v>-19502</v>
      </c>
      <c r="L47" s="27">
        <v>0</v>
      </c>
    </row>
    <row r="48" spans="1:12">
      <c r="A48" s="24" t="s">
        <v>94</v>
      </c>
      <c r="B48" s="24" t="s">
        <v>318</v>
      </c>
      <c r="C48" s="25">
        <v>45931</v>
      </c>
      <c r="D48" s="24" t="s">
        <v>2666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7398</v>
      </c>
      <c r="K48" s="26">
        <v>-7398</v>
      </c>
      <c r="L48" s="27">
        <v>0</v>
      </c>
    </row>
    <row r="49" spans="1:12">
      <c r="A49" s="24" t="s">
        <v>94</v>
      </c>
      <c r="B49" s="24" t="s">
        <v>318</v>
      </c>
      <c r="C49" s="25">
        <v>45962</v>
      </c>
      <c r="D49" s="24" t="s">
        <v>2667</v>
      </c>
      <c r="E49" s="26">
        <v>0</v>
      </c>
      <c r="F49" s="26">
        <v>0</v>
      </c>
      <c r="G49" s="26">
        <v>0</v>
      </c>
      <c r="H49" s="26">
        <v>105740.3</v>
      </c>
      <c r="I49" s="26">
        <v>-105740.3</v>
      </c>
      <c r="J49" s="26">
        <v>9638</v>
      </c>
      <c r="K49" s="26">
        <v>-115378.3</v>
      </c>
      <c r="L49" s="27">
        <v>0</v>
      </c>
    </row>
    <row r="50" spans="1:12">
      <c r="A50" s="24" t="s">
        <v>94</v>
      </c>
      <c r="B50" s="24" t="s">
        <v>318</v>
      </c>
      <c r="C50" s="25">
        <v>45992</v>
      </c>
      <c r="D50" s="24" t="s">
        <v>2668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14131</v>
      </c>
      <c r="K50" s="26">
        <v>-14131</v>
      </c>
      <c r="L50" s="27">
        <v>0</v>
      </c>
    </row>
    <row r="51" spans="1:12">
      <c r="A51" s="24" t="s">
        <v>57</v>
      </c>
      <c r="B51" s="24" t="s">
        <v>329</v>
      </c>
      <c r="C51" s="25">
        <v>45658</v>
      </c>
      <c r="D51" s="24" t="s">
        <v>2657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14673</v>
      </c>
      <c r="K51" s="26">
        <v>-14673</v>
      </c>
      <c r="L51" s="27">
        <v>0</v>
      </c>
    </row>
    <row r="52" spans="1:12">
      <c r="A52" s="24" t="s">
        <v>57</v>
      </c>
      <c r="B52" s="24" t="s">
        <v>329</v>
      </c>
      <c r="C52" s="25">
        <v>45689</v>
      </c>
      <c r="D52" s="24" t="s">
        <v>2658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21018</v>
      </c>
      <c r="K52" s="26">
        <v>-21018</v>
      </c>
      <c r="L52" s="27">
        <v>0</v>
      </c>
    </row>
    <row r="53" spans="1:12">
      <c r="A53" s="24" t="s">
        <v>57</v>
      </c>
      <c r="B53" s="24" t="s">
        <v>329</v>
      </c>
      <c r="C53" s="25">
        <v>45717</v>
      </c>
      <c r="D53" s="24" t="s">
        <v>2659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6698</v>
      </c>
      <c r="K53" s="26">
        <v>-6698</v>
      </c>
      <c r="L53" s="27">
        <v>0</v>
      </c>
    </row>
    <row r="54" spans="1:12">
      <c r="A54" s="24" t="s">
        <v>57</v>
      </c>
      <c r="B54" s="24" t="s">
        <v>329</v>
      </c>
      <c r="C54" s="25">
        <v>45748</v>
      </c>
      <c r="D54" s="24" t="s">
        <v>2660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20840</v>
      </c>
      <c r="K54" s="26">
        <v>-20840</v>
      </c>
      <c r="L54" s="27">
        <v>0</v>
      </c>
    </row>
    <row r="55" spans="1:12">
      <c r="A55" s="24" t="s">
        <v>57</v>
      </c>
      <c r="B55" s="24" t="s">
        <v>329</v>
      </c>
      <c r="C55" s="25">
        <v>45778</v>
      </c>
      <c r="D55" s="24" t="s">
        <v>2661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19648</v>
      </c>
      <c r="K55" s="26">
        <v>-19648</v>
      </c>
      <c r="L55" s="27">
        <v>0</v>
      </c>
    </row>
    <row r="56" spans="1:12">
      <c r="A56" s="24" t="s">
        <v>57</v>
      </c>
      <c r="B56" s="24" t="s">
        <v>329</v>
      </c>
      <c r="C56" s="25">
        <v>45809</v>
      </c>
      <c r="D56" s="24" t="s">
        <v>2662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18998</v>
      </c>
      <c r="K56" s="26">
        <v>-18998</v>
      </c>
      <c r="L56" s="27">
        <v>0</v>
      </c>
    </row>
    <row r="57" spans="1:12">
      <c r="A57" s="24" t="s">
        <v>57</v>
      </c>
      <c r="B57" s="24" t="s">
        <v>329</v>
      </c>
      <c r="C57" s="25">
        <v>45839</v>
      </c>
      <c r="D57" s="24" t="s">
        <v>2663</v>
      </c>
      <c r="E57" s="26">
        <v>27009.85</v>
      </c>
      <c r="F57" s="26">
        <v>0</v>
      </c>
      <c r="G57" s="26">
        <v>27009.85</v>
      </c>
      <c r="H57" s="26">
        <v>0</v>
      </c>
      <c r="I57" s="26">
        <v>27009.85</v>
      </c>
      <c r="J57" s="26">
        <v>23993</v>
      </c>
      <c r="K57" s="26">
        <v>3016.849999999999</v>
      </c>
      <c r="L57" s="27">
        <v>0.1116944373996893</v>
      </c>
    </row>
    <row r="58" spans="1:12">
      <c r="A58" s="24" t="s">
        <v>57</v>
      </c>
      <c r="B58" s="24" t="s">
        <v>329</v>
      </c>
      <c r="C58" s="25">
        <v>45870</v>
      </c>
      <c r="D58" s="24" t="s">
        <v>2664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20556</v>
      </c>
      <c r="K58" s="26">
        <v>-20556</v>
      </c>
      <c r="L58" s="27">
        <v>0</v>
      </c>
    </row>
    <row r="59" spans="1:12">
      <c r="A59" s="24" t="s">
        <v>57</v>
      </c>
      <c r="B59" s="24" t="s">
        <v>329</v>
      </c>
      <c r="C59" s="25">
        <v>45901</v>
      </c>
      <c r="D59" s="24" t="s">
        <v>2665</v>
      </c>
      <c r="E59" s="26">
        <v>17037.490000000002</v>
      </c>
      <c r="F59" s="26">
        <v>39295.47</v>
      </c>
      <c r="G59" s="26">
        <v>-22257.98</v>
      </c>
      <c r="H59" s="26">
        <v>62526.55</v>
      </c>
      <c r="I59" s="26">
        <v>-84784.53</v>
      </c>
      <c r="J59" s="26">
        <v>16952</v>
      </c>
      <c r="K59" s="26">
        <v>-101736.53</v>
      </c>
      <c r="L59" s="27">
        <v>4.5707889934306696</v>
      </c>
    </row>
    <row r="60" spans="1:12">
      <c r="A60" s="24" t="s">
        <v>57</v>
      </c>
      <c r="B60" s="24" t="s">
        <v>329</v>
      </c>
      <c r="C60" s="25">
        <v>45931</v>
      </c>
      <c r="D60" s="24" t="s">
        <v>2666</v>
      </c>
      <c r="E60" s="26">
        <v>24745.97</v>
      </c>
      <c r="F60" s="26">
        <v>0</v>
      </c>
      <c r="G60" s="26">
        <v>24745.97</v>
      </c>
      <c r="H60" s="26">
        <v>0</v>
      </c>
      <c r="I60" s="26">
        <v>24745.97</v>
      </c>
      <c r="J60" s="26">
        <v>19237</v>
      </c>
      <c r="K60" s="26">
        <v>5508.9700000000012</v>
      </c>
      <c r="L60" s="27">
        <v>0.22262089544277311</v>
      </c>
    </row>
    <row r="61" spans="1:12">
      <c r="A61" s="24" t="s">
        <v>57</v>
      </c>
      <c r="B61" s="24" t="s">
        <v>329</v>
      </c>
      <c r="C61" s="25">
        <v>45962</v>
      </c>
      <c r="D61" s="24" t="s">
        <v>2667</v>
      </c>
      <c r="E61" s="26">
        <v>0</v>
      </c>
      <c r="F61" s="26">
        <v>0</v>
      </c>
      <c r="G61" s="26">
        <v>0</v>
      </c>
      <c r="H61" s="26">
        <v>115063.02</v>
      </c>
      <c r="I61" s="26">
        <v>-115063.02</v>
      </c>
      <c r="J61" s="26">
        <v>18066</v>
      </c>
      <c r="K61" s="26">
        <v>-133129.01999999999</v>
      </c>
      <c r="L61" s="27">
        <v>0</v>
      </c>
    </row>
    <row r="62" spans="1:12">
      <c r="A62" s="24" t="s">
        <v>57</v>
      </c>
      <c r="B62" s="24" t="s">
        <v>329</v>
      </c>
      <c r="C62" s="25">
        <v>45992</v>
      </c>
      <c r="D62" s="24" t="s">
        <v>2668</v>
      </c>
      <c r="E62" s="26">
        <v>26629.85</v>
      </c>
      <c r="F62" s="26">
        <v>0</v>
      </c>
      <c r="G62" s="26">
        <v>26629.85</v>
      </c>
      <c r="H62" s="26">
        <v>82990.710000000006</v>
      </c>
      <c r="I62" s="26">
        <v>-56360.860000000008</v>
      </c>
      <c r="J62" s="26">
        <v>19917</v>
      </c>
      <c r="K62" s="26">
        <v>-76277.860000000015</v>
      </c>
      <c r="L62" s="27">
        <v>-2.864374376874073</v>
      </c>
    </row>
    <row r="63" spans="1:12">
      <c r="A63" s="24" t="s">
        <v>273</v>
      </c>
      <c r="B63" s="24" t="s">
        <v>337</v>
      </c>
      <c r="C63" s="25">
        <v>45658</v>
      </c>
      <c r="D63" s="24" t="s">
        <v>2657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6333</v>
      </c>
      <c r="K63" s="26">
        <v>-6333</v>
      </c>
      <c r="L63" s="27">
        <v>0</v>
      </c>
    </row>
    <row r="64" spans="1:12">
      <c r="A64" s="24" t="s">
        <v>273</v>
      </c>
      <c r="B64" s="24" t="s">
        <v>337</v>
      </c>
      <c r="C64" s="25">
        <v>45689</v>
      </c>
      <c r="D64" s="24" t="s">
        <v>2658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17374</v>
      </c>
      <c r="K64" s="26">
        <v>-17374</v>
      </c>
      <c r="L64" s="27">
        <v>0</v>
      </c>
    </row>
    <row r="65" spans="1:12">
      <c r="A65" s="24" t="s">
        <v>273</v>
      </c>
      <c r="B65" s="24" t="s">
        <v>337</v>
      </c>
      <c r="C65" s="25">
        <v>45717</v>
      </c>
      <c r="D65" s="24" t="s">
        <v>2659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12685</v>
      </c>
      <c r="K65" s="26">
        <v>-12685</v>
      </c>
      <c r="L65" s="27">
        <v>0</v>
      </c>
    </row>
    <row r="66" spans="1:12">
      <c r="A66" s="24" t="s">
        <v>273</v>
      </c>
      <c r="B66" s="24" t="s">
        <v>337</v>
      </c>
      <c r="C66" s="25">
        <v>45748</v>
      </c>
      <c r="D66" s="24" t="s">
        <v>2660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13716</v>
      </c>
      <c r="K66" s="26">
        <v>-13716</v>
      </c>
      <c r="L66" s="27">
        <v>0</v>
      </c>
    </row>
    <row r="67" spans="1:12">
      <c r="A67" s="24" t="s">
        <v>273</v>
      </c>
      <c r="B67" s="24" t="s">
        <v>337</v>
      </c>
      <c r="C67" s="25">
        <v>45778</v>
      </c>
      <c r="D67" s="24" t="s">
        <v>2661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17014</v>
      </c>
      <c r="K67" s="26">
        <v>-17014</v>
      </c>
      <c r="L67" s="27">
        <v>0</v>
      </c>
    </row>
    <row r="68" spans="1:12">
      <c r="A68" s="24" t="s">
        <v>273</v>
      </c>
      <c r="B68" s="24" t="s">
        <v>337</v>
      </c>
      <c r="C68" s="25">
        <v>45809</v>
      </c>
      <c r="D68" s="24" t="s">
        <v>2662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14225</v>
      </c>
      <c r="K68" s="26">
        <v>-14225</v>
      </c>
      <c r="L68" s="27">
        <v>0</v>
      </c>
    </row>
    <row r="69" spans="1:12">
      <c r="A69" s="24" t="s">
        <v>273</v>
      </c>
      <c r="B69" s="24" t="s">
        <v>337</v>
      </c>
      <c r="C69" s="25">
        <v>45839</v>
      </c>
      <c r="D69" s="24" t="s">
        <v>2663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17447</v>
      </c>
      <c r="K69" s="26">
        <v>-17447</v>
      </c>
      <c r="L69" s="27">
        <v>0</v>
      </c>
    </row>
    <row r="70" spans="1:12">
      <c r="A70" s="24" t="s">
        <v>273</v>
      </c>
      <c r="B70" s="24" t="s">
        <v>337</v>
      </c>
      <c r="C70" s="25">
        <v>45870</v>
      </c>
      <c r="D70" s="24" t="s">
        <v>2664</v>
      </c>
      <c r="E70" s="26">
        <v>0</v>
      </c>
      <c r="F70" s="26">
        <v>0</v>
      </c>
      <c r="G70" s="26">
        <v>0</v>
      </c>
      <c r="H70" s="26">
        <v>39864.03</v>
      </c>
      <c r="I70" s="26">
        <v>-39864.03</v>
      </c>
      <c r="J70" s="26">
        <v>16944</v>
      </c>
      <c r="K70" s="26">
        <v>-56808.03</v>
      </c>
      <c r="L70" s="27">
        <v>0</v>
      </c>
    </row>
    <row r="71" spans="1:12">
      <c r="A71" s="24" t="s">
        <v>273</v>
      </c>
      <c r="B71" s="24" t="s">
        <v>337</v>
      </c>
      <c r="C71" s="25">
        <v>45901</v>
      </c>
      <c r="D71" s="24" t="s">
        <v>2665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20037</v>
      </c>
      <c r="K71" s="26">
        <v>-20037</v>
      </c>
      <c r="L71" s="27">
        <v>0</v>
      </c>
    </row>
    <row r="72" spans="1:12">
      <c r="A72" s="24" t="s">
        <v>273</v>
      </c>
      <c r="B72" s="24" t="s">
        <v>337</v>
      </c>
      <c r="C72" s="25">
        <v>45931</v>
      </c>
      <c r="D72" s="24" t="s">
        <v>2666</v>
      </c>
      <c r="E72" s="26">
        <v>0</v>
      </c>
      <c r="F72" s="26">
        <v>56659.03</v>
      </c>
      <c r="G72" s="26">
        <v>-56659.03</v>
      </c>
      <c r="H72" s="26">
        <v>0</v>
      </c>
      <c r="I72" s="26">
        <v>-56659.03</v>
      </c>
      <c r="J72" s="26">
        <v>10973</v>
      </c>
      <c r="K72" s="26">
        <v>-67632.03</v>
      </c>
      <c r="L72" s="27">
        <v>1.193667275984075</v>
      </c>
    </row>
    <row r="73" spans="1:12">
      <c r="A73" s="24" t="s">
        <v>273</v>
      </c>
      <c r="B73" s="24" t="s">
        <v>337</v>
      </c>
      <c r="C73" s="25">
        <v>45962</v>
      </c>
      <c r="D73" s="24" t="s">
        <v>2667</v>
      </c>
      <c r="E73" s="26">
        <v>0</v>
      </c>
      <c r="F73" s="26">
        <v>0</v>
      </c>
      <c r="G73" s="26">
        <v>0</v>
      </c>
      <c r="H73" s="26">
        <v>73414.95</v>
      </c>
      <c r="I73" s="26">
        <v>-73414.95</v>
      </c>
      <c r="J73" s="26">
        <v>7891</v>
      </c>
      <c r="K73" s="26">
        <v>-81305.95</v>
      </c>
      <c r="L73" s="27">
        <v>0</v>
      </c>
    </row>
    <row r="74" spans="1:12">
      <c r="A74" s="24" t="s">
        <v>273</v>
      </c>
      <c r="B74" s="24" t="s">
        <v>337</v>
      </c>
      <c r="C74" s="25">
        <v>45992</v>
      </c>
      <c r="D74" s="24" t="s">
        <v>2668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13466</v>
      </c>
      <c r="K74" s="26">
        <v>-13466</v>
      </c>
      <c r="L74" s="27">
        <v>0</v>
      </c>
    </row>
    <row r="75" spans="1:12">
      <c r="A75" s="24" t="s">
        <v>197</v>
      </c>
      <c r="B75" s="24" t="s">
        <v>337</v>
      </c>
      <c r="C75" s="25">
        <v>45658</v>
      </c>
      <c r="D75" s="24" t="s">
        <v>2657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5435</v>
      </c>
      <c r="K75" s="26">
        <v>-5435</v>
      </c>
      <c r="L75" s="27">
        <v>0</v>
      </c>
    </row>
    <row r="76" spans="1:12">
      <c r="A76" s="24" t="s">
        <v>197</v>
      </c>
      <c r="B76" s="24" t="s">
        <v>337</v>
      </c>
      <c r="C76" s="25">
        <v>45689</v>
      </c>
      <c r="D76" s="24" t="s">
        <v>2658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16856</v>
      </c>
      <c r="K76" s="26">
        <v>-16856</v>
      </c>
      <c r="L76" s="27">
        <v>0</v>
      </c>
    </row>
    <row r="77" spans="1:12">
      <c r="A77" s="24" t="s">
        <v>197</v>
      </c>
      <c r="B77" s="24" t="s">
        <v>337</v>
      </c>
      <c r="C77" s="25">
        <v>45717</v>
      </c>
      <c r="D77" s="24" t="s">
        <v>2659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20670</v>
      </c>
      <c r="K77" s="26">
        <v>-20670</v>
      </c>
      <c r="L77" s="27">
        <v>0</v>
      </c>
    </row>
    <row r="78" spans="1:12">
      <c r="A78" s="24" t="s">
        <v>197</v>
      </c>
      <c r="B78" s="24" t="s">
        <v>337</v>
      </c>
      <c r="C78" s="25">
        <v>45748</v>
      </c>
      <c r="D78" s="24" t="s">
        <v>2660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18806</v>
      </c>
      <c r="K78" s="26">
        <v>-18806</v>
      </c>
      <c r="L78" s="27">
        <v>0</v>
      </c>
    </row>
    <row r="79" spans="1:12">
      <c r="A79" s="24" t="s">
        <v>197</v>
      </c>
      <c r="B79" s="24" t="s">
        <v>337</v>
      </c>
      <c r="C79" s="25">
        <v>45778</v>
      </c>
      <c r="D79" s="24" t="s">
        <v>2661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8736</v>
      </c>
      <c r="K79" s="26">
        <v>-8736</v>
      </c>
      <c r="L79" s="27">
        <v>0</v>
      </c>
    </row>
    <row r="80" spans="1:12">
      <c r="A80" s="24" t="s">
        <v>197</v>
      </c>
      <c r="B80" s="24" t="s">
        <v>337</v>
      </c>
      <c r="C80" s="25">
        <v>45809</v>
      </c>
      <c r="D80" s="24" t="s">
        <v>2662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24226</v>
      </c>
      <c r="K80" s="26">
        <v>-24226</v>
      </c>
      <c r="L80" s="27">
        <v>0</v>
      </c>
    </row>
    <row r="81" spans="1:12">
      <c r="A81" s="24" t="s">
        <v>197</v>
      </c>
      <c r="B81" s="24" t="s">
        <v>337</v>
      </c>
      <c r="C81" s="25">
        <v>45839</v>
      </c>
      <c r="D81" s="24" t="s">
        <v>2663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15772</v>
      </c>
      <c r="K81" s="26">
        <v>-15772</v>
      </c>
      <c r="L81" s="27">
        <v>0</v>
      </c>
    </row>
    <row r="82" spans="1:12">
      <c r="A82" s="24" t="s">
        <v>197</v>
      </c>
      <c r="B82" s="24" t="s">
        <v>337</v>
      </c>
      <c r="C82" s="25">
        <v>45870</v>
      </c>
      <c r="D82" s="24" t="s">
        <v>2664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8151</v>
      </c>
      <c r="K82" s="26">
        <v>-8151</v>
      </c>
      <c r="L82" s="27">
        <v>0</v>
      </c>
    </row>
    <row r="83" spans="1:12">
      <c r="A83" s="24" t="s">
        <v>197</v>
      </c>
      <c r="B83" s="24" t="s">
        <v>337</v>
      </c>
      <c r="C83" s="25">
        <v>45901</v>
      </c>
      <c r="D83" s="24" t="s">
        <v>2665</v>
      </c>
      <c r="E83" s="26">
        <v>5966.5</v>
      </c>
      <c r="F83" s="26">
        <v>0</v>
      </c>
      <c r="G83" s="26">
        <v>5966.5</v>
      </c>
      <c r="H83" s="26">
        <v>0</v>
      </c>
      <c r="I83" s="26">
        <v>5966.5</v>
      </c>
      <c r="J83" s="26">
        <v>18007</v>
      </c>
      <c r="K83" s="26">
        <v>-12040.5</v>
      </c>
      <c r="L83" s="27">
        <v>-2.018017263052041</v>
      </c>
    </row>
    <row r="84" spans="1:12">
      <c r="A84" s="24" t="s">
        <v>197</v>
      </c>
      <c r="B84" s="24" t="s">
        <v>337</v>
      </c>
      <c r="C84" s="25">
        <v>45931</v>
      </c>
      <c r="D84" s="24" t="s">
        <v>2666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9960</v>
      </c>
      <c r="K84" s="26">
        <v>-9960</v>
      </c>
      <c r="L84" s="27">
        <v>0</v>
      </c>
    </row>
    <row r="85" spans="1:12">
      <c r="A85" s="24" t="s">
        <v>197</v>
      </c>
      <c r="B85" s="24" t="s">
        <v>337</v>
      </c>
      <c r="C85" s="25">
        <v>45962</v>
      </c>
      <c r="D85" s="24" t="s">
        <v>2667</v>
      </c>
      <c r="E85" s="26">
        <v>10630.69</v>
      </c>
      <c r="F85" s="26">
        <v>0</v>
      </c>
      <c r="G85" s="26">
        <v>10630.69</v>
      </c>
      <c r="H85" s="26">
        <v>0</v>
      </c>
      <c r="I85" s="26">
        <v>10630.69</v>
      </c>
      <c r="J85" s="26">
        <v>6006</v>
      </c>
      <c r="K85" s="26">
        <v>4624.6900000000014</v>
      </c>
      <c r="L85" s="27">
        <v>0.43503196876214062</v>
      </c>
    </row>
    <row r="86" spans="1:12">
      <c r="A86" s="24" t="s">
        <v>197</v>
      </c>
      <c r="B86" s="24" t="s">
        <v>337</v>
      </c>
      <c r="C86" s="25">
        <v>45992</v>
      </c>
      <c r="D86" s="24" t="s">
        <v>2668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9408</v>
      </c>
      <c r="K86" s="26">
        <v>-9408</v>
      </c>
      <c r="L86" s="27">
        <v>0</v>
      </c>
    </row>
    <row r="87" spans="1:12">
      <c r="A87" s="24" t="s">
        <v>43</v>
      </c>
      <c r="B87" s="24" t="s">
        <v>337</v>
      </c>
      <c r="C87" s="25">
        <v>45658</v>
      </c>
      <c r="D87" s="24" t="s">
        <v>2657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23367</v>
      </c>
      <c r="K87" s="26">
        <v>-23367</v>
      </c>
      <c r="L87" s="27">
        <v>0</v>
      </c>
    </row>
    <row r="88" spans="1:12">
      <c r="A88" s="24" t="s">
        <v>43</v>
      </c>
      <c r="B88" s="24" t="s">
        <v>337</v>
      </c>
      <c r="C88" s="25">
        <v>45689</v>
      </c>
      <c r="D88" s="24" t="s">
        <v>2658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11846</v>
      </c>
      <c r="K88" s="26">
        <v>-11846</v>
      </c>
      <c r="L88" s="27">
        <v>0</v>
      </c>
    </row>
    <row r="89" spans="1:12">
      <c r="A89" s="24" t="s">
        <v>43</v>
      </c>
      <c r="B89" s="24" t="s">
        <v>337</v>
      </c>
      <c r="C89" s="25">
        <v>45717</v>
      </c>
      <c r="D89" s="24" t="s">
        <v>2659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20359</v>
      </c>
      <c r="K89" s="26">
        <v>-20359</v>
      </c>
      <c r="L89" s="27">
        <v>0</v>
      </c>
    </row>
    <row r="90" spans="1:12">
      <c r="A90" s="24" t="s">
        <v>43</v>
      </c>
      <c r="B90" s="24" t="s">
        <v>337</v>
      </c>
      <c r="C90" s="25">
        <v>45748</v>
      </c>
      <c r="D90" s="24" t="s">
        <v>2660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19932</v>
      </c>
      <c r="K90" s="26">
        <v>-19932</v>
      </c>
      <c r="L90" s="27">
        <v>0</v>
      </c>
    </row>
    <row r="91" spans="1:12">
      <c r="A91" s="24" t="s">
        <v>43</v>
      </c>
      <c r="B91" s="24" t="s">
        <v>337</v>
      </c>
      <c r="C91" s="25">
        <v>45778</v>
      </c>
      <c r="D91" s="24" t="s">
        <v>2661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11661</v>
      </c>
      <c r="K91" s="26">
        <v>-11661</v>
      </c>
      <c r="L91" s="27">
        <v>0</v>
      </c>
    </row>
    <row r="92" spans="1:12">
      <c r="A92" s="24" t="s">
        <v>43</v>
      </c>
      <c r="B92" s="24" t="s">
        <v>337</v>
      </c>
      <c r="C92" s="25">
        <v>45809</v>
      </c>
      <c r="D92" s="24" t="s">
        <v>2662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14470</v>
      </c>
      <c r="K92" s="26">
        <v>-14470</v>
      </c>
      <c r="L92" s="27">
        <v>0</v>
      </c>
    </row>
    <row r="93" spans="1:12">
      <c r="A93" s="24" t="s">
        <v>43</v>
      </c>
      <c r="B93" s="24" t="s">
        <v>337</v>
      </c>
      <c r="C93" s="25">
        <v>45839</v>
      </c>
      <c r="D93" s="24" t="s">
        <v>2663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11783</v>
      </c>
      <c r="K93" s="26">
        <v>-11783</v>
      </c>
      <c r="L93" s="27">
        <v>0</v>
      </c>
    </row>
    <row r="94" spans="1:12">
      <c r="A94" s="24" t="s">
        <v>43</v>
      </c>
      <c r="B94" s="24" t="s">
        <v>337</v>
      </c>
      <c r="C94" s="25">
        <v>45870</v>
      </c>
      <c r="D94" s="24" t="s">
        <v>2664</v>
      </c>
      <c r="E94" s="26">
        <v>0</v>
      </c>
      <c r="F94" s="26">
        <v>0</v>
      </c>
      <c r="G94" s="26">
        <v>0</v>
      </c>
      <c r="H94" s="26">
        <v>7677.63</v>
      </c>
      <c r="I94" s="26">
        <v>-7677.63</v>
      </c>
      <c r="J94" s="26">
        <v>7924</v>
      </c>
      <c r="K94" s="26">
        <v>-15601.63</v>
      </c>
      <c r="L94" s="27">
        <v>0</v>
      </c>
    </row>
    <row r="95" spans="1:12">
      <c r="A95" s="24" t="s">
        <v>43</v>
      </c>
      <c r="B95" s="24" t="s">
        <v>337</v>
      </c>
      <c r="C95" s="25">
        <v>45901</v>
      </c>
      <c r="D95" s="24" t="s">
        <v>2665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8532</v>
      </c>
      <c r="K95" s="26">
        <v>-8532</v>
      </c>
      <c r="L95" s="27">
        <v>0</v>
      </c>
    </row>
    <row r="96" spans="1:12">
      <c r="A96" s="24" t="s">
        <v>43</v>
      </c>
      <c r="B96" s="24" t="s">
        <v>337</v>
      </c>
      <c r="C96" s="25">
        <v>45931</v>
      </c>
      <c r="D96" s="24" t="s">
        <v>2666</v>
      </c>
      <c r="E96" s="26">
        <v>10579.66</v>
      </c>
      <c r="F96" s="26">
        <v>0</v>
      </c>
      <c r="G96" s="26">
        <v>10579.66</v>
      </c>
      <c r="H96" s="26">
        <v>28082.76</v>
      </c>
      <c r="I96" s="26">
        <v>-17503.099999999999</v>
      </c>
      <c r="J96" s="26">
        <v>18202</v>
      </c>
      <c r="K96" s="26">
        <v>-35705.1</v>
      </c>
      <c r="L96" s="27">
        <v>-3.3748816124525738</v>
      </c>
    </row>
    <row r="97" spans="1:12">
      <c r="A97" s="24" t="s">
        <v>43</v>
      </c>
      <c r="B97" s="24" t="s">
        <v>337</v>
      </c>
      <c r="C97" s="25">
        <v>45962</v>
      </c>
      <c r="D97" s="24" t="s">
        <v>2667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7991</v>
      </c>
      <c r="K97" s="26">
        <v>-7991</v>
      </c>
      <c r="L97" s="27">
        <v>0</v>
      </c>
    </row>
    <row r="98" spans="1:12">
      <c r="A98" s="24" t="s">
        <v>43</v>
      </c>
      <c r="B98" s="24" t="s">
        <v>337</v>
      </c>
      <c r="C98" s="25">
        <v>45992</v>
      </c>
      <c r="D98" s="24" t="s">
        <v>2668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12945</v>
      </c>
      <c r="K98" s="26">
        <v>-12945</v>
      </c>
      <c r="L98" s="27">
        <v>0</v>
      </c>
    </row>
    <row r="99" spans="1:12">
      <c r="A99" s="24" t="s">
        <v>114</v>
      </c>
      <c r="B99" s="24" t="s">
        <v>318</v>
      </c>
      <c r="C99" s="25">
        <v>45658</v>
      </c>
      <c r="D99" s="24" t="s">
        <v>2657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18538</v>
      </c>
      <c r="K99" s="26">
        <v>-18538</v>
      </c>
      <c r="L99" s="27">
        <v>0</v>
      </c>
    </row>
    <row r="100" spans="1:12">
      <c r="A100" s="24" t="s">
        <v>114</v>
      </c>
      <c r="B100" s="24" t="s">
        <v>318</v>
      </c>
      <c r="C100" s="25">
        <v>45689</v>
      </c>
      <c r="D100" s="24" t="s">
        <v>2658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14294</v>
      </c>
      <c r="K100" s="26">
        <v>-14294</v>
      </c>
      <c r="L100" s="27">
        <v>0</v>
      </c>
    </row>
    <row r="101" spans="1:12">
      <c r="A101" s="24" t="s">
        <v>114</v>
      </c>
      <c r="B101" s="24" t="s">
        <v>318</v>
      </c>
      <c r="C101" s="25">
        <v>45717</v>
      </c>
      <c r="D101" s="24" t="s">
        <v>2659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12866</v>
      </c>
      <c r="K101" s="26">
        <v>-12866</v>
      </c>
      <c r="L101" s="27">
        <v>0</v>
      </c>
    </row>
    <row r="102" spans="1:12">
      <c r="A102" s="24" t="s">
        <v>114</v>
      </c>
      <c r="B102" s="24" t="s">
        <v>318</v>
      </c>
      <c r="C102" s="25">
        <v>45748</v>
      </c>
      <c r="D102" s="24" t="s">
        <v>2660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11804</v>
      </c>
      <c r="K102" s="26">
        <v>-11804</v>
      </c>
      <c r="L102" s="27">
        <v>0</v>
      </c>
    </row>
    <row r="103" spans="1:12">
      <c r="A103" s="24" t="s">
        <v>114</v>
      </c>
      <c r="B103" s="24" t="s">
        <v>318</v>
      </c>
      <c r="C103" s="25">
        <v>45778</v>
      </c>
      <c r="D103" s="24" t="s">
        <v>2661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21215</v>
      </c>
      <c r="K103" s="26">
        <v>-21215</v>
      </c>
      <c r="L103" s="27">
        <v>0</v>
      </c>
    </row>
    <row r="104" spans="1:12">
      <c r="A104" s="24" t="s">
        <v>114</v>
      </c>
      <c r="B104" s="24" t="s">
        <v>318</v>
      </c>
      <c r="C104" s="25">
        <v>45809</v>
      </c>
      <c r="D104" s="24" t="s">
        <v>2662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18358</v>
      </c>
      <c r="K104" s="26">
        <v>-18358</v>
      </c>
      <c r="L104" s="27">
        <v>0</v>
      </c>
    </row>
    <row r="105" spans="1:12">
      <c r="A105" s="24" t="s">
        <v>114</v>
      </c>
      <c r="B105" s="24" t="s">
        <v>318</v>
      </c>
      <c r="C105" s="25">
        <v>45839</v>
      </c>
      <c r="D105" s="24" t="s">
        <v>2663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9792</v>
      </c>
      <c r="K105" s="26">
        <v>-9792</v>
      </c>
      <c r="L105" s="27">
        <v>0</v>
      </c>
    </row>
    <row r="106" spans="1:12">
      <c r="A106" s="24" t="s">
        <v>114</v>
      </c>
      <c r="B106" s="24" t="s">
        <v>318</v>
      </c>
      <c r="C106" s="25">
        <v>45870</v>
      </c>
      <c r="D106" s="24" t="s">
        <v>2664</v>
      </c>
      <c r="E106" s="26">
        <v>59662.47</v>
      </c>
      <c r="F106" s="26">
        <v>0</v>
      </c>
      <c r="G106" s="26">
        <v>59662.47</v>
      </c>
      <c r="H106" s="26">
        <v>0</v>
      </c>
      <c r="I106" s="26">
        <v>59662.47</v>
      </c>
      <c r="J106" s="26">
        <v>9652</v>
      </c>
      <c r="K106" s="26">
        <v>50010.47</v>
      </c>
      <c r="L106" s="27">
        <v>0.83822325827274669</v>
      </c>
    </row>
    <row r="107" spans="1:12">
      <c r="A107" s="24" t="s">
        <v>114</v>
      </c>
      <c r="B107" s="24" t="s">
        <v>318</v>
      </c>
      <c r="C107" s="25">
        <v>45901</v>
      </c>
      <c r="D107" s="24" t="s">
        <v>2665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22652</v>
      </c>
      <c r="K107" s="26">
        <v>-22652</v>
      </c>
      <c r="L107" s="27">
        <v>0</v>
      </c>
    </row>
    <row r="108" spans="1:12">
      <c r="A108" s="24" t="s">
        <v>114</v>
      </c>
      <c r="B108" s="24" t="s">
        <v>318</v>
      </c>
      <c r="C108" s="25">
        <v>45931</v>
      </c>
      <c r="D108" s="24" t="s">
        <v>2666</v>
      </c>
      <c r="E108" s="26">
        <v>0</v>
      </c>
      <c r="F108" s="26">
        <v>0</v>
      </c>
      <c r="G108" s="26">
        <v>0</v>
      </c>
      <c r="H108" s="26">
        <v>3631.71</v>
      </c>
      <c r="I108" s="26">
        <v>-3631.71</v>
      </c>
      <c r="J108" s="26">
        <v>24406</v>
      </c>
      <c r="K108" s="26">
        <v>-28037.71</v>
      </c>
      <c r="L108" s="27">
        <v>0</v>
      </c>
    </row>
    <row r="109" spans="1:12">
      <c r="A109" s="24" t="s">
        <v>114</v>
      </c>
      <c r="B109" s="24" t="s">
        <v>318</v>
      </c>
      <c r="C109" s="25">
        <v>45962</v>
      </c>
      <c r="D109" s="24" t="s">
        <v>2667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21320</v>
      </c>
      <c r="K109" s="26">
        <v>-21320</v>
      </c>
      <c r="L109" s="27">
        <v>0</v>
      </c>
    </row>
    <row r="110" spans="1:12">
      <c r="A110" s="24" t="s">
        <v>114</v>
      </c>
      <c r="B110" s="24" t="s">
        <v>318</v>
      </c>
      <c r="C110" s="25">
        <v>45992</v>
      </c>
      <c r="D110" s="24" t="s">
        <v>2668</v>
      </c>
      <c r="E110" s="26">
        <v>40804.730000000003</v>
      </c>
      <c r="F110" s="26">
        <v>0</v>
      </c>
      <c r="G110" s="26">
        <v>40804.730000000003</v>
      </c>
      <c r="H110" s="26">
        <v>0</v>
      </c>
      <c r="I110" s="26">
        <v>40804.730000000003</v>
      </c>
      <c r="J110" s="26">
        <v>14505</v>
      </c>
      <c r="K110" s="26">
        <v>26299.73</v>
      </c>
      <c r="L110" s="27">
        <v>0.64452650464786809</v>
      </c>
    </row>
    <row r="111" spans="1:12">
      <c r="A111" s="24" t="s">
        <v>188</v>
      </c>
      <c r="B111" s="24" t="s">
        <v>324</v>
      </c>
      <c r="C111" s="25">
        <v>45658</v>
      </c>
      <c r="D111" s="24" t="s">
        <v>2657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6126</v>
      </c>
      <c r="K111" s="26">
        <v>-6126</v>
      </c>
      <c r="L111" s="27">
        <v>0</v>
      </c>
    </row>
    <row r="112" spans="1:12">
      <c r="A112" s="24" t="s">
        <v>188</v>
      </c>
      <c r="B112" s="24" t="s">
        <v>324</v>
      </c>
      <c r="C112" s="25">
        <v>45689</v>
      </c>
      <c r="D112" s="24" t="s">
        <v>2658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9628</v>
      </c>
      <c r="K112" s="26">
        <v>-9628</v>
      </c>
      <c r="L112" s="27">
        <v>0</v>
      </c>
    </row>
    <row r="113" spans="1:12">
      <c r="A113" s="24" t="s">
        <v>188</v>
      </c>
      <c r="B113" s="24" t="s">
        <v>324</v>
      </c>
      <c r="C113" s="25">
        <v>45717</v>
      </c>
      <c r="D113" s="24" t="s">
        <v>2659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17816</v>
      </c>
      <c r="K113" s="26">
        <v>-17816</v>
      </c>
      <c r="L113" s="27">
        <v>0</v>
      </c>
    </row>
    <row r="114" spans="1:12">
      <c r="A114" s="24" t="s">
        <v>188</v>
      </c>
      <c r="B114" s="24" t="s">
        <v>324</v>
      </c>
      <c r="C114" s="25">
        <v>45748</v>
      </c>
      <c r="D114" s="24" t="s">
        <v>2660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7829</v>
      </c>
      <c r="K114" s="26">
        <v>-7829</v>
      </c>
      <c r="L114" s="27">
        <v>0</v>
      </c>
    </row>
    <row r="115" spans="1:12">
      <c r="A115" s="24" t="s">
        <v>188</v>
      </c>
      <c r="B115" s="24" t="s">
        <v>324</v>
      </c>
      <c r="C115" s="25">
        <v>45778</v>
      </c>
      <c r="D115" s="24" t="s">
        <v>2661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17353</v>
      </c>
      <c r="K115" s="26">
        <v>-17353</v>
      </c>
      <c r="L115" s="27">
        <v>0</v>
      </c>
    </row>
    <row r="116" spans="1:12">
      <c r="A116" s="24" t="s">
        <v>188</v>
      </c>
      <c r="B116" s="24" t="s">
        <v>324</v>
      </c>
      <c r="C116" s="25">
        <v>45809</v>
      </c>
      <c r="D116" s="24" t="s">
        <v>2662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7818</v>
      </c>
      <c r="K116" s="26">
        <v>-7818</v>
      </c>
      <c r="L116" s="27">
        <v>0</v>
      </c>
    </row>
    <row r="117" spans="1:12">
      <c r="A117" s="24" t="s">
        <v>188</v>
      </c>
      <c r="B117" s="24" t="s">
        <v>324</v>
      </c>
      <c r="C117" s="25">
        <v>45839</v>
      </c>
      <c r="D117" s="24" t="s">
        <v>2663</v>
      </c>
      <c r="E117" s="26">
        <v>24662.080000000002</v>
      </c>
      <c r="F117" s="26">
        <v>0</v>
      </c>
      <c r="G117" s="26">
        <v>24662.080000000002</v>
      </c>
      <c r="H117" s="26">
        <v>0</v>
      </c>
      <c r="I117" s="26">
        <v>24662.080000000002</v>
      </c>
      <c r="J117" s="26">
        <v>23332</v>
      </c>
      <c r="K117" s="26">
        <v>1330.080000000002</v>
      </c>
      <c r="L117" s="27">
        <v>5.3932190634366682E-2</v>
      </c>
    </row>
    <row r="118" spans="1:12">
      <c r="A118" s="24" t="s">
        <v>188</v>
      </c>
      <c r="B118" s="24" t="s">
        <v>324</v>
      </c>
      <c r="C118" s="25">
        <v>45870</v>
      </c>
      <c r="D118" s="24" t="s">
        <v>2664</v>
      </c>
      <c r="E118" s="26">
        <v>12418.96</v>
      </c>
      <c r="F118" s="26">
        <v>0</v>
      </c>
      <c r="G118" s="26">
        <v>12418.96</v>
      </c>
      <c r="H118" s="26">
        <v>0</v>
      </c>
      <c r="I118" s="26">
        <v>12418.96</v>
      </c>
      <c r="J118" s="26">
        <v>14168</v>
      </c>
      <c r="K118" s="26">
        <v>-1749.0400000000011</v>
      </c>
      <c r="L118" s="27">
        <v>-0.14083626970374341</v>
      </c>
    </row>
    <row r="119" spans="1:12">
      <c r="A119" s="24" t="s">
        <v>188</v>
      </c>
      <c r="B119" s="24" t="s">
        <v>324</v>
      </c>
      <c r="C119" s="25">
        <v>45901</v>
      </c>
      <c r="D119" s="24" t="s">
        <v>2665</v>
      </c>
      <c r="E119" s="26">
        <v>12280.66</v>
      </c>
      <c r="F119" s="26">
        <v>0</v>
      </c>
      <c r="G119" s="26">
        <v>12280.66</v>
      </c>
      <c r="H119" s="26">
        <v>0</v>
      </c>
      <c r="I119" s="26">
        <v>12280.66</v>
      </c>
      <c r="J119" s="26">
        <v>9693</v>
      </c>
      <c r="K119" s="26">
        <v>2587.66</v>
      </c>
      <c r="L119" s="27">
        <v>0.2107101735574472</v>
      </c>
    </row>
    <row r="120" spans="1:12">
      <c r="A120" s="24" t="s">
        <v>188</v>
      </c>
      <c r="B120" s="24" t="s">
        <v>324</v>
      </c>
      <c r="C120" s="25">
        <v>45931</v>
      </c>
      <c r="D120" s="24" t="s">
        <v>2666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8753</v>
      </c>
      <c r="K120" s="26">
        <v>-8753</v>
      </c>
      <c r="L120" s="27">
        <v>0</v>
      </c>
    </row>
    <row r="121" spans="1:12">
      <c r="A121" s="24" t="s">
        <v>188</v>
      </c>
      <c r="B121" s="24" t="s">
        <v>324</v>
      </c>
      <c r="C121" s="25">
        <v>45962</v>
      </c>
      <c r="D121" s="24" t="s">
        <v>2667</v>
      </c>
      <c r="E121" s="26">
        <v>14262.8</v>
      </c>
      <c r="F121" s="26">
        <v>0</v>
      </c>
      <c r="G121" s="26">
        <v>14262.8</v>
      </c>
      <c r="H121" s="26">
        <v>0</v>
      </c>
      <c r="I121" s="26">
        <v>14262.8</v>
      </c>
      <c r="J121" s="26">
        <v>11649</v>
      </c>
      <c r="K121" s="26">
        <v>2613.7999999999988</v>
      </c>
      <c r="L121" s="27">
        <v>0.1832599489581288</v>
      </c>
    </row>
    <row r="122" spans="1:12">
      <c r="A122" s="24" t="s">
        <v>188</v>
      </c>
      <c r="B122" s="24" t="s">
        <v>324</v>
      </c>
      <c r="C122" s="25">
        <v>45992</v>
      </c>
      <c r="D122" s="24" t="s">
        <v>2668</v>
      </c>
      <c r="E122" s="26">
        <v>0</v>
      </c>
      <c r="F122" s="26">
        <v>0</v>
      </c>
      <c r="G122" s="26">
        <v>0</v>
      </c>
      <c r="H122" s="26">
        <v>0</v>
      </c>
      <c r="I122" s="26">
        <v>0</v>
      </c>
      <c r="J122" s="26">
        <v>11492</v>
      </c>
      <c r="K122" s="26">
        <v>-11492</v>
      </c>
      <c r="L122" s="27">
        <v>0</v>
      </c>
    </row>
    <row r="123" spans="1:12">
      <c r="A123" s="24" t="s">
        <v>105</v>
      </c>
      <c r="B123" s="24" t="s">
        <v>329</v>
      </c>
      <c r="C123" s="25">
        <v>45658</v>
      </c>
      <c r="D123" s="24" t="s">
        <v>2657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7">
        <v>0</v>
      </c>
    </row>
    <row r="124" spans="1:12">
      <c r="A124" s="24" t="s">
        <v>105</v>
      </c>
      <c r="B124" s="24" t="s">
        <v>329</v>
      </c>
      <c r="C124" s="25">
        <v>45689</v>
      </c>
      <c r="D124" s="24" t="s">
        <v>2658</v>
      </c>
      <c r="E124" s="26">
        <v>0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7">
        <v>0</v>
      </c>
    </row>
    <row r="125" spans="1:12">
      <c r="A125" s="24" t="s">
        <v>105</v>
      </c>
      <c r="B125" s="24" t="s">
        <v>329</v>
      </c>
      <c r="C125" s="25">
        <v>45717</v>
      </c>
      <c r="D125" s="24" t="s">
        <v>2659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7">
        <v>0</v>
      </c>
    </row>
    <row r="126" spans="1:12">
      <c r="A126" s="24" t="s">
        <v>105</v>
      </c>
      <c r="B126" s="24" t="s">
        <v>329</v>
      </c>
      <c r="C126" s="25">
        <v>45748</v>
      </c>
      <c r="D126" s="24" t="s">
        <v>2660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7">
        <v>0</v>
      </c>
    </row>
    <row r="127" spans="1:12">
      <c r="A127" s="24" t="s">
        <v>105</v>
      </c>
      <c r="B127" s="24" t="s">
        <v>329</v>
      </c>
      <c r="C127" s="25">
        <v>45778</v>
      </c>
      <c r="D127" s="24" t="s">
        <v>2661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7">
        <v>0</v>
      </c>
    </row>
    <row r="128" spans="1:12">
      <c r="A128" s="24" t="s">
        <v>105</v>
      </c>
      <c r="B128" s="24" t="s">
        <v>329</v>
      </c>
      <c r="C128" s="25">
        <v>45809</v>
      </c>
      <c r="D128" s="24" t="s">
        <v>2662</v>
      </c>
      <c r="E128" s="26">
        <v>0</v>
      </c>
      <c r="F128" s="26">
        <v>0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7">
        <v>0</v>
      </c>
    </row>
    <row r="129" spans="1:12">
      <c r="A129" s="24" t="s">
        <v>105</v>
      </c>
      <c r="B129" s="24" t="s">
        <v>329</v>
      </c>
      <c r="C129" s="25">
        <v>45839</v>
      </c>
      <c r="D129" s="24" t="s">
        <v>2663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7">
        <v>0</v>
      </c>
    </row>
    <row r="130" spans="1:12">
      <c r="A130" s="24" t="s">
        <v>105</v>
      </c>
      <c r="B130" s="24" t="s">
        <v>329</v>
      </c>
      <c r="C130" s="25">
        <v>45870</v>
      </c>
      <c r="D130" s="24" t="s">
        <v>2664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7">
        <v>0</v>
      </c>
    </row>
    <row r="131" spans="1:12">
      <c r="A131" s="24" t="s">
        <v>105</v>
      </c>
      <c r="B131" s="24" t="s">
        <v>329</v>
      </c>
      <c r="C131" s="25">
        <v>45901</v>
      </c>
      <c r="D131" s="24" t="s">
        <v>2665</v>
      </c>
      <c r="E131" s="26">
        <v>0</v>
      </c>
      <c r="F131" s="26">
        <v>0</v>
      </c>
      <c r="G131" s="26">
        <v>0</v>
      </c>
      <c r="H131" s="26">
        <v>48980.21</v>
      </c>
      <c r="I131" s="26">
        <v>-48980.21</v>
      </c>
      <c r="J131" s="26">
        <v>0</v>
      </c>
      <c r="K131" s="26">
        <v>-48980.21</v>
      </c>
      <c r="L131" s="27">
        <v>0</v>
      </c>
    </row>
    <row r="132" spans="1:12">
      <c r="A132" s="24" t="s">
        <v>105</v>
      </c>
      <c r="B132" s="24" t="s">
        <v>329</v>
      </c>
      <c r="C132" s="25">
        <v>45931</v>
      </c>
      <c r="D132" s="24" t="s">
        <v>2666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7">
        <v>0</v>
      </c>
    </row>
    <row r="133" spans="1:12">
      <c r="A133" s="24" t="s">
        <v>105</v>
      </c>
      <c r="B133" s="24" t="s">
        <v>329</v>
      </c>
      <c r="C133" s="25">
        <v>45962</v>
      </c>
      <c r="D133" s="24" t="s">
        <v>2667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7">
        <v>0</v>
      </c>
    </row>
    <row r="134" spans="1:12">
      <c r="A134" s="24" t="s">
        <v>105</v>
      </c>
      <c r="B134" s="24" t="s">
        <v>329</v>
      </c>
      <c r="C134" s="25">
        <v>45992</v>
      </c>
      <c r="D134" s="24" t="s">
        <v>2668</v>
      </c>
      <c r="E134" s="26">
        <v>0</v>
      </c>
      <c r="F134" s="26">
        <v>282822.7</v>
      </c>
      <c r="G134" s="26">
        <v>-282822.7</v>
      </c>
      <c r="H134" s="26">
        <v>0</v>
      </c>
      <c r="I134" s="26">
        <v>-282822.7</v>
      </c>
      <c r="J134" s="26">
        <v>0</v>
      </c>
      <c r="K134" s="26">
        <v>-282822.7</v>
      </c>
      <c r="L134" s="27">
        <v>1</v>
      </c>
    </row>
    <row r="135" spans="1:12">
      <c r="A135" s="24" t="s">
        <v>283</v>
      </c>
      <c r="B135" s="24" t="s">
        <v>318</v>
      </c>
      <c r="C135" s="25">
        <v>45658</v>
      </c>
      <c r="D135" s="24" t="s">
        <v>2657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7">
        <v>0</v>
      </c>
    </row>
    <row r="136" spans="1:12">
      <c r="A136" s="24" t="s">
        <v>283</v>
      </c>
      <c r="B136" s="24" t="s">
        <v>318</v>
      </c>
      <c r="C136" s="25">
        <v>45689</v>
      </c>
      <c r="D136" s="24" t="s">
        <v>2658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7">
        <v>0</v>
      </c>
    </row>
    <row r="137" spans="1:12">
      <c r="A137" s="24" t="s">
        <v>283</v>
      </c>
      <c r="B137" s="24" t="s">
        <v>318</v>
      </c>
      <c r="C137" s="25">
        <v>45717</v>
      </c>
      <c r="D137" s="24" t="s">
        <v>2659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7">
        <v>0</v>
      </c>
    </row>
    <row r="138" spans="1:12">
      <c r="A138" s="24" t="s">
        <v>283</v>
      </c>
      <c r="B138" s="24" t="s">
        <v>318</v>
      </c>
      <c r="C138" s="25">
        <v>45748</v>
      </c>
      <c r="D138" s="24" t="s">
        <v>2660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7">
        <v>0</v>
      </c>
    </row>
    <row r="139" spans="1:12">
      <c r="A139" s="24" t="s">
        <v>283</v>
      </c>
      <c r="B139" s="24" t="s">
        <v>318</v>
      </c>
      <c r="C139" s="25">
        <v>45778</v>
      </c>
      <c r="D139" s="24" t="s">
        <v>2661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7">
        <v>0</v>
      </c>
    </row>
    <row r="140" spans="1:12">
      <c r="A140" s="24" t="s">
        <v>283</v>
      </c>
      <c r="B140" s="24" t="s">
        <v>318</v>
      </c>
      <c r="C140" s="25">
        <v>45809</v>
      </c>
      <c r="D140" s="24" t="s">
        <v>2662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7">
        <v>0</v>
      </c>
    </row>
    <row r="141" spans="1:12">
      <c r="A141" s="24" t="s">
        <v>283</v>
      </c>
      <c r="B141" s="24" t="s">
        <v>318</v>
      </c>
      <c r="C141" s="25">
        <v>45839</v>
      </c>
      <c r="D141" s="24" t="s">
        <v>2663</v>
      </c>
      <c r="E141" s="26">
        <v>27873.18</v>
      </c>
      <c r="F141" s="26">
        <v>0</v>
      </c>
      <c r="G141" s="26">
        <v>27873.18</v>
      </c>
      <c r="H141" s="26">
        <v>0</v>
      </c>
      <c r="I141" s="26">
        <v>27873.18</v>
      </c>
      <c r="J141" s="26">
        <v>0</v>
      </c>
      <c r="K141" s="26">
        <v>27873.18</v>
      </c>
      <c r="L141" s="27">
        <v>1</v>
      </c>
    </row>
    <row r="142" spans="1:12">
      <c r="A142" s="24" t="s">
        <v>283</v>
      </c>
      <c r="B142" s="24" t="s">
        <v>318</v>
      </c>
      <c r="C142" s="25">
        <v>45870</v>
      </c>
      <c r="D142" s="24" t="s">
        <v>2664</v>
      </c>
      <c r="E142" s="26">
        <v>33999.019999999997</v>
      </c>
      <c r="F142" s="26">
        <v>0</v>
      </c>
      <c r="G142" s="26">
        <v>33999.019999999997</v>
      </c>
      <c r="H142" s="26">
        <v>199279.71</v>
      </c>
      <c r="I142" s="26">
        <v>-165280.69</v>
      </c>
      <c r="J142" s="26">
        <v>0</v>
      </c>
      <c r="K142" s="26">
        <v>-165280.69</v>
      </c>
      <c r="L142" s="27">
        <v>-4.8613368855925856</v>
      </c>
    </row>
    <row r="143" spans="1:12">
      <c r="A143" s="24" t="s">
        <v>283</v>
      </c>
      <c r="B143" s="24" t="s">
        <v>318</v>
      </c>
      <c r="C143" s="25">
        <v>45901</v>
      </c>
      <c r="D143" s="24" t="s">
        <v>2665</v>
      </c>
      <c r="E143" s="26">
        <v>14449.8</v>
      </c>
      <c r="F143" s="26">
        <v>0</v>
      </c>
      <c r="G143" s="26">
        <v>14449.8</v>
      </c>
      <c r="H143" s="26">
        <v>0</v>
      </c>
      <c r="I143" s="26">
        <v>14449.8</v>
      </c>
      <c r="J143" s="26">
        <v>0</v>
      </c>
      <c r="K143" s="26">
        <v>14449.8</v>
      </c>
      <c r="L143" s="27">
        <v>1</v>
      </c>
    </row>
    <row r="144" spans="1:12">
      <c r="A144" s="24" t="s">
        <v>283</v>
      </c>
      <c r="B144" s="24" t="s">
        <v>318</v>
      </c>
      <c r="C144" s="25">
        <v>45931</v>
      </c>
      <c r="D144" s="24" t="s">
        <v>2666</v>
      </c>
      <c r="E144" s="26">
        <v>0</v>
      </c>
      <c r="F144" s="26">
        <v>0</v>
      </c>
      <c r="G144" s="26">
        <v>0</v>
      </c>
      <c r="H144" s="26">
        <v>149564.82999999999</v>
      </c>
      <c r="I144" s="26">
        <v>-149564.82999999999</v>
      </c>
      <c r="J144" s="26">
        <v>0</v>
      </c>
      <c r="K144" s="26">
        <v>-149564.82999999999</v>
      </c>
      <c r="L144" s="27">
        <v>0</v>
      </c>
    </row>
    <row r="145" spans="1:12">
      <c r="A145" s="24" t="s">
        <v>283</v>
      </c>
      <c r="B145" s="24" t="s">
        <v>318</v>
      </c>
      <c r="C145" s="25">
        <v>45962</v>
      </c>
      <c r="D145" s="24" t="s">
        <v>2667</v>
      </c>
      <c r="E145" s="26">
        <v>24981.09</v>
      </c>
      <c r="F145" s="26">
        <v>0</v>
      </c>
      <c r="G145" s="26">
        <v>24981.09</v>
      </c>
      <c r="H145" s="26">
        <v>0</v>
      </c>
      <c r="I145" s="26">
        <v>24981.09</v>
      </c>
      <c r="J145" s="26">
        <v>0</v>
      </c>
      <c r="K145" s="26">
        <v>24981.09</v>
      </c>
      <c r="L145" s="27">
        <v>1</v>
      </c>
    </row>
    <row r="146" spans="1:12">
      <c r="A146" s="24" t="s">
        <v>283</v>
      </c>
      <c r="B146" s="24" t="s">
        <v>318</v>
      </c>
      <c r="C146" s="25">
        <v>45992</v>
      </c>
      <c r="D146" s="24" t="s">
        <v>2668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7">
        <v>0</v>
      </c>
    </row>
    <row r="147" spans="1:12">
      <c r="A147" s="24" t="s">
        <v>118</v>
      </c>
      <c r="B147" s="24" t="s">
        <v>318</v>
      </c>
      <c r="C147" s="25">
        <v>45658</v>
      </c>
      <c r="D147" s="24" t="s">
        <v>2657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7">
        <v>0</v>
      </c>
    </row>
    <row r="148" spans="1:12">
      <c r="A148" s="24" t="s">
        <v>118</v>
      </c>
      <c r="B148" s="24" t="s">
        <v>318</v>
      </c>
      <c r="C148" s="25">
        <v>45689</v>
      </c>
      <c r="D148" s="24" t="s">
        <v>2658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7">
        <v>0</v>
      </c>
    </row>
    <row r="149" spans="1:12">
      <c r="A149" s="24" t="s">
        <v>118</v>
      </c>
      <c r="B149" s="24" t="s">
        <v>318</v>
      </c>
      <c r="C149" s="25">
        <v>45717</v>
      </c>
      <c r="D149" s="24" t="s">
        <v>2659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7">
        <v>0</v>
      </c>
    </row>
    <row r="150" spans="1:12">
      <c r="A150" s="24" t="s">
        <v>118</v>
      </c>
      <c r="B150" s="24" t="s">
        <v>318</v>
      </c>
      <c r="C150" s="25">
        <v>45748</v>
      </c>
      <c r="D150" s="24" t="s">
        <v>2660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7">
        <v>0</v>
      </c>
    </row>
    <row r="151" spans="1:12">
      <c r="A151" s="24" t="s">
        <v>118</v>
      </c>
      <c r="B151" s="24" t="s">
        <v>318</v>
      </c>
      <c r="C151" s="25">
        <v>45778</v>
      </c>
      <c r="D151" s="24" t="s">
        <v>2661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7">
        <v>0</v>
      </c>
    </row>
    <row r="152" spans="1:12">
      <c r="A152" s="24" t="s">
        <v>118</v>
      </c>
      <c r="B152" s="24" t="s">
        <v>318</v>
      </c>
      <c r="C152" s="25">
        <v>45809</v>
      </c>
      <c r="D152" s="24" t="s">
        <v>2662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7">
        <v>0</v>
      </c>
    </row>
    <row r="153" spans="1:12">
      <c r="A153" s="24" t="s">
        <v>118</v>
      </c>
      <c r="B153" s="24" t="s">
        <v>318</v>
      </c>
      <c r="C153" s="25">
        <v>45839</v>
      </c>
      <c r="D153" s="24" t="s">
        <v>2663</v>
      </c>
      <c r="E153" s="26">
        <v>0</v>
      </c>
      <c r="F153" s="26">
        <v>0</v>
      </c>
      <c r="G153" s="26">
        <v>0</v>
      </c>
      <c r="H153" s="26">
        <v>64477.22</v>
      </c>
      <c r="I153" s="26">
        <v>-64477.22</v>
      </c>
      <c r="J153" s="26">
        <v>0</v>
      </c>
      <c r="K153" s="26">
        <v>-64477.22</v>
      </c>
      <c r="L153" s="27">
        <v>0</v>
      </c>
    </row>
    <row r="154" spans="1:12">
      <c r="A154" s="24" t="s">
        <v>118</v>
      </c>
      <c r="B154" s="24" t="s">
        <v>318</v>
      </c>
      <c r="C154" s="25">
        <v>45870</v>
      </c>
      <c r="D154" s="24" t="s">
        <v>2664</v>
      </c>
      <c r="E154" s="26">
        <v>41876.18</v>
      </c>
      <c r="F154" s="26">
        <v>0</v>
      </c>
      <c r="G154" s="26">
        <v>41876.18</v>
      </c>
      <c r="H154" s="26">
        <v>77094.759999999995</v>
      </c>
      <c r="I154" s="26">
        <v>-35218.579999999987</v>
      </c>
      <c r="J154" s="26">
        <v>0</v>
      </c>
      <c r="K154" s="26">
        <v>-35218.579999999987</v>
      </c>
      <c r="L154" s="27">
        <v>-0.84101701731151202</v>
      </c>
    </row>
    <row r="155" spans="1:12">
      <c r="A155" s="24" t="s">
        <v>118</v>
      </c>
      <c r="B155" s="24" t="s">
        <v>318</v>
      </c>
      <c r="C155" s="25">
        <v>45901</v>
      </c>
      <c r="D155" s="24" t="s">
        <v>2665</v>
      </c>
      <c r="E155" s="26">
        <v>64659.43</v>
      </c>
      <c r="F155" s="26">
        <v>0</v>
      </c>
      <c r="G155" s="26">
        <v>64659.43</v>
      </c>
      <c r="H155" s="26">
        <v>0</v>
      </c>
      <c r="I155" s="26">
        <v>64659.43</v>
      </c>
      <c r="J155" s="26">
        <v>0</v>
      </c>
      <c r="K155" s="26">
        <v>64659.43</v>
      </c>
      <c r="L155" s="27">
        <v>1</v>
      </c>
    </row>
    <row r="156" spans="1:12">
      <c r="A156" s="24" t="s">
        <v>118</v>
      </c>
      <c r="B156" s="24" t="s">
        <v>318</v>
      </c>
      <c r="C156" s="25">
        <v>45931</v>
      </c>
      <c r="D156" s="24" t="s">
        <v>2666</v>
      </c>
      <c r="E156" s="26">
        <v>58505.16</v>
      </c>
      <c r="F156" s="26">
        <v>0</v>
      </c>
      <c r="G156" s="26">
        <v>58505.16</v>
      </c>
      <c r="H156" s="26">
        <v>0</v>
      </c>
      <c r="I156" s="26">
        <v>58505.16</v>
      </c>
      <c r="J156" s="26">
        <v>0</v>
      </c>
      <c r="K156" s="26">
        <v>58505.16</v>
      </c>
      <c r="L156" s="27">
        <v>1</v>
      </c>
    </row>
    <row r="157" spans="1:12">
      <c r="A157" s="24" t="s">
        <v>118</v>
      </c>
      <c r="B157" s="24" t="s">
        <v>318</v>
      </c>
      <c r="C157" s="25">
        <v>45962</v>
      </c>
      <c r="D157" s="24" t="s">
        <v>2667</v>
      </c>
      <c r="E157" s="26">
        <v>56207.61</v>
      </c>
      <c r="F157" s="26">
        <v>0</v>
      </c>
      <c r="G157" s="26">
        <v>56207.61</v>
      </c>
      <c r="H157" s="26">
        <v>0</v>
      </c>
      <c r="I157" s="26">
        <v>56207.61</v>
      </c>
      <c r="J157" s="26">
        <v>0</v>
      </c>
      <c r="K157" s="26">
        <v>56207.61</v>
      </c>
      <c r="L157" s="27">
        <v>1</v>
      </c>
    </row>
    <row r="158" spans="1:12">
      <c r="A158" s="24" t="s">
        <v>118</v>
      </c>
      <c r="B158" s="24" t="s">
        <v>318</v>
      </c>
      <c r="C158" s="25">
        <v>45992</v>
      </c>
      <c r="D158" s="24" t="s">
        <v>2668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7">
        <v>0</v>
      </c>
    </row>
    <row r="159" spans="1:12">
      <c r="A159" s="24" t="s">
        <v>99</v>
      </c>
      <c r="B159" s="24" t="s">
        <v>345</v>
      </c>
      <c r="C159" s="25">
        <v>45658</v>
      </c>
      <c r="D159" s="24" t="s">
        <v>2657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7">
        <v>0</v>
      </c>
    </row>
    <row r="160" spans="1:12">
      <c r="A160" s="24" t="s">
        <v>99</v>
      </c>
      <c r="B160" s="24" t="s">
        <v>345</v>
      </c>
      <c r="C160" s="25">
        <v>45689</v>
      </c>
      <c r="D160" s="24" t="s">
        <v>2658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7">
        <v>0</v>
      </c>
    </row>
    <row r="161" spans="1:12">
      <c r="A161" s="24" t="s">
        <v>99</v>
      </c>
      <c r="B161" s="24" t="s">
        <v>345</v>
      </c>
      <c r="C161" s="25">
        <v>45717</v>
      </c>
      <c r="D161" s="24" t="s">
        <v>2659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7">
        <v>0</v>
      </c>
    </row>
    <row r="162" spans="1:12">
      <c r="A162" s="24" t="s">
        <v>99</v>
      </c>
      <c r="B162" s="24" t="s">
        <v>345</v>
      </c>
      <c r="C162" s="25">
        <v>45748</v>
      </c>
      <c r="D162" s="24" t="s">
        <v>2660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7">
        <v>0</v>
      </c>
    </row>
    <row r="163" spans="1:12">
      <c r="A163" s="24" t="s">
        <v>99</v>
      </c>
      <c r="B163" s="24" t="s">
        <v>345</v>
      </c>
      <c r="C163" s="25">
        <v>45778</v>
      </c>
      <c r="D163" s="24" t="s">
        <v>2661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7">
        <v>0</v>
      </c>
    </row>
    <row r="164" spans="1:12">
      <c r="A164" s="24" t="s">
        <v>99</v>
      </c>
      <c r="B164" s="24" t="s">
        <v>345</v>
      </c>
      <c r="C164" s="25">
        <v>45809</v>
      </c>
      <c r="D164" s="24" t="s">
        <v>2662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7">
        <v>0</v>
      </c>
    </row>
    <row r="165" spans="1:12">
      <c r="A165" s="24" t="s">
        <v>99</v>
      </c>
      <c r="B165" s="24" t="s">
        <v>345</v>
      </c>
      <c r="C165" s="25">
        <v>45839</v>
      </c>
      <c r="D165" s="24" t="s">
        <v>2663</v>
      </c>
      <c r="E165" s="26">
        <v>0</v>
      </c>
      <c r="F165" s="26">
        <v>0</v>
      </c>
      <c r="G165" s="26">
        <v>0</v>
      </c>
      <c r="H165" s="26">
        <v>0</v>
      </c>
      <c r="I165" s="26">
        <v>0</v>
      </c>
      <c r="J165" s="26">
        <v>0</v>
      </c>
      <c r="K165" s="26">
        <v>0</v>
      </c>
      <c r="L165" s="27">
        <v>0</v>
      </c>
    </row>
    <row r="166" spans="1:12">
      <c r="A166" s="24" t="s">
        <v>99</v>
      </c>
      <c r="B166" s="24" t="s">
        <v>345</v>
      </c>
      <c r="C166" s="25">
        <v>45870</v>
      </c>
      <c r="D166" s="24" t="s">
        <v>2664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7">
        <v>0</v>
      </c>
    </row>
    <row r="167" spans="1:12">
      <c r="A167" s="24" t="s">
        <v>99</v>
      </c>
      <c r="B167" s="24" t="s">
        <v>345</v>
      </c>
      <c r="C167" s="25">
        <v>45901</v>
      </c>
      <c r="D167" s="24" t="s">
        <v>2665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7">
        <v>0</v>
      </c>
    </row>
    <row r="168" spans="1:12">
      <c r="A168" s="24" t="s">
        <v>99</v>
      </c>
      <c r="B168" s="24" t="s">
        <v>345</v>
      </c>
      <c r="C168" s="25">
        <v>45931</v>
      </c>
      <c r="D168" s="24" t="s">
        <v>2666</v>
      </c>
      <c r="E168" s="26">
        <v>74052.22</v>
      </c>
      <c r="F168" s="26">
        <v>0</v>
      </c>
      <c r="G168" s="26">
        <v>74052.22</v>
      </c>
      <c r="H168" s="26">
        <v>34318.28</v>
      </c>
      <c r="I168" s="26">
        <v>39733.94</v>
      </c>
      <c r="J168" s="26">
        <v>0</v>
      </c>
      <c r="K168" s="26">
        <v>39733.94</v>
      </c>
      <c r="L168" s="27">
        <v>0.5365664932124925</v>
      </c>
    </row>
    <row r="169" spans="1:12">
      <c r="A169" s="24" t="s">
        <v>99</v>
      </c>
      <c r="B169" s="24" t="s">
        <v>345</v>
      </c>
      <c r="C169" s="25">
        <v>45962</v>
      </c>
      <c r="D169" s="24" t="s">
        <v>2667</v>
      </c>
      <c r="E169" s="26">
        <v>55171.78</v>
      </c>
      <c r="F169" s="26">
        <v>0</v>
      </c>
      <c r="G169" s="26">
        <v>55171.78</v>
      </c>
      <c r="H169" s="26">
        <v>0</v>
      </c>
      <c r="I169" s="26">
        <v>55171.78</v>
      </c>
      <c r="J169" s="26">
        <v>0</v>
      </c>
      <c r="K169" s="26">
        <v>55171.78</v>
      </c>
      <c r="L169" s="27">
        <v>1</v>
      </c>
    </row>
    <row r="170" spans="1:12">
      <c r="A170" s="24" t="s">
        <v>99</v>
      </c>
      <c r="B170" s="24" t="s">
        <v>345</v>
      </c>
      <c r="C170" s="25">
        <v>45992</v>
      </c>
      <c r="D170" s="24" t="s">
        <v>2668</v>
      </c>
      <c r="E170" s="26">
        <v>83313.759999999995</v>
      </c>
      <c r="F170" s="26">
        <v>0</v>
      </c>
      <c r="G170" s="26">
        <v>83313.759999999995</v>
      </c>
      <c r="H170" s="26">
        <v>111378.63</v>
      </c>
      <c r="I170" s="26">
        <v>-28064.87000000001</v>
      </c>
      <c r="J170" s="26">
        <v>0</v>
      </c>
      <c r="K170" s="26">
        <v>-28064.87000000001</v>
      </c>
      <c r="L170" s="27">
        <v>-0.33685756110395232</v>
      </c>
    </row>
    <row r="171" spans="1:12">
      <c r="A171" s="24" t="s">
        <v>36</v>
      </c>
      <c r="B171" s="24" t="s">
        <v>324</v>
      </c>
      <c r="C171" s="25">
        <v>45658</v>
      </c>
      <c r="D171" s="24" t="s">
        <v>2657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7">
        <v>0</v>
      </c>
    </row>
    <row r="172" spans="1:12">
      <c r="A172" s="24" t="s">
        <v>36</v>
      </c>
      <c r="B172" s="24" t="s">
        <v>324</v>
      </c>
      <c r="C172" s="25">
        <v>45689</v>
      </c>
      <c r="D172" s="24" t="s">
        <v>2658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7">
        <v>0</v>
      </c>
    </row>
    <row r="173" spans="1:12">
      <c r="A173" s="24" t="s">
        <v>36</v>
      </c>
      <c r="B173" s="24" t="s">
        <v>324</v>
      </c>
      <c r="C173" s="25">
        <v>45717</v>
      </c>
      <c r="D173" s="24" t="s">
        <v>2659</v>
      </c>
      <c r="E173" s="26">
        <v>0</v>
      </c>
      <c r="F173" s="26">
        <v>0</v>
      </c>
      <c r="G173" s="26">
        <v>0</v>
      </c>
      <c r="H173" s="26">
        <v>0</v>
      </c>
      <c r="I173" s="26">
        <v>0</v>
      </c>
      <c r="J173" s="26">
        <v>0</v>
      </c>
      <c r="K173" s="26">
        <v>0</v>
      </c>
      <c r="L173" s="27">
        <v>0</v>
      </c>
    </row>
    <row r="174" spans="1:12">
      <c r="A174" s="24" t="s">
        <v>36</v>
      </c>
      <c r="B174" s="24" t="s">
        <v>324</v>
      </c>
      <c r="C174" s="25">
        <v>45748</v>
      </c>
      <c r="D174" s="24" t="s">
        <v>2660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7">
        <v>0</v>
      </c>
    </row>
    <row r="175" spans="1:12">
      <c r="A175" s="24" t="s">
        <v>36</v>
      </c>
      <c r="B175" s="24" t="s">
        <v>324</v>
      </c>
      <c r="C175" s="25">
        <v>45778</v>
      </c>
      <c r="D175" s="24" t="s">
        <v>2661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7">
        <v>0</v>
      </c>
    </row>
    <row r="176" spans="1:12">
      <c r="A176" s="24" t="s">
        <v>36</v>
      </c>
      <c r="B176" s="24" t="s">
        <v>324</v>
      </c>
      <c r="C176" s="25">
        <v>45809</v>
      </c>
      <c r="D176" s="24" t="s">
        <v>2662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7">
        <v>0</v>
      </c>
    </row>
    <row r="177" spans="1:12">
      <c r="A177" s="24" t="s">
        <v>36</v>
      </c>
      <c r="B177" s="24" t="s">
        <v>324</v>
      </c>
      <c r="C177" s="25">
        <v>45839</v>
      </c>
      <c r="D177" s="24" t="s">
        <v>2663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7">
        <v>0</v>
      </c>
    </row>
    <row r="178" spans="1:12">
      <c r="A178" s="24" t="s">
        <v>36</v>
      </c>
      <c r="B178" s="24" t="s">
        <v>324</v>
      </c>
      <c r="C178" s="25">
        <v>45870</v>
      </c>
      <c r="D178" s="24" t="s">
        <v>2664</v>
      </c>
      <c r="E178" s="26">
        <v>66201.72</v>
      </c>
      <c r="F178" s="26">
        <v>0</v>
      </c>
      <c r="G178" s="26">
        <v>66201.72</v>
      </c>
      <c r="H178" s="26">
        <v>0</v>
      </c>
      <c r="I178" s="26">
        <v>66201.72</v>
      </c>
      <c r="J178" s="26">
        <v>0</v>
      </c>
      <c r="K178" s="26">
        <v>66201.72</v>
      </c>
      <c r="L178" s="27">
        <v>1</v>
      </c>
    </row>
    <row r="179" spans="1:12">
      <c r="A179" s="24" t="s">
        <v>36</v>
      </c>
      <c r="B179" s="24" t="s">
        <v>324</v>
      </c>
      <c r="C179" s="25">
        <v>45901</v>
      </c>
      <c r="D179" s="24" t="s">
        <v>2665</v>
      </c>
      <c r="E179" s="26">
        <v>71336.289999999994</v>
      </c>
      <c r="F179" s="26">
        <v>0</v>
      </c>
      <c r="G179" s="26">
        <v>71336.289999999994</v>
      </c>
      <c r="H179" s="26">
        <v>0</v>
      </c>
      <c r="I179" s="26">
        <v>71336.289999999994</v>
      </c>
      <c r="J179" s="26">
        <v>0</v>
      </c>
      <c r="K179" s="26">
        <v>71336.289999999994</v>
      </c>
      <c r="L179" s="27">
        <v>1</v>
      </c>
    </row>
    <row r="180" spans="1:12">
      <c r="A180" s="24" t="s">
        <v>36</v>
      </c>
      <c r="B180" s="24" t="s">
        <v>324</v>
      </c>
      <c r="C180" s="25">
        <v>45931</v>
      </c>
      <c r="D180" s="24" t="s">
        <v>2666</v>
      </c>
      <c r="E180" s="26">
        <v>0</v>
      </c>
      <c r="F180" s="26">
        <v>0</v>
      </c>
      <c r="G180" s="26">
        <v>0</v>
      </c>
      <c r="H180" s="26">
        <v>256883.7</v>
      </c>
      <c r="I180" s="26">
        <v>-256883.7</v>
      </c>
      <c r="J180" s="26">
        <v>0</v>
      </c>
      <c r="K180" s="26">
        <v>-256883.7</v>
      </c>
      <c r="L180" s="27">
        <v>0</v>
      </c>
    </row>
    <row r="181" spans="1:12">
      <c r="A181" s="24" t="s">
        <v>36</v>
      </c>
      <c r="B181" s="24" t="s">
        <v>324</v>
      </c>
      <c r="C181" s="25">
        <v>45962</v>
      </c>
      <c r="D181" s="24" t="s">
        <v>2667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7">
        <v>0</v>
      </c>
    </row>
    <row r="182" spans="1:12">
      <c r="A182" s="24" t="s">
        <v>36</v>
      </c>
      <c r="B182" s="24" t="s">
        <v>324</v>
      </c>
      <c r="C182" s="25">
        <v>45992</v>
      </c>
      <c r="D182" s="24" t="s">
        <v>2668</v>
      </c>
      <c r="E182" s="26">
        <v>63286.28</v>
      </c>
      <c r="F182" s="26">
        <v>0</v>
      </c>
      <c r="G182" s="26">
        <v>63286.28</v>
      </c>
      <c r="H182" s="26">
        <v>0</v>
      </c>
      <c r="I182" s="26">
        <v>63286.28</v>
      </c>
      <c r="J182" s="26">
        <v>0</v>
      </c>
      <c r="K182" s="26">
        <v>63286.28</v>
      </c>
      <c r="L182" s="27">
        <v>1</v>
      </c>
    </row>
    <row r="183" spans="1:12">
      <c r="A183" s="24" t="s">
        <v>121</v>
      </c>
      <c r="B183" s="24" t="s">
        <v>318</v>
      </c>
      <c r="C183" s="25">
        <v>45658</v>
      </c>
      <c r="D183" s="24" t="s">
        <v>2657</v>
      </c>
      <c r="E183" s="26">
        <v>0</v>
      </c>
      <c r="F183" s="26">
        <v>0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7">
        <v>0</v>
      </c>
    </row>
    <row r="184" spans="1:12">
      <c r="A184" s="24" t="s">
        <v>121</v>
      </c>
      <c r="B184" s="24" t="s">
        <v>318</v>
      </c>
      <c r="C184" s="25">
        <v>45689</v>
      </c>
      <c r="D184" s="24" t="s">
        <v>2658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7">
        <v>0</v>
      </c>
    </row>
    <row r="185" spans="1:12">
      <c r="A185" s="24" t="s">
        <v>121</v>
      </c>
      <c r="B185" s="24" t="s">
        <v>318</v>
      </c>
      <c r="C185" s="25">
        <v>45717</v>
      </c>
      <c r="D185" s="24" t="s">
        <v>2659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7">
        <v>0</v>
      </c>
    </row>
    <row r="186" spans="1:12">
      <c r="A186" s="24" t="s">
        <v>121</v>
      </c>
      <c r="B186" s="24" t="s">
        <v>318</v>
      </c>
      <c r="C186" s="25">
        <v>45748</v>
      </c>
      <c r="D186" s="24" t="s">
        <v>2660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7">
        <v>0</v>
      </c>
    </row>
    <row r="187" spans="1:12">
      <c r="A187" s="24" t="s">
        <v>121</v>
      </c>
      <c r="B187" s="24" t="s">
        <v>318</v>
      </c>
      <c r="C187" s="25">
        <v>45778</v>
      </c>
      <c r="D187" s="24" t="s">
        <v>2661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7">
        <v>0</v>
      </c>
    </row>
    <row r="188" spans="1:12">
      <c r="A188" s="24" t="s">
        <v>121</v>
      </c>
      <c r="B188" s="24" t="s">
        <v>318</v>
      </c>
      <c r="C188" s="25">
        <v>45809</v>
      </c>
      <c r="D188" s="24" t="s">
        <v>2662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7">
        <v>0</v>
      </c>
    </row>
    <row r="189" spans="1:12">
      <c r="A189" s="24" t="s">
        <v>121</v>
      </c>
      <c r="B189" s="24" t="s">
        <v>318</v>
      </c>
      <c r="C189" s="25">
        <v>45839</v>
      </c>
      <c r="D189" s="24" t="s">
        <v>2663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7">
        <v>0</v>
      </c>
    </row>
    <row r="190" spans="1:12">
      <c r="A190" s="24" t="s">
        <v>121</v>
      </c>
      <c r="B190" s="24" t="s">
        <v>318</v>
      </c>
      <c r="C190" s="25">
        <v>45870</v>
      </c>
      <c r="D190" s="24" t="s">
        <v>2664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7">
        <v>0</v>
      </c>
    </row>
    <row r="191" spans="1:12">
      <c r="A191" s="24" t="s">
        <v>121</v>
      </c>
      <c r="B191" s="24" t="s">
        <v>318</v>
      </c>
      <c r="C191" s="25">
        <v>45901</v>
      </c>
      <c r="D191" s="24" t="s">
        <v>2665</v>
      </c>
      <c r="E191" s="26">
        <v>79256.759999999995</v>
      </c>
      <c r="F191" s="26">
        <v>0</v>
      </c>
      <c r="G191" s="26">
        <v>79256.759999999995</v>
      </c>
      <c r="H191" s="26">
        <v>0</v>
      </c>
      <c r="I191" s="26">
        <v>79256.759999999995</v>
      </c>
      <c r="J191" s="26">
        <v>0</v>
      </c>
      <c r="K191" s="26">
        <v>79256.759999999995</v>
      </c>
      <c r="L191" s="27">
        <v>1</v>
      </c>
    </row>
    <row r="192" spans="1:12">
      <c r="A192" s="24" t="s">
        <v>121</v>
      </c>
      <c r="B192" s="24" t="s">
        <v>318</v>
      </c>
      <c r="C192" s="25">
        <v>45931</v>
      </c>
      <c r="D192" s="24" t="s">
        <v>2666</v>
      </c>
      <c r="E192" s="26">
        <v>0</v>
      </c>
      <c r="F192" s="26">
        <v>0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7">
        <v>0</v>
      </c>
    </row>
    <row r="193" spans="1:12">
      <c r="A193" s="24" t="s">
        <v>121</v>
      </c>
      <c r="B193" s="24" t="s">
        <v>318</v>
      </c>
      <c r="C193" s="25">
        <v>45962</v>
      </c>
      <c r="D193" s="24" t="s">
        <v>2667</v>
      </c>
      <c r="E193" s="26">
        <v>56073.8</v>
      </c>
      <c r="F193" s="26">
        <v>0</v>
      </c>
      <c r="G193" s="26">
        <v>56073.8</v>
      </c>
      <c r="H193" s="26">
        <v>0</v>
      </c>
      <c r="I193" s="26">
        <v>56073.8</v>
      </c>
      <c r="J193" s="26">
        <v>0</v>
      </c>
      <c r="K193" s="26">
        <v>56073.8</v>
      </c>
      <c r="L193" s="27">
        <v>1</v>
      </c>
    </row>
    <row r="194" spans="1:12">
      <c r="A194" s="24" t="s">
        <v>121</v>
      </c>
      <c r="B194" s="24" t="s">
        <v>318</v>
      </c>
      <c r="C194" s="25">
        <v>45992</v>
      </c>
      <c r="D194" s="24" t="s">
        <v>2668</v>
      </c>
      <c r="E194" s="26">
        <v>0</v>
      </c>
      <c r="F194" s="26">
        <v>0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7">
        <v>0</v>
      </c>
    </row>
    <row r="195" spans="1:12">
      <c r="A195" s="24" t="s">
        <v>53</v>
      </c>
      <c r="B195" s="24" t="s">
        <v>324</v>
      </c>
      <c r="C195" s="25">
        <v>45658</v>
      </c>
      <c r="D195" s="24" t="s">
        <v>2657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7">
        <v>0</v>
      </c>
    </row>
    <row r="196" spans="1:12">
      <c r="A196" s="24" t="s">
        <v>53</v>
      </c>
      <c r="B196" s="24" t="s">
        <v>324</v>
      </c>
      <c r="C196" s="25">
        <v>45689</v>
      </c>
      <c r="D196" s="24" t="s">
        <v>2658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7">
        <v>0</v>
      </c>
    </row>
    <row r="197" spans="1:12">
      <c r="A197" s="24" t="s">
        <v>53</v>
      </c>
      <c r="B197" s="24" t="s">
        <v>324</v>
      </c>
      <c r="C197" s="25">
        <v>45717</v>
      </c>
      <c r="D197" s="24" t="s">
        <v>2659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7">
        <v>0</v>
      </c>
    </row>
    <row r="198" spans="1:12">
      <c r="A198" s="24" t="s">
        <v>53</v>
      </c>
      <c r="B198" s="24" t="s">
        <v>324</v>
      </c>
      <c r="C198" s="25">
        <v>45748</v>
      </c>
      <c r="D198" s="24" t="s">
        <v>2660</v>
      </c>
      <c r="E198" s="26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7">
        <v>0</v>
      </c>
    </row>
    <row r="199" spans="1:12">
      <c r="A199" s="24" t="s">
        <v>53</v>
      </c>
      <c r="B199" s="24" t="s">
        <v>324</v>
      </c>
      <c r="C199" s="25">
        <v>45778</v>
      </c>
      <c r="D199" s="24" t="s">
        <v>2661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7">
        <v>0</v>
      </c>
    </row>
    <row r="200" spans="1:12">
      <c r="A200" s="24" t="s">
        <v>53</v>
      </c>
      <c r="B200" s="24" t="s">
        <v>324</v>
      </c>
      <c r="C200" s="25">
        <v>45809</v>
      </c>
      <c r="D200" s="24" t="s">
        <v>2662</v>
      </c>
      <c r="E200" s="26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7">
        <v>0</v>
      </c>
    </row>
    <row r="201" spans="1:12">
      <c r="A201" s="24" t="s">
        <v>53</v>
      </c>
      <c r="B201" s="24" t="s">
        <v>324</v>
      </c>
      <c r="C201" s="25">
        <v>45839</v>
      </c>
      <c r="D201" s="24" t="s">
        <v>2663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7">
        <v>0</v>
      </c>
    </row>
    <row r="202" spans="1:12">
      <c r="A202" s="24" t="s">
        <v>53</v>
      </c>
      <c r="B202" s="24" t="s">
        <v>324</v>
      </c>
      <c r="C202" s="25">
        <v>45870</v>
      </c>
      <c r="D202" s="24" t="s">
        <v>2664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7">
        <v>0</v>
      </c>
    </row>
    <row r="203" spans="1:12">
      <c r="A203" s="24" t="s">
        <v>53</v>
      </c>
      <c r="B203" s="24" t="s">
        <v>324</v>
      </c>
      <c r="C203" s="25">
        <v>45901</v>
      </c>
      <c r="D203" s="24" t="s">
        <v>2665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7">
        <v>0</v>
      </c>
    </row>
    <row r="204" spans="1:12">
      <c r="A204" s="24" t="s">
        <v>53</v>
      </c>
      <c r="B204" s="24" t="s">
        <v>324</v>
      </c>
      <c r="C204" s="25">
        <v>45931</v>
      </c>
      <c r="D204" s="24" t="s">
        <v>2666</v>
      </c>
      <c r="E204" s="26">
        <v>0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7">
        <v>0</v>
      </c>
    </row>
    <row r="205" spans="1:12">
      <c r="A205" s="24" t="s">
        <v>53</v>
      </c>
      <c r="B205" s="24" t="s">
        <v>324</v>
      </c>
      <c r="C205" s="25">
        <v>45962</v>
      </c>
      <c r="D205" s="24" t="s">
        <v>2667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6">
        <v>0</v>
      </c>
      <c r="L205" s="27">
        <v>0</v>
      </c>
    </row>
    <row r="206" spans="1:12">
      <c r="A206" s="24" t="s">
        <v>53</v>
      </c>
      <c r="B206" s="24" t="s">
        <v>324</v>
      </c>
      <c r="C206" s="25">
        <v>45992</v>
      </c>
      <c r="D206" s="24" t="s">
        <v>2668</v>
      </c>
      <c r="E206" s="26">
        <v>0</v>
      </c>
      <c r="F206" s="26">
        <v>0</v>
      </c>
      <c r="G206" s="26">
        <v>0</v>
      </c>
      <c r="H206" s="26">
        <v>100515</v>
      </c>
      <c r="I206" s="26">
        <v>-100515</v>
      </c>
      <c r="J206" s="26">
        <v>0</v>
      </c>
      <c r="K206" s="26">
        <v>-100515</v>
      </c>
      <c r="L206" s="27">
        <v>0</v>
      </c>
    </row>
    <row r="207" spans="1:12">
      <c r="A207" s="24" t="s">
        <v>16</v>
      </c>
      <c r="B207" s="24" t="s">
        <v>318</v>
      </c>
      <c r="C207" s="25">
        <v>45658</v>
      </c>
      <c r="D207" s="24" t="s">
        <v>2657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7">
        <v>0</v>
      </c>
    </row>
    <row r="208" spans="1:12">
      <c r="A208" s="24" t="s">
        <v>16</v>
      </c>
      <c r="B208" s="24" t="s">
        <v>318</v>
      </c>
      <c r="C208" s="25">
        <v>45689</v>
      </c>
      <c r="D208" s="24" t="s">
        <v>2658</v>
      </c>
      <c r="E208" s="26">
        <v>0</v>
      </c>
      <c r="F208" s="26">
        <v>0</v>
      </c>
      <c r="G208" s="26">
        <v>0</v>
      </c>
      <c r="H208" s="26">
        <v>0</v>
      </c>
      <c r="I208" s="26">
        <v>0</v>
      </c>
      <c r="J208" s="26">
        <v>0</v>
      </c>
      <c r="K208" s="26">
        <v>0</v>
      </c>
      <c r="L208" s="27">
        <v>0</v>
      </c>
    </row>
    <row r="209" spans="1:12">
      <c r="A209" s="24" t="s">
        <v>16</v>
      </c>
      <c r="B209" s="24" t="s">
        <v>318</v>
      </c>
      <c r="C209" s="25">
        <v>45717</v>
      </c>
      <c r="D209" s="24" t="s">
        <v>2659</v>
      </c>
      <c r="E209" s="26">
        <v>0</v>
      </c>
      <c r="F209" s="26">
        <v>0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7">
        <v>0</v>
      </c>
    </row>
    <row r="210" spans="1:12">
      <c r="A210" s="24" t="s">
        <v>16</v>
      </c>
      <c r="B210" s="24" t="s">
        <v>318</v>
      </c>
      <c r="C210" s="25">
        <v>45748</v>
      </c>
      <c r="D210" s="24" t="s">
        <v>2660</v>
      </c>
      <c r="E210" s="26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7">
        <v>0</v>
      </c>
    </row>
    <row r="211" spans="1:12">
      <c r="A211" s="24" t="s">
        <v>16</v>
      </c>
      <c r="B211" s="24" t="s">
        <v>318</v>
      </c>
      <c r="C211" s="25">
        <v>45778</v>
      </c>
      <c r="D211" s="24" t="s">
        <v>2661</v>
      </c>
      <c r="E211" s="26">
        <v>0</v>
      </c>
      <c r="F211" s="26">
        <v>0</v>
      </c>
      <c r="G211" s="26">
        <v>0</v>
      </c>
      <c r="H211" s="26">
        <v>0</v>
      </c>
      <c r="I211" s="26">
        <v>0</v>
      </c>
      <c r="J211" s="26">
        <v>0</v>
      </c>
      <c r="K211" s="26">
        <v>0</v>
      </c>
      <c r="L211" s="27">
        <v>0</v>
      </c>
    </row>
    <row r="212" spans="1:12">
      <c r="A212" s="24" t="s">
        <v>16</v>
      </c>
      <c r="B212" s="24" t="s">
        <v>318</v>
      </c>
      <c r="C212" s="25">
        <v>45809</v>
      </c>
      <c r="D212" s="24" t="s">
        <v>2662</v>
      </c>
      <c r="E212" s="26">
        <v>0</v>
      </c>
      <c r="F212" s="26">
        <v>0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7">
        <v>0</v>
      </c>
    </row>
    <row r="213" spans="1:12">
      <c r="A213" s="24" t="s">
        <v>16</v>
      </c>
      <c r="B213" s="24" t="s">
        <v>318</v>
      </c>
      <c r="C213" s="25">
        <v>45839</v>
      </c>
      <c r="D213" s="24" t="s">
        <v>2663</v>
      </c>
      <c r="E213" s="26">
        <v>32476.560000000001</v>
      </c>
      <c r="F213" s="26">
        <v>0</v>
      </c>
      <c r="G213" s="26">
        <v>32476.560000000001</v>
      </c>
      <c r="H213" s="26">
        <v>0</v>
      </c>
      <c r="I213" s="26">
        <v>32476.560000000001</v>
      </c>
      <c r="J213" s="26">
        <v>0</v>
      </c>
      <c r="K213" s="26">
        <v>32476.560000000001</v>
      </c>
      <c r="L213" s="27">
        <v>1</v>
      </c>
    </row>
    <row r="214" spans="1:12">
      <c r="A214" s="24" t="s">
        <v>16</v>
      </c>
      <c r="B214" s="24" t="s">
        <v>318</v>
      </c>
      <c r="C214" s="25">
        <v>45870</v>
      </c>
      <c r="D214" s="24" t="s">
        <v>2664</v>
      </c>
      <c r="E214" s="26">
        <v>0</v>
      </c>
      <c r="F214" s="26">
        <v>0</v>
      </c>
      <c r="G214" s="26">
        <v>0</v>
      </c>
      <c r="H214" s="26">
        <v>0</v>
      </c>
      <c r="I214" s="26">
        <v>0</v>
      </c>
      <c r="J214" s="26">
        <v>0</v>
      </c>
      <c r="K214" s="26">
        <v>0</v>
      </c>
      <c r="L214" s="27">
        <v>0</v>
      </c>
    </row>
    <row r="215" spans="1:12">
      <c r="A215" s="24" t="s">
        <v>16</v>
      </c>
      <c r="B215" s="24" t="s">
        <v>318</v>
      </c>
      <c r="C215" s="25">
        <v>45901</v>
      </c>
      <c r="D215" s="24" t="s">
        <v>2665</v>
      </c>
      <c r="E215" s="26">
        <v>48966.99</v>
      </c>
      <c r="F215" s="26">
        <v>0</v>
      </c>
      <c r="G215" s="26">
        <v>48966.99</v>
      </c>
      <c r="H215" s="26">
        <v>0</v>
      </c>
      <c r="I215" s="26">
        <v>48966.99</v>
      </c>
      <c r="J215" s="26">
        <v>0</v>
      </c>
      <c r="K215" s="26">
        <v>48966.99</v>
      </c>
      <c r="L215" s="27">
        <v>1</v>
      </c>
    </row>
    <row r="216" spans="1:12">
      <c r="A216" s="24" t="s">
        <v>16</v>
      </c>
      <c r="B216" s="24" t="s">
        <v>318</v>
      </c>
      <c r="C216" s="25">
        <v>45931</v>
      </c>
      <c r="D216" s="24" t="s">
        <v>2666</v>
      </c>
      <c r="E216" s="26">
        <v>35818.33</v>
      </c>
      <c r="F216" s="26">
        <v>0</v>
      </c>
      <c r="G216" s="26">
        <v>35818.33</v>
      </c>
      <c r="H216" s="26">
        <v>0</v>
      </c>
      <c r="I216" s="26">
        <v>35818.33</v>
      </c>
      <c r="J216" s="26">
        <v>0</v>
      </c>
      <c r="K216" s="26">
        <v>35818.33</v>
      </c>
      <c r="L216" s="27">
        <v>1</v>
      </c>
    </row>
    <row r="217" spans="1:12">
      <c r="A217" s="24" t="s">
        <v>16</v>
      </c>
      <c r="B217" s="24" t="s">
        <v>318</v>
      </c>
      <c r="C217" s="25">
        <v>45962</v>
      </c>
      <c r="D217" s="24" t="s">
        <v>2667</v>
      </c>
      <c r="E217" s="26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7">
        <v>0</v>
      </c>
    </row>
    <row r="218" spans="1:12">
      <c r="A218" s="24" t="s">
        <v>16</v>
      </c>
      <c r="B218" s="24" t="s">
        <v>318</v>
      </c>
      <c r="C218" s="25">
        <v>45992</v>
      </c>
      <c r="D218" s="24" t="s">
        <v>2668</v>
      </c>
      <c r="E218" s="26">
        <v>0</v>
      </c>
      <c r="F218" s="26">
        <v>243862.64</v>
      </c>
      <c r="G218" s="26">
        <v>-243862.64</v>
      </c>
      <c r="H218" s="26">
        <v>0</v>
      </c>
      <c r="I218" s="26">
        <v>-243862.64</v>
      </c>
      <c r="J218" s="26">
        <v>0</v>
      </c>
      <c r="K218" s="26">
        <v>-243862.64</v>
      </c>
      <c r="L218" s="27">
        <v>1</v>
      </c>
    </row>
    <row r="219" spans="1:12">
      <c r="A219" s="24" t="s">
        <v>74</v>
      </c>
      <c r="B219" s="24" t="s">
        <v>337</v>
      </c>
      <c r="C219" s="25">
        <v>45658</v>
      </c>
      <c r="D219" s="24" t="s">
        <v>2657</v>
      </c>
      <c r="E219" s="26">
        <v>0</v>
      </c>
      <c r="F219" s="26">
        <v>0</v>
      </c>
      <c r="G219" s="26">
        <v>0</v>
      </c>
      <c r="H219" s="26">
        <v>0</v>
      </c>
      <c r="I219" s="26">
        <v>0</v>
      </c>
      <c r="J219" s="26">
        <v>0</v>
      </c>
      <c r="K219" s="26">
        <v>0</v>
      </c>
      <c r="L219" s="27">
        <v>0</v>
      </c>
    </row>
    <row r="220" spans="1:12">
      <c r="A220" s="24" t="s">
        <v>74</v>
      </c>
      <c r="B220" s="24" t="s">
        <v>337</v>
      </c>
      <c r="C220" s="25">
        <v>45689</v>
      </c>
      <c r="D220" s="24" t="s">
        <v>2658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7">
        <v>0</v>
      </c>
    </row>
    <row r="221" spans="1:12">
      <c r="A221" s="24" t="s">
        <v>74</v>
      </c>
      <c r="B221" s="24" t="s">
        <v>337</v>
      </c>
      <c r="C221" s="25">
        <v>45717</v>
      </c>
      <c r="D221" s="24" t="s">
        <v>2659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7">
        <v>0</v>
      </c>
    </row>
    <row r="222" spans="1:12">
      <c r="A222" s="24" t="s">
        <v>74</v>
      </c>
      <c r="B222" s="24" t="s">
        <v>337</v>
      </c>
      <c r="C222" s="25">
        <v>45748</v>
      </c>
      <c r="D222" s="24" t="s">
        <v>2660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7">
        <v>0</v>
      </c>
    </row>
    <row r="223" spans="1:12">
      <c r="A223" s="24" t="s">
        <v>74</v>
      </c>
      <c r="B223" s="24" t="s">
        <v>337</v>
      </c>
      <c r="C223" s="25">
        <v>45778</v>
      </c>
      <c r="D223" s="24" t="s">
        <v>2661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7">
        <v>0</v>
      </c>
    </row>
    <row r="224" spans="1:12">
      <c r="A224" s="24" t="s">
        <v>74</v>
      </c>
      <c r="B224" s="24" t="s">
        <v>337</v>
      </c>
      <c r="C224" s="25">
        <v>45809</v>
      </c>
      <c r="D224" s="24" t="s">
        <v>2662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7">
        <v>0</v>
      </c>
    </row>
    <row r="225" spans="1:12">
      <c r="A225" s="24" t="s">
        <v>74</v>
      </c>
      <c r="B225" s="24" t="s">
        <v>337</v>
      </c>
      <c r="C225" s="25">
        <v>45839</v>
      </c>
      <c r="D225" s="24" t="s">
        <v>2663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7">
        <v>0</v>
      </c>
    </row>
    <row r="226" spans="1:12">
      <c r="A226" s="24" t="s">
        <v>74</v>
      </c>
      <c r="B226" s="24" t="s">
        <v>337</v>
      </c>
      <c r="C226" s="25">
        <v>45870</v>
      </c>
      <c r="D226" s="24" t="s">
        <v>2664</v>
      </c>
      <c r="E226" s="26">
        <v>31783.83</v>
      </c>
      <c r="F226" s="26">
        <v>0</v>
      </c>
      <c r="G226" s="26">
        <v>31783.83</v>
      </c>
      <c r="H226" s="26">
        <v>0</v>
      </c>
      <c r="I226" s="26">
        <v>31783.83</v>
      </c>
      <c r="J226" s="26">
        <v>0</v>
      </c>
      <c r="K226" s="26">
        <v>31783.83</v>
      </c>
      <c r="L226" s="27">
        <v>1</v>
      </c>
    </row>
    <row r="227" spans="1:12">
      <c r="A227" s="24" t="s">
        <v>74</v>
      </c>
      <c r="B227" s="24" t="s">
        <v>337</v>
      </c>
      <c r="C227" s="25">
        <v>45901</v>
      </c>
      <c r="D227" s="24" t="s">
        <v>2665</v>
      </c>
      <c r="E227" s="26">
        <v>0</v>
      </c>
      <c r="F227" s="26">
        <v>0</v>
      </c>
      <c r="G227" s="26">
        <v>0</v>
      </c>
      <c r="H227" s="26">
        <v>0</v>
      </c>
      <c r="I227" s="26">
        <v>0</v>
      </c>
      <c r="J227" s="26">
        <v>0</v>
      </c>
      <c r="K227" s="26">
        <v>0</v>
      </c>
      <c r="L227" s="27">
        <v>0</v>
      </c>
    </row>
    <row r="228" spans="1:12">
      <c r="A228" s="24" t="s">
        <v>74</v>
      </c>
      <c r="B228" s="24" t="s">
        <v>337</v>
      </c>
      <c r="C228" s="25">
        <v>45931</v>
      </c>
      <c r="D228" s="24" t="s">
        <v>2666</v>
      </c>
      <c r="E228" s="26">
        <v>31730.48</v>
      </c>
      <c r="F228" s="26">
        <v>29863.31</v>
      </c>
      <c r="G228" s="26">
        <v>1867.1700000000019</v>
      </c>
      <c r="H228" s="26">
        <v>0</v>
      </c>
      <c r="I228" s="26">
        <v>1867.1700000000019</v>
      </c>
      <c r="J228" s="26">
        <v>0</v>
      </c>
      <c r="K228" s="26">
        <v>1867.1700000000019</v>
      </c>
      <c r="L228" s="27">
        <v>1</v>
      </c>
    </row>
    <row r="229" spans="1:12">
      <c r="A229" s="24" t="s">
        <v>74</v>
      </c>
      <c r="B229" s="24" t="s">
        <v>337</v>
      </c>
      <c r="C229" s="25">
        <v>45962</v>
      </c>
      <c r="D229" s="24" t="s">
        <v>2667</v>
      </c>
      <c r="E229" s="26">
        <v>27414.14</v>
      </c>
      <c r="F229" s="26">
        <v>0</v>
      </c>
      <c r="G229" s="26">
        <v>27414.14</v>
      </c>
      <c r="H229" s="26">
        <v>0</v>
      </c>
      <c r="I229" s="26">
        <v>27414.14</v>
      </c>
      <c r="J229" s="26">
        <v>0</v>
      </c>
      <c r="K229" s="26">
        <v>27414.14</v>
      </c>
      <c r="L229" s="27">
        <v>1</v>
      </c>
    </row>
    <row r="230" spans="1:12">
      <c r="A230" s="24" t="s">
        <v>74</v>
      </c>
      <c r="B230" s="24" t="s">
        <v>337</v>
      </c>
      <c r="C230" s="25">
        <v>45992</v>
      </c>
      <c r="D230" s="24" t="s">
        <v>2668</v>
      </c>
      <c r="E230" s="26">
        <v>14752.78</v>
      </c>
      <c r="F230" s="26">
        <v>0</v>
      </c>
      <c r="G230" s="26">
        <v>14752.78</v>
      </c>
      <c r="H230" s="26">
        <v>103238.57</v>
      </c>
      <c r="I230" s="26">
        <v>-88485.790000000008</v>
      </c>
      <c r="J230" s="26">
        <v>0</v>
      </c>
      <c r="K230" s="26">
        <v>-88485.790000000008</v>
      </c>
      <c r="L230" s="27">
        <v>-5.9979061573479724</v>
      </c>
    </row>
    <row r="231" spans="1:12">
      <c r="A231" s="24" t="s">
        <v>18</v>
      </c>
      <c r="B231" s="24" t="s">
        <v>329</v>
      </c>
      <c r="C231" s="25">
        <v>45658</v>
      </c>
      <c r="D231" s="24" t="s">
        <v>2657</v>
      </c>
      <c r="E231" s="26">
        <v>0</v>
      </c>
      <c r="F231" s="26">
        <v>0</v>
      </c>
      <c r="G231" s="26">
        <v>0</v>
      </c>
      <c r="H231" s="26">
        <v>0</v>
      </c>
      <c r="I231" s="26">
        <v>0</v>
      </c>
      <c r="J231" s="26">
        <v>0</v>
      </c>
      <c r="K231" s="26">
        <v>0</v>
      </c>
      <c r="L231" s="27">
        <v>0</v>
      </c>
    </row>
    <row r="232" spans="1:12">
      <c r="A232" s="24" t="s">
        <v>18</v>
      </c>
      <c r="B232" s="24" t="s">
        <v>329</v>
      </c>
      <c r="C232" s="25">
        <v>45689</v>
      </c>
      <c r="D232" s="24" t="s">
        <v>2658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7">
        <v>0</v>
      </c>
    </row>
    <row r="233" spans="1:12">
      <c r="A233" s="24" t="s">
        <v>18</v>
      </c>
      <c r="B233" s="24" t="s">
        <v>329</v>
      </c>
      <c r="C233" s="25">
        <v>45717</v>
      </c>
      <c r="D233" s="24" t="s">
        <v>2659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7">
        <v>0</v>
      </c>
    </row>
    <row r="234" spans="1:12">
      <c r="A234" s="24" t="s">
        <v>18</v>
      </c>
      <c r="B234" s="24" t="s">
        <v>329</v>
      </c>
      <c r="C234" s="25">
        <v>45748</v>
      </c>
      <c r="D234" s="24" t="s">
        <v>2660</v>
      </c>
      <c r="E234" s="26">
        <v>0</v>
      </c>
      <c r="F234" s="26">
        <v>0</v>
      </c>
      <c r="G234" s="26">
        <v>0</v>
      </c>
      <c r="H234" s="26">
        <v>0</v>
      </c>
      <c r="I234" s="26">
        <v>0</v>
      </c>
      <c r="J234" s="26">
        <v>0</v>
      </c>
      <c r="K234" s="26">
        <v>0</v>
      </c>
      <c r="L234" s="27">
        <v>0</v>
      </c>
    </row>
    <row r="235" spans="1:12">
      <c r="A235" s="24" t="s">
        <v>18</v>
      </c>
      <c r="B235" s="24" t="s">
        <v>329</v>
      </c>
      <c r="C235" s="25">
        <v>45778</v>
      </c>
      <c r="D235" s="24" t="s">
        <v>2661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7">
        <v>0</v>
      </c>
    </row>
    <row r="236" spans="1:12">
      <c r="A236" s="24" t="s">
        <v>18</v>
      </c>
      <c r="B236" s="24" t="s">
        <v>329</v>
      </c>
      <c r="C236" s="25">
        <v>45809</v>
      </c>
      <c r="D236" s="24" t="s">
        <v>2662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7">
        <v>0</v>
      </c>
    </row>
    <row r="237" spans="1:12">
      <c r="A237" s="24" t="s">
        <v>18</v>
      </c>
      <c r="B237" s="24" t="s">
        <v>329</v>
      </c>
      <c r="C237" s="25">
        <v>45839</v>
      </c>
      <c r="D237" s="24" t="s">
        <v>2663</v>
      </c>
      <c r="E237" s="26">
        <v>0</v>
      </c>
      <c r="F237" s="26">
        <v>0</v>
      </c>
      <c r="G237" s="26">
        <v>0</v>
      </c>
      <c r="H237" s="26">
        <v>0</v>
      </c>
      <c r="I237" s="26">
        <v>0</v>
      </c>
      <c r="J237" s="26">
        <v>0</v>
      </c>
      <c r="K237" s="26">
        <v>0</v>
      </c>
      <c r="L237" s="27">
        <v>0</v>
      </c>
    </row>
    <row r="238" spans="1:12">
      <c r="A238" s="24" t="s">
        <v>18</v>
      </c>
      <c r="B238" s="24" t="s">
        <v>329</v>
      </c>
      <c r="C238" s="25">
        <v>45870</v>
      </c>
      <c r="D238" s="24" t="s">
        <v>2664</v>
      </c>
      <c r="E238" s="26">
        <v>91967.96</v>
      </c>
      <c r="F238" s="26">
        <v>0</v>
      </c>
      <c r="G238" s="26">
        <v>91967.96</v>
      </c>
      <c r="H238" s="26">
        <v>0</v>
      </c>
      <c r="I238" s="26">
        <v>91967.96</v>
      </c>
      <c r="J238" s="26">
        <v>0</v>
      </c>
      <c r="K238" s="26">
        <v>91967.96</v>
      </c>
      <c r="L238" s="27">
        <v>1</v>
      </c>
    </row>
    <row r="239" spans="1:12">
      <c r="A239" s="24" t="s">
        <v>18</v>
      </c>
      <c r="B239" s="24" t="s">
        <v>329</v>
      </c>
      <c r="C239" s="25">
        <v>45901</v>
      </c>
      <c r="D239" s="24" t="s">
        <v>2665</v>
      </c>
      <c r="E239" s="26">
        <v>0</v>
      </c>
      <c r="F239" s="26">
        <v>0</v>
      </c>
      <c r="G239" s="26">
        <v>0</v>
      </c>
      <c r="H239" s="26">
        <v>0</v>
      </c>
      <c r="I239" s="26">
        <v>0</v>
      </c>
      <c r="J239" s="26">
        <v>0</v>
      </c>
      <c r="K239" s="26">
        <v>0</v>
      </c>
      <c r="L239" s="27">
        <v>0</v>
      </c>
    </row>
    <row r="240" spans="1:12">
      <c r="A240" s="24" t="s">
        <v>18</v>
      </c>
      <c r="B240" s="24" t="s">
        <v>329</v>
      </c>
      <c r="C240" s="25">
        <v>45931</v>
      </c>
      <c r="D240" s="24" t="s">
        <v>2666</v>
      </c>
      <c r="E240" s="26">
        <v>0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7">
        <v>0</v>
      </c>
    </row>
    <row r="241" spans="1:12">
      <c r="A241" s="24" t="s">
        <v>18</v>
      </c>
      <c r="B241" s="24" t="s">
        <v>329</v>
      </c>
      <c r="C241" s="25">
        <v>45962</v>
      </c>
      <c r="D241" s="24" t="s">
        <v>2667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7">
        <v>0</v>
      </c>
    </row>
    <row r="242" spans="1:12">
      <c r="A242" s="24" t="s">
        <v>18</v>
      </c>
      <c r="B242" s="24" t="s">
        <v>329</v>
      </c>
      <c r="C242" s="25">
        <v>45992</v>
      </c>
      <c r="D242" s="24" t="s">
        <v>2668</v>
      </c>
      <c r="E242" s="26">
        <v>0</v>
      </c>
      <c r="F242" s="26">
        <v>0</v>
      </c>
      <c r="G242" s="26">
        <v>0</v>
      </c>
      <c r="H242" s="26">
        <v>0</v>
      </c>
      <c r="I242" s="26">
        <v>0</v>
      </c>
      <c r="J242" s="26">
        <v>0</v>
      </c>
      <c r="K242" s="26">
        <v>0</v>
      </c>
      <c r="L242" s="27">
        <v>0</v>
      </c>
    </row>
    <row r="243" spans="1:12">
      <c r="A243" s="24" t="s">
        <v>285</v>
      </c>
      <c r="B243" s="24" t="s">
        <v>329</v>
      </c>
      <c r="C243" s="25">
        <v>45658</v>
      </c>
      <c r="D243" s="24" t="s">
        <v>2657</v>
      </c>
      <c r="E243" s="26">
        <v>0</v>
      </c>
      <c r="F243" s="26">
        <v>0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7">
        <v>0</v>
      </c>
    </row>
    <row r="244" spans="1:12">
      <c r="A244" s="24" t="s">
        <v>285</v>
      </c>
      <c r="B244" s="24" t="s">
        <v>329</v>
      </c>
      <c r="C244" s="25">
        <v>45689</v>
      </c>
      <c r="D244" s="24" t="s">
        <v>2658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7">
        <v>0</v>
      </c>
    </row>
    <row r="245" spans="1:12">
      <c r="A245" s="24" t="s">
        <v>285</v>
      </c>
      <c r="B245" s="24" t="s">
        <v>329</v>
      </c>
      <c r="C245" s="25">
        <v>45717</v>
      </c>
      <c r="D245" s="24" t="s">
        <v>2659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7">
        <v>0</v>
      </c>
    </row>
    <row r="246" spans="1:12">
      <c r="A246" s="24" t="s">
        <v>285</v>
      </c>
      <c r="B246" s="24" t="s">
        <v>329</v>
      </c>
      <c r="C246" s="25">
        <v>45748</v>
      </c>
      <c r="D246" s="24" t="s">
        <v>2660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7">
        <v>0</v>
      </c>
    </row>
    <row r="247" spans="1:12">
      <c r="A247" s="24" t="s">
        <v>285</v>
      </c>
      <c r="B247" s="24" t="s">
        <v>329</v>
      </c>
      <c r="C247" s="25">
        <v>45778</v>
      </c>
      <c r="D247" s="24" t="s">
        <v>2661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7">
        <v>0</v>
      </c>
    </row>
    <row r="248" spans="1:12">
      <c r="A248" s="24" t="s">
        <v>285</v>
      </c>
      <c r="B248" s="24" t="s">
        <v>329</v>
      </c>
      <c r="C248" s="25">
        <v>45809</v>
      </c>
      <c r="D248" s="24" t="s">
        <v>2662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7">
        <v>0</v>
      </c>
    </row>
    <row r="249" spans="1:12">
      <c r="A249" s="24" t="s">
        <v>285</v>
      </c>
      <c r="B249" s="24" t="s">
        <v>329</v>
      </c>
      <c r="C249" s="25">
        <v>45839</v>
      </c>
      <c r="D249" s="24" t="s">
        <v>2663</v>
      </c>
      <c r="E249" s="26">
        <v>0</v>
      </c>
      <c r="F249" s="26">
        <v>0</v>
      </c>
      <c r="G249" s="26">
        <v>0</v>
      </c>
      <c r="H249" s="26">
        <v>0</v>
      </c>
      <c r="I249" s="26">
        <v>0</v>
      </c>
      <c r="J249" s="26">
        <v>0</v>
      </c>
      <c r="K249" s="26">
        <v>0</v>
      </c>
      <c r="L249" s="27">
        <v>0</v>
      </c>
    </row>
    <row r="250" spans="1:12">
      <c r="A250" s="24" t="s">
        <v>285</v>
      </c>
      <c r="B250" s="24" t="s">
        <v>329</v>
      </c>
      <c r="C250" s="25">
        <v>45870</v>
      </c>
      <c r="D250" s="24" t="s">
        <v>2664</v>
      </c>
      <c r="E250" s="26">
        <v>42785.98</v>
      </c>
      <c r="F250" s="26">
        <v>0</v>
      </c>
      <c r="G250" s="26">
        <v>42785.98</v>
      </c>
      <c r="H250" s="26">
        <v>0</v>
      </c>
      <c r="I250" s="26">
        <v>42785.98</v>
      </c>
      <c r="J250" s="26">
        <v>0</v>
      </c>
      <c r="K250" s="26">
        <v>42785.98</v>
      </c>
      <c r="L250" s="27">
        <v>1</v>
      </c>
    </row>
    <row r="251" spans="1:12">
      <c r="A251" s="24" t="s">
        <v>285</v>
      </c>
      <c r="B251" s="24" t="s">
        <v>329</v>
      </c>
      <c r="C251" s="25">
        <v>45901</v>
      </c>
      <c r="D251" s="24" t="s">
        <v>2665</v>
      </c>
      <c r="E251" s="26">
        <v>66928.84</v>
      </c>
      <c r="F251" s="26">
        <v>0</v>
      </c>
      <c r="G251" s="26">
        <v>66928.84</v>
      </c>
      <c r="H251" s="26">
        <v>0</v>
      </c>
      <c r="I251" s="26">
        <v>66928.84</v>
      </c>
      <c r="J251" s="26">
        <v>0</v>
      </c>
      <c r="K251" s="26">
        <v>66928.84</v>
      </c>
      <c r="L251" s="27">
        <v>1</v>
      </c>
    </row>
    <row r="252" spans="1:12">
      <c r="A252" s="24" t="s">
        <v>285</v>
      </c>
      <c r="B252" s="24" t="s">
        <v>329</v>
      </c>
      <c r="C252" s="25">
        <v>45931</v>
      </c>
      <c r="D252" s="24" t="s">
        <v>2666</v>
      </c>
      <c r="E252" s="26">
        <v>0</v>
      </c>
      <c r="F252" s="26">
        <v>105921.66</v>
      </c>
      <c r="G252" s="26">
        <v>-105921.66</v>
      </c>
      <c r="H252" s="26">
        <v>101002.87</v>
      </c>
      <c r="I252" s="26">
        <v>-206924.53</v>
      </c>
      <c r="J252" s="26">
        <v>0</v>
      </c>
      <c r="K252" s="26">
        <v>-206924.53</v>
      </c>
      <c r="L252" s="27">
        <v>1.9535620004444789</v>
      </c>
    </row>
    <row r="253" spans="1:12">
      <c r="A253" s="24" t="s">
        <v>285</v>
      </c>
      <c r="B253" s="24" t="s">
        <v>329</v>
      </c>
      <c r="C253" s="25">
        <v>45962</v>
      </c>
      <c r="D253" s="24" t="s">
        <v>2667</v>
      </c>
      <c r="E253" s="26">
        <v>26635.99</v>
      </c>
      <c r="F253" s="26">
        <v>0</v>
      </c>
      <c r="G253" s="26">
        <v>26635.99</v>
      </c>
      <c r="H253" s="26">
        <v>0</v>
      </c>
      <c r="I253" s="26">
        <v>26635.99</v>
      </c>
      <c r="J253" s="26">
        <v>0</v>
      </c>
      <c r="K253" s="26">
        <v>26635.99</v>
      </c>
      <c r="L253" s="27">
        <v>1</v>
      </c>
    </row>
    <row r="254" spans="1:12">
      <c r="A254" s="24" t="s">
        <v>285</v>
      </c>
      <c r="B254" s="24" t="s">
        <v>329</v>
      </c>
      <c r="C254" s="25">
        <v>45992</v>
      </c>
      <c r="D254" s="24" t="s">
        <v>2668</v>
      </c>
      <c r="E254" s="26">
        <v>73573.539999999994</v>
      </c>
      <c r="F254" s="26">
        <v>0</v>
      </c>
      <c r="G254" s="26">
        <v>73573.539999999994</v>
      </c>
      <c r="H254" s="26">
        <v>36874.51</v>
      </c>
      <c r="I254" s="26">
        <v>36699.029999999992</v>
      </c>
      <c r="J254" s="26">
        <v>0</v>
      </c>
      <c r="K254" s="26">
        <v>36699.029999999992</v>
      </c>
      <c r="L254" s="27">
        <v>0.49880745170070651</v>
      </c>
    </row>
    <row r="255" spans="1:12">
      <c r="A255" s="24" t="s">
        <v>219</v>
      </c>
      <c r="B255" s="24" t="s">
        <v>337</v>
      </c>
      <c r="C255" s="25">
        <v>45658</v>
      </c>
      <c r="D255" s="24" t="s">
        <v>2657</v>
      </c>
      <c r="E255" s="26">
        <v>0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7">
        <v>0</v>
      </c>
    </row>
    <row r="256" spans="1:12">
      <c r="A256" s="24" t="s">
        <v>219</v>
      </c>
      <c r="B256" s="24" t="s">
        <v>337</v>
      </c>
      <c r="C256" s="25">
        <v>45689</v>
      </c>
      <c r="D256" s="24" t="s">
        <v>2658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7">
        <v>0</v>
      </c>
    </row>
    <row r="257" spans="1:12">
      <c r="A257" s="24" t="s">
        <v>219</v>
      </c>
      <c r="B257" s="24" t="s">
        <v>337</v>
      </c>
      <c r="C257" s="25">
        <v>45717</v>
      </c>
      <c r="D257" s="24" t="s">
        <v>2659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7">
        <v>0</v>
      </c>
    </row>
    <row r="258" spans="1:12">
      <c r="A258" s="24" t="s">
        <v>219</v>
      </c>
      <c r="B258" s="24" t="s">
        <v>337</v>
      </c>
      <c r="C258" s="25">
        <v>45748</v>
      </c>
      <c r="D258" s="24" t="s">
        <v>2660</v>
      </c>
      <c r="E258" s="26">
        <v>0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7">
        <v>0</v>
      </c>
    </row>
    <row r="259" spans="1:12">
      <c r="A259" s="24" t="s">
        <v>219</v>
      </c>
      <c r="B259" s="24" t="s">
        <v>337</v>
      </c>
      <c r="C259" s="25">
        <v>45778</v>
      </c>
      <c r="D259" s="24" t="s">
        <v>2661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7">
        <v>0</v>
      </c>
    </row>
    <row r="260" spans="1:12">
      <c r="A260" s="24" t="s">
        <v>219</v>
      </c>
      <c r="B260" s="24" t="s">
        <v>337</v>
      </c>
      <c r="C260" s="25">
        <v>45809</v>
      </c>
      <c r="D260" s="24" t="s">
        <v>2662</v>
      </c>
      <c r="E260" s="26">
        <v>0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>
        <v>0</v>
      </c>
      <c r="L260" s="27">
        <v>0</v>
      </c>
    </row>
    <row r="261" spans="1:12">
      <c r="A261" s="24" t="s">
        <v>219</v>
      </c>
      <c r="B261" s="24" t="s">
        <v>337</v>
      </c>
      <c r="C261" s="25">
        <v>45839</v>
      </c>
      <c r="D261" s="24" t="s">
        <v>2663</v>
      </c>
      <c r="E261" s="26">
        <v>53316.52</v>
      </c>
      <c r="F261" s="26">
        <v>0</v>
      </c>
      <c r="G261" s="26">
        <v>53316.52</v>
      </c>
      <c r="H261" s="26">
        <v>0</v>
      </c>
      <c r="I261" s="26">
        <v>53316.52</v>
      </c>
      <c r="J261" s="26">
        <v>0</v>
      </c>
      <c r="K261" s="26">
        <v>53316.52</v>
      </c>
      <c r="L261" s="27">
        <v>1</v>
      </c>
    </row>
    <row r="262" spans="1:12">
      <c r="A262" s="24" t="s">
        <v>219</v>
      </c>
      <c r="B262" s="24" t="s">
        <v>337</v>
      </c>
      <c r="C262" s="25">
        <v>45870</v>
      </c>
      <c r="D262" s="24" t="s">
        <v>2664</v>
      </c>
      <c r="E262" s="26">
        <v>0</v>
      </c>
      <c r="F262" s="26">
        <v>0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7">
        <v>0</v>
      </c>
    </row>
    <row r="263" spans="1:12">
      <c r="A263" s="24" t="s">
        <v>219</v>
      </c>
      <c r="B263" s="24" t="s">
        <v>337</v>
      </c>
      <c r="C263" s="25">
        <v>45901</v>
      </c>
      <c r="D263" s="24" t="s">
        <v>2665</v>
      </c>
      <c r="E263" s="26">
        <v>0</v>
      </c>
      <c r="F263" s="26">
        <v>0</v>
      </c>
      <c r="G263" s="26">
        <v>0</v>
      </c>
      <c r="H263" s="26">
        <v>0</v>
      </c>
      <c r="I263" s="26">
        <v>0</v>
      </c>
      <c r="J263" s="26">
        <v>0</v>
      </c>
      <c r="K263" s="26">
        <v>0</v>
      </c>
      <c r="L263" s="27">
        <v>0</v>
      </c>
    </row>
    <row r="264" spans="1:12">
      <c r="A264" s="24" t="s">
        <v>219</v>
      </c>
      <c r="B264" s="24" t="s">
        <v>337</v>
      </c>
      <c r="C264" s="25">
        <v>45931</v>
      </c>
      <c r="D264" s="24" t="s">
        <v>2666</v>
      </c>
      <c r="E264" s="26">
        <v>0</v>
      </c>
      <c r="F264" s="26">
        <v>0</v>
      </c>
      <c r="G264" s="26">
        <v>0</v>
      </c>
      <c r="H264" s="26">
        <v>53074.55</v>
      </c>
      <c r="I264" s="26">
        <v>-53074.55</v>
      </c>
      <c r="J264" s="26">
        <v>0</v>
      </c>
      <c r="K264" s="26">
        <v>-53074.55</v>
      </c>
      <c r="L264" s="27">
        <v>0</v>
      </c>
    </row>
    <row r="265" spans="1:12">
      <c r="A265" s="24" t="s">
        <v>219</v>
      </c>
      <c r="B265" s="24" t="s">
        <v>337</v>
      </c>
      <c r="C265" s="25">
        <v>45962</v>
      </c>
      <c r="D265" s="24" t="s">
        <v>2667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7">
        <v>0</v>
      </c>
    </row>
    <row r="266" spans="1:12">
      <c r="A266" s="24" t="s">
        <v>219</v>
      </c>
      <c r="B266" s="24" t="s">
        <v>337</v>
      </c>
      <c r="C266" s="25">
        <v>45992</v>
      </c>
      <c r="D266" s="24" t="s">
        <v>2668</v>
      </c>
      <c r="E266" s="26">
        <v>0</v>
      </c>
      <c r="F266" s="26">
        <v>90765.06</v>
      </c>
      <c r="G266" s="26">
        <v>-90765.06</v>
      </c>
      <c r="H266" s="26">
        <v>0</v>
      </c>
      <c r="I266" s="26">
        <v>-90765.06</v>
      </c>
      <c r="J266" s="26">
        <v>0</v>
      </c>
      <c r="K266" s="26">
        <v>-90765.06</v>
      </c>
      <c r="L266" s="27">
        <v>1</v>
      </c>
    </row>
    <row r="267" spans="1:12">
      <c r="A267" s="24" t="s">
        <v>63</v>
      </c>
      <c r="B267" s="24" t="s">
        <v>329</v>
      </c>
      <c r="C267" s="25">
        <v>45658</v>
      </c>
      <c r="D267" s="24" t="s">
        <v>2657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7">
        <v>0</v>
      </c>
    </row>
    <row r="268" spans="1:12">
      <c r="A268" s="24" t="s">
        <v>63</v>
      </c>
      <c r="B268" s="24" t="s">
        <v>329</v>
      </c>
      <c r="C268" s="25">
        <v>45689</v>
      </c>
      <c r="D268" s="24" t="s">
        <v>2658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7">
        <v>0</v>
      </c>
    </row>
    <row r="269" spans="1:12">
      <c r="A269" s="24" t="s">
        <v>63</v>
      </c>
      <c r="B269" s="24" t="s">
        <v>329</v>
      </c>
      <c r="C269" s="25">
        <v>45717</v>
      </c>
      <c r="D269" s="24" t="s">
        <v>2659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7">
        <v>0</v>
      </c>
    </row>
    <row r="270" spans="1:12">
      <c r="A270" s="24" t="s">
        <v>63</v>
      </c>
      <c r="B270" s="24" t="s">
        <v>329</v>
      </c>
      <c r="C270" s="25">
        <v>45748</v>
      </c>
      <c r="D270" s="24" t="s">
        <v>2660</v>
      </c>
      <c r="E270" s="26">
        <v>0</v>
      </c>
      <c r="F270" s="26">
        <v>0</v>
      </c>
      <c r="G270" s="26">
        <v>0</v>
      </c>
      <c r="H270" s="26">
        <v>0</v>
      </c>
      <c r="I270" s="26">
        <v>0</v>
      </c>
      <c r="J270" s="26">
        <v>0</v>
      </c>
      <c r="K270" s="26">
        <v>0</v>
      </c>
      <c r="L270" s="27">
        <v>0</v>
      </c>
    </row>
    <row r="271" spans="1:12">
      <c r="A271" s="24" t="s">
        <v>63</v>
      </c>
      <c r="B271" s="24" t="s">
        <v>329</v>
      </c>
      <c r="C271" s="25">
        <v>45778</v>
      </c>
      <c r="D271" s="24" t="s">
        <v>2661</v>
      </c>
      <c r="E271" s="26">
        <v>0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7">
        <v>0</v>
      </c>
    </row>
    <row r="272" spans="1:12">
      <c r="A272" s="24" t="s">
        <v>63</v>
      </c>
      <c r="B272" s="24" t="s">
        <v>329</v>
      </c>
      <c r="C272" s="25">
        <v>45809</v>
      </c>
      <c r="D272" s="24" t="s">
        <v>2662</v>
      </c>
      <c r="E272" s="26">
        <v>0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7">
        <v>0</v>
      </c>
    </row>
    <row r="273" spans="1:12">
      <c r="A273" s="24" t="s">
        <v>63</v>
      </c>
      <c r="B273" s="24" t="s">
        <v>329</v>
      </c>
      <c r="C273" s="25">
        <v>45839</v>
      </c>
      <c r="D273" s="24" t="s">
        <v>2663</v>
      </c>
      <c r="E273" s="26">
        <v>35446.300000000003</v>
      </c>
      <c r="F273" s="26">
        <v>0</v>
      </c>
      <c r="G273" s="26">
        <v>35446.300000000003</v>
      </c>
      <c r="H273" s="26">
        <v>0</v>
      </c>
      <c r="I273" s="26">
        <v>35446.300000000003</v>
      </c>
      <c r="J273" s="26">
        <v>0</v>
      </c>
      <c r="K273" s="26">
        <v>35446.300000000003</v>
      </c>
      <c r="L273" s="27">
        <v>1</v>
      </c>
    </row>
    <row r="274" spans="1:12">
      <c r="A274" s="24" t="s">
        <v>63</v>
      </c>
      <c r="B274" s="24" t="s">
        <v>329</v>
      </c>
      <c r="C274" s="25">
        <v>45870</v>
      </c>
      <c r="D274" s="24" t="s">
        <v>2664</v>
      </c>
      <c r="E274" s="26">
        <v>0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>
        <v>0</v>
      </c>
      <c r="L274" s="27">
        <v>0</v>
      </c>
    </row>
    <row r="275" spans="1:12">
      <c r="A275" s="24" t="s">
        <v>63</v>
      </c>
      <c r="B275" s="24" t="s">
        <v>329</v>
      </c>
      <c r="C275" s="25">
        <v>45901</v>
      </c>
      <c r="D275" s="24" t="s">
        <v>2665</v>
      </c>
      <c r="E275" s="26">
        <v>14812.45</v>
      </c>
      <c r="F275" s="26">
        <v>0</v>
      </c>
      <c r="G275" s="26">
        <v>14812.45</v>
      </c>
      <c r="H275" s="26">
        <v>92258.08</v>
      </c>
      <c r="I275" s="26">
        <v>-77445.63</v>
      </c>
      <c r="J275" s="26">
        <v>0</v>
      </c>
      <c r="K275" s="26">
        <v>-77445.63</v>
      </c>
      <c r="L275" s="27">
        <v>-5.22841461068223</v>
      </c>
    </row>
    <row r="276" spans="1:12">
      <c r="A276" s="24" t="s">
        <v>63</v>
      </c>
      <c r="B276" s="24" t="s">
        <v>329</v>
      </c>
      <c r="C276" s="25">
        <v>45931</v>
      </c>
      <c r="D276" s="24" t="s">
        <v>2666</v>
      </c>
      <c r="E276" s="26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7">
        <v>0</v>
      </c>
    </row>
    <row r="277" spans="1:12">
      <c r="A277" s="24" t="s">
        <v>63</v>
      </c>
      <c r="B277" s="24" t="s">
        <v>329</v>
      </c>
      <c r="C277" s="25">
        <v>45962</v>
      </c>
      <c r="D277" s="24" t="s">
        <v>2667</v>
      </c>
      <c r="E277" s="26">
        <v>36623.360000000001</v>
      </c>
      <c r="F277" s="26">
        <v>0</v>
      </c>
      <c r="G277" s="26">
        <v>36623.360000000001</v>
      </c>
      <c r="H277" s="26">
        <v>0</v>
      </c>
      <c r="I277" s="26">
        <v>36623.360000000001</v>
      </c>
      <c r="J277" s="26">
        <v>0</v>
      </c>
      <c r="K277" s="26">
        <v>36623.360000000001</v>
      </c>
      <c r="L277" s="27">
        <v>1</v>
      </c>
    </row>
    <row r="278" spans="1:12">
      <c r="A278" s="24" t="s">
        <v>63</v>
      </c>
      <c r="B278" s="24" t="s">
        <v>329</v>
      </c>
      <c r="C278" s="25">
        <v>45992</v>
      </c>
      <c r="D278" s="24" t="s">
        <v>2668</v>
      </c>
      <c r="E278" s="26">
        <v>0</v>
      </c>
      <c r="F278" s="26">
        <v>0</v>
      </c>
      <c r="G278" s="26">
        <v>0</v>
      </c>
      <c r="H278" s="26">
        <v>31863.14</v>
      </c>
      <c r="I278" s="26">
        <v>-31863.14</v>
      </c>
      <c r="J278" s="26">
        <v>0</v>
      </c>
      <c r="K278" s="26">
        <v>-31863.14</v>
      </c>
      <c r="L278" s="27">
        <v>0</v>
      </c>
    </row>
    <row r="279" spans="1:12">
      <c r="A279" s="24" t="s">
        <v>133</v>
      </c>
      <c r="B279" s="24" t="s">
        <v>324</v>
      </c>
      <c r="C279" s="25">
        <v>45658</v>
      </c>
      <c r="D279" s="24" t="s">
        <v>2657</v>
      </c>
      <c r="E279" s="26">
        <v>0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>
        <v>0</v>
      </c>
      <c r="L279" s="27">
        <v>0</v>
      </c>
    </row>
    <row r="280" spans="1:12">
      <c r="A280" s="24" t="s">
        <v>133</v>
      </c>
      <c r="B280" s="24" t="s">
        <v>324</v>
      </c>
      <c r="C280" s="25">
        <v>45689</v>
      </c>
      <c r="D280" s="24" t="s">
        <v>2658</v>
      </c>
      <c r="E280" s="26">
        <v>0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7">
        <v>0</v>
      </c>
    </row>
    <row r="281" spans="1:12">
      <c r="A281" s="24" t="s">
        <v>133</v>
      </c>
      <c r="B281" s="24" t="s">
        <v>324</v>
      </c>
      <c r="C281" s="25">
        <v>45717</v>
      </c>
      <c r="D281" s="24" t="s">
        <v>2659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7">
        <v>0</v>
      </c>
    </row>
    <row r="282" spans="1:12">
      <c r="A282" s="24" t="s">
        <v>133</v>
      </c>
      <c r="B282" s="24" t="s">
        <v>324</v>
      </c>
      <c r="C282" s="25">
        <v>45748</v>
      </c>
      <c r="D282" s="24" t="s">
        <v>2660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7">
        <v>0</v>
      </c>
    </row>
    <row r="283" spans="1:12">
      <c r="A283" s="24" t="s">
        <v>133</v>
      </c>
      <c r="B283" s="24" t="s">
        <v>324</v>
      </c>
      <c r="C283" s="25">
        <v>45778</v>
      </c>
      <c r="D283" s="24" t="s">
        <v>2661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7">
        <v>0</v>
      </c>
    </row>
    <row r="284" spans="1:12">
      <c r="A284" s="24" t="s">
        <v>133</v>
      </c>
      <c r="B284" s="24" t="s">
        <v>324</v>
      </c>
      <c r="C284" s="25">
        <v>45809</v>
      </c>
      <c r="D284" s="24" t="s">
        <v>2662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7">
        <v>0</v>
      </c>
    </row>
    <row r="285" spans="1:12">
      <c r="A285" s="24" t="s">
        <v>133</v>
      </c>
      <c r="B285" s="24" t="s">
        <v>324</v>
      </c>
      <c r="C285" s="25">
        <v>45839</v>
      </c>
      <c r="D285" s="24" t="s">
        <v>2663</v>
      </c>
      <c r="E285" s="26">
        <v>41455.49</v>
      </c>
      <c r="F285" s="26">
        <v>0</v>
      </c>
      <c r="G285" s="26">
        <v>41455.49</v>
      </c>
      <c r="H285" s="26">
        <v>0</v>
      </c>
      <c r="I285" s="26">
        <v>41455.49</v>
      </c>
      <c r="J285" s="26">
        <v>0</v>
      </c>
      <c r="K285" s="26">
        <v>41455.49</v>
      </c>
      <c r="L285" s="27">
        <v>1</v>
      </c>
    </row>
    <row r="286" spans="1:12">
      <c r="A286" s="24" t="s">
        <v>133</v>
      </c>
      <c r="B286" s="24" t="s">
        <v>324</v>
      </c>
      <c r="C286" s="25">
        <v>45870</v>
      </c>
      <c r="D286" s="24" t="s">
        <v>2664</v>
      </c>
      <c r="E286" s="26">
        <v>53895.91</v>
      </c>
      <c r="F286" s="26">
        <v>0</v>
      </c>
      <c r="G286" s="26">
        <v>53895.91</v>
      </c>
      <c r="H286" s="26">
        <v>0</v>
      </c>
      <c r="I286" s="26">
        <v>53895.91</v>
      </c>
      <c r="J286" s="26">
        <v>0</v>
      </c>
      <c r="K286" s="26">
        <v>53895.91</v>
      </c>
      <c r="L286" s="27">
        <v>1</v>
      </c>
    </row>
    <row r="287" spans="1:12">
      <c r="A287" s="24" t="s">
        <v>133</v>
      </c>
      <c r="B287" s="24" t="s">
        <v>324</v>
      </c>
      <c r="C287" s="25">
        <v>45901</v>
      </c>
      <c r="D287" s="24" t="s">
        <v>2665</v>
      </c>
      <c r="E287" s="26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27">
        <v>0</v>
      </c>
    </row>
    <row r="288" spans="1:12">
      <c r="A288" s="24" t="s">
        <v>133</v>
      </c>
      <c r="B288" s="24" t="s">
        <v>324</v>
      </c>
      <c r="C288" s="25">
        <v>45931</v>
      </c>
      <c r="D288" s="24" t="s">
        <v>2666</v>
      </c>
      <c r="E288" s="26">
        <v>39860.559999999998</v>
      </c>
      <c r="F288" s="26">
        <v>0</v>
      </c>
      <c r="G288" s="26">
        <v>39860.559999999998</v>
      </c>
      <c r="H288" s="26">
        <v>0</v>
      </c>
      <c r="I288" s="26">
        <v>39860.559999999998</v>
      </c>
      <c r="J288" s="26">
        <v>0</v>
      </c>
      <c r="K288" s="26">
        <v>39860.559999999998</v>
      </c>
      <c r="L288" s="27">
        <v>1</v>
      </c>
    </row>
    <row r="289" spans="1:12">
      <c r="A289" s="24" t="s">
        <v>133</v>
      </c>
      <c r="B289" s="24" t="s">
        <v>324</v>
      </c>
      <c r="C289" s="25">
        <v>45962</v>
      </c>
      <c r="D289" s="24" t="s">
        <v>2667</v>
      </c>
      <c r="E289" s="26">
        <v>28956.15</v>
      </c>
      <c r="F289" s="26">
        <v>0</v>
      </c>
      <c r="G289" s="26">
        <v>28956.15</v>
      </c>
      <c r="H289" s="26">
        <v>188850.56</v>
      </c>
      <c r="I289" s="26">
        <v>-159894.41</v>
      </c>
      <c r="J289" s="26">
        <v>0</v>
      </c>
      <c r="K289" s="26">
        <v>-159894.41</v>
      </c>
      <c r="L289" s="27">
        <v>-5.5219499139215671</v>
      </c>
    </row>
    <row r="290" spans="1:12">
      <c r="A290" s="24" t="s">
        <v>133</v>
      </c>
      <c r="B290" s="24" t="s">
        <v>324</v>
      </c>
      <c r="C290" s="25">
        <v>45992</v>
      </c>
      <c r="D290" s="24" t="s">
        <v>2668</v>
      </c>
      <c r="E290" s="26">
        <v>0</v>
      </c>
      <c r="F290" s="26">
        <v>0</v>
      </c>
      <c r="G290" s="26">
        <v>0</v>
      </c>
      <c r="H290" s="26">
        <v>71346.679999999993</v>
      </c>
      <c r="I290" s="26">
        <v>-71346.679999999993</v>
      </c>
      <c r="J290" s="26">
        <v>0</v>
      </c>
      <c r="K290" s="26">
        <v>-71346.679999999993</v>
      </c>
      <c r="L290" s="27">
        <v>0</v>
      </c>
    </row>
    <row r="291" spans="1:12">
      <c r="A291" s="24" t="s">
        <v>202</v>
      </c>
      <c r="B291" s="24" t="s">
        <v>329</v>
      </c>
      <c r="C291" s="25">
        <v>45658</v>
      </c>
      <c r="D291" s="24" t="s">
        <v>2657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7">
        <v>0</v>
      </c>
    </row>
    <row r="292" spans="1:12">
      <c r="A292" s="24" t="s">
        <v>202</v>
      </c>
      <c r="B292" s="24" t="s">
        <v>329</v>
      </c>
      <c r="C292" s="25">
        <v>45689</v>
      </c>
      <c r="D292" s="24" t="s">
        <v>2658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7">
        <v>0</v>
      </c>
    </row>
    <row r="293" spans="1:12">
      <c r="A293" s="24" t="s">
        <v>202</v>
      </c>
      <c r="B293" s="24" t="s">
        <v>329</v>
      </c>
      <c r="C293" s="25">
        <v>45717</v>
      </c>
      <c r="D293" s="24" t="s">
        <v>2659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7">
        <v>0</v>
      </c>
    </row>
    <row r="294" spans="1:12">
      <c r="A294" s="24" t="s">
        <v>202</v>
      </c>
      <c r="B294" s="24" t="s">
        <v>329</v>
      </c>
      <c r="C294" s="25">
        <v>45748</v>
      </c>
      <c r="D294" s="24" t="s">
        <v>2660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7">
        <v>0</v>
      </c>
    </row>
    <row r="295" spans="1:12">
      <c r="A295" s="24" t="s">
        <v>202</v>
      </c>
      <c r="B295" s="24" t="s">
        <v>329</v>
      </c>
      <c r="C295" s="25">
        <v>45778</v>
      </c>
      <c r="D295" s="24" t="s">
        <v>2661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7">
        <v>0</v>
      </c>
    </row>
    <row r="296" spans="1:12">
      <c r="A296" s="24" t="s">
        <v>202</v>
      </c>
      <c r="B296" s="24" t="s">
        <v>329</v>
      </c>
      <c r="C296" s="25">
        <v>45809</v>
      </c>
      <c r="D296" s="24" t="s">
        <v>2662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7">
        <v>0</v>
      </c>
    </row>
    <row r="297" spans="1:12">
      <c r="A297" s="24" t="s">
        <v>202</v>
      </c>
      <c r="B297" s="24" t="s">
        <v>329</v>
      </c>
      <c r="C297" s="25">
        <v>45839</v>
      </c>
      <c r="D297" s="24" t="s">
        <v>2663</v>
      </c>
      <c r="E297" s="26">
        <v>90161.39</v>
      </c>
      <c r="F297" s="26">
        <v>0</v>
      </c>
      <c r="G297" s="26">
        <v>90161.39</v>
      </c>
      <c r="H297" s="26">
        <v>0</v>
      </c>
      <c r="I297" s="26">
        <v>90161.39</v>
      </c>
      <c r="J297" s="26">
        <v>0</v>
      </c>
      <c r="K297" s="26">
        <v>90161.39</v>
      </c>
      <c r="L297" s="27">
        <v>1</v>
      </c>
    </row>
    <row r="298" spans="1:12">
      <c r="A298" s="24" t="s">
        <v>202</v>
      </c>
      <c r="B298" s="24" t="s">
        <v>329</v>
      </c>
      <c r="C298" s="25">
        <v>45870</v>
      </c>
      <c r="D298" s="24" t="s">
        <v>2664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7">
        <v>0</v>
      </c>
    </row>
    <row r="299" spans="1:12">
      <c r="A299" s="24" t="s">
        <v>202</v>
      </c>
      <c r="B299" s="24" t="s">
        <v>329</v>
      </c>
      <c r="C299" s="25">
        <v>45901</v>
      </c>
      <c r="D299" s="24" t="s">
        <v>2665</v>
      </c>
      <c r="E299" s="26">
        <v>53724.55</v>
      </c>
      <c r="F299" s="26">
        <v>0</v>
      </c>
      <c r="G299" s="26">
        <v>53724.55</v>
      </c>
      <c r="H299" s="26">
        <v>0</v>
      </c>
      <c r="I299" s="26">
        <v>53724.55</v>
      </c>
      <c r="J299" s="26">
        <v>0</v>
      </c>
      <c r="K299" s="26">
        <v>53724.55</v>
      </c>
      <c r="L299" s="27">
        <v>1</v>
      </c>
    </row>
    <row r="300" spans="1:12">
      <c r="A300" s="24" t="s">
        <v>202</v>
      </c>
      <c r="B300" s="24" t="s">
        <v>329</v>
      </c>
      <c r="C300" s="25">
        <v>45931</v>
      </c>
      <c r="D300" s="24" t="s">
        <v>2666</v>
      </c>
      <c r="E300" s="26">
        <v>0</v>
      </c>
      <c r="F300" s="26">
        <v>0</v>
      </c>
      <c r="G300" s="26">
        <v>0</v>
      </c>
      <c r="H300" s="26">
        <v>0</v>
      </c>
      <c r="I300" s="26">
        <v>0</v>
      </c>
      <c r="J300" s="26">
        <v>0</v>
      </c>
      <c r="K300" s="26">
        <v>0</v>
      </c>
      <c r="L300" s="27">
        <v>0</v>
      </c>
    </row>
    <row r="301" spans="1:12">
      <c r="A301" s="24" t="s">
        <v>202</v>
      </c>
      <c r="B301" s="24" t="s">
        <v>329</v>
      </c>
      <c r="C301" s="25">
        <v>45962</v>
      </c>
      <c r="D301" s="24" t="s">
        <v>2667</v>
      </c>
      <c r="E301" s="26">
        <v>60506.8</v>
      </c>
      <c r="F301" s="26">
        <v>0</v>
      </c>
      <c r="G301" s="26">
        <v>60506.8</v>
      </c>
      <c r="H301" s="26">
        <v>0</v>
      </c>
      <c r="I301" s="26">
        <v>60506.8</v>
      </c>
      <c r="J301" s="26">
        <v>0</v>
      </c>
      <c r="K301" s="26">
        <v>60506.8</v>
      </c>
      <c r="L301" s="27">
        <v>1</v>
      </c>
    </row>
    <row r="302" spans="1:12">
      <c r="A302" s="24" t="s">
        <v>202</v>
      </c>
      <c r="B302" s="24" t="s">
        <v>329</v>
      </c>
      <c r="C302" s="25">
        <v>45992</v>
      </c>
      <c r="D302" s="24" t="s">
        <v>2668</v>
      </c>
      <c r="E302" s="26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27">
        <v>0</v>
      </c>
    </row>
    <row r="303" spans="1:12">
      <c r="A303" s="24" t="s">
        <v>32</v>
      </c>
      <c r="B303" s="24" t="s">
        <v>345</v>
      </c>
      <c r="C303" s="25">
        <v>45658</v>
      </c>
      <c r="D303" s="24" t="s">
        <v>2657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7">
        <v>0</v>
      </c>
    </row>
    <row r="304" spans="1:12">
      <c r="A304" s="24" t="s">
        <v>32</v>
      </c>
      <c r="B304" s="24" t="s">
        <v>345</v>
      </c>
      <c r="C304" s="25">
        <v>45689</v>
      </c>
      <c r="D304" s="24" t="s">
        <v>2658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7">
        <v>0</v>
      </c>
    </row>
    <row r="305" spans="1:12">
      <c r="A305" s="24" t="s">
        <v>32</v>
      </c>
      <c r="B305" s="24" t="s">
        <v>345</v>
      </c>
      <c r="C305" s="25">
        <v>45717</v>
      </c>
      <c r="D305" s="24" t="s">
        <v>2659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7">
        <v>0</v>
      </c>
    </row>
    <row r="306" spans="1:12">
      <c r="A306" s="24" t="s">
        <v>32</v>
      </c>
      <c r="B306" s="24" t="s">
        <v>345</v>
      </c>
      <c r="C306" s="25">
        <v>45748</v>
      </c>
      <c r="D306" s="24" t="s">
        <v>2660</v>
      </c>
      <c r="E306" s="26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27">
        <v>0</v>
      </c>
    </row>
    <row r="307" spans="1:12">
      <c r="A307" s="24" t="s">
        <v>32</v>
      </c>
      <c r="B307" s="24" t="s">
        <v>345</v>
      </c>
      <c r="C307" s="25">
        <v>45778</v>
      </c>
      <c r="D307" s="24" t="s">
        <v>2661</v>
      </c>
      <c r="E307" s="26">
        <v>0</v>
      </c>
      <c r="F307" s="26">
        <v>0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27">
        <v>0</v>
      </c>
    </row>
    <row r="308" spans="1:12">
      <c r="A308" s="24" t="s">
        <v>32</v>
      </c>
      <c r="B308" s="24" t="s">
        <v>345</v>
      </c>
      <c r="C308" s="25">
        <v>45809</v>
      </c>
      <c r="D308" s="24" t="s">
        <v>2662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7">
        <v>0</v>
      </c>
    </row>
    <row r="309" spans="1:12">
      <c r="A309" s="24" t="s">
        <v>32</v>
      </c>
      <c r="B309" s="24" t="s">
        <v>345</v>
      </c>
      <c r="C309" s="25">
        <v>45839</v>
      </c>
      <c r="D309" s="24" t="s">
        <v>2663</v>
      </c>
      <c r="E309" s="26">
        <v>22648.880000000001</v>
      </c>
      <c r="F309" s="26">
        <v>0</v>
      </c>
      <c r="G309" s="26">
        <v>22648.880000000001</v>
      </c>
      <c r="H309" s="26">
        <v>0</v>
      </c>
      <c r="I309" s="26">
        <v>22648.880000000001</v>
      </c>
      <c r="J309" s="26">
        <v>0</v>
      </c>
      <c r="K309" s="26">
        <v>22648.880000000001</v>
      </c>
      <c r="L309" s="27">
        <v>1</v>
      </c>
    </row>
    <row r="310" spans="1:12">
      <c r="A310" s="24" t="s">
        <v>32</v>
      </c>
      <c r="B310" s="24" t="s">
        <v>345</v>
      </c>
      <c r="C310" s="25">
        <v>45870</v>
      </c>
      <c r="D310" s="24" t="s">
        <v>2664</v>
      </c>
      <c r="E310" s="26">
        <v>36497.11</v>
      </c>
      <c r="F310" s="26">
        <v>0</v>
      </c>
      <c r="G310" s="26">
        <v>36497.11</v>
      </c>
      <c r="H310" s="26">
        <v>0</v>
      </c>
      <c r="I310" s="26">
        <v>36497.11</v>
      </c>
      <c r="J310" s="26">
        <v>0</v>
      </c>
      <c r="K310" s="26">
        <v>36497.11</v>
      </c>
      <c r="L310" s="27">
        <v>1</v>
      </c>
    </row>
    <row r="311" spans="1:12">
      <c r="A311" s="24" t="s">
        <v>32</v>
      </c>
      <c r="B311" s="24" t="s">
        <v>345</v>
      </c>
      <c r="C311" s="25">
        <v>45901</v>
      </c>
      <c r="D311" s="24" t="s">
        <v>2665</v>
      </c>
      <c r="E311" s="26">
        <v>20801.650000000001</v>
      </c>
      <c r="F311" s="26">
        <v>0</v>
      </c>
      <c r="G311" s="26">
        <v>20801.650000000001</v>
      </c>
      <c r="H311" s="26">
        <v>0</v>
      </c>
      <c r="I311" s="26">
        <v>20801.650000000001</v>
      </c>
      <c r="J311" s="26">
        <v>0</v>
      </c>
      <c r="K311" s="26">
        <v>20801.650000000001</v>
      </c>
      <c r="L311" s="27">
        <v>1</v>
      </c>
    </row>
    <row r="312" spans="1:12">
      <c r="A312" s="24" t="s">
        <v>32</v>
      </c>
      <c r="B312" s="24" t="s">
        <v>345</v>
      </c>
      <c r="C312" s="25">
        <v>45931</v>
      </c>
      <c r="D312" s="24" t="s">
        <v>2666</v>
      </c>
      <c r="E312" s="26">
        <v>31253.15</v>
      </c>
      <c r="F312" s="26">
        <v>0</v>
      </c>
      <c r="G312" s="26">
        <v>31253.15</v>
      </c>
      <c r="H312" s="26">
        <v>0</v>
      </c>
      <c r="I312" s="26">
        <v>31253.15</v>
      </c>
      <c r="J312" s="26">
        <v>0</v>
      </c>
      <c r="K312" s="26">
        <v>31253.15</v>
      </c>
      <c r="L312" s="27">
        <v>1</v>
      </c>
    </row>
    <row r="313" spans="1:12">
      <c r="A313" s="24" t="s">
        <v>32</v>
      </c>
      <c r="B313" s="24" t="s">
        <v>345</v>
      </c>
      <c r="C313" s="25">
        <v>45962</v>
      </c>
      <c r="D313" s="24" t="s">
        <v>2667</v>
      </c>
      <c r="E313" s="26">
        <v>0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7">
        <v>0</v>
      </c>
    </row>
    <row r="314" spans="1:12">
      <c r="A314" s="24" t="s">
        <v>32</v>
      </c>
      <c r="B314" s="24" t="s">
        <v>345</v>
      </c>
      <c r="C314" s="25">
        <v>45992</v>
      </c>
      <c r="D314" s="24" t="s">
        <v>2668</v>
      </c>
      <c r="E314" s="26">
        <v>0</v>
      </c>
      <c r="F314" s="26">
        <v>0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7">
        <v>0</v>
      </c>
    </row>
    <row r="315" spans="1:12">
      <c r="A315" s="24" t="s">
        <v>192</v>
      </c>
      <c r="B315" s="24" t="s">
        <v>337</v>
      </c>
      <c r="C315" s="25">
        <v>45658</v>
      </c>
      <c r="D315" s="24" t="s">
        <v>2657</v>
      </c>
      <c r="E315" s="26">
        <v>0</v>
      </c>
      <c r="F315" s="26">
        <v>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7">
        <v>0</v>
      </c>
    </row>
    <row r="316" spans="1:12">
      <c r="A316" s="24" t="s">
        <v>192</v>
      </c>
      <c r="B316" s="24" t="s">
        <v>337</v>
      </c>
      <c r="C316" s="25">
        <v>45689</v>
      </c>
      <c r="D316" s="24" t="s">
        <v>2658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7">
        <v>0</v>
      </c>
    </row>
    <row r="317" spans="1:12">
      <c r="A317" s="24" t="s">
        <v>192</v>
      </c>
      <c r="B317" s="24" t="s">
        <v>337</v>
      </c>
      <c r="C317" s="25">
        <v>45717</v>
      </c>
      <c r="D317" s="24" t="s">
        <v>2659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7">
        <v>0</v>
      </c>
    </row>
    <row r="318" spans="1:12">
      <c r="A318" s="24" t="s">
        <v>192</v>
      </c>
      <c r="B318" s="24" t="s">
        <v>337</v>
      </c>
      <c r="C318" s="25">
        <v>45748</v>
      </c>
      <c r="D318" s="24" t="s">
        <v>2660</v>
      </c>
      <c r="E318" s="26">
        <v>0</v>
      </c>
      <c r="F318" s="26">
        <v>0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7">
        <v>0</v>
      </c>
    </row>
    <row r="319" spans="1:12">
      <c r="A319" s="24" t="s">
        <v>192</v>
      </c>
      <c r="B319" s="24" t="s">
        <v>337</v>
      </c>
      <c r="C319" s="25">
        <v>45778</v>
      </c>
      <c r="D319" s="24" t="s">
        <v>2661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7">
        <v>0</v>
      </c>
    </row>
    <row r="320" spans="1:12">
      <c r="A320" s="24" t="s">
        <v>192</v>
      </c>
      <c r="B320" s="24" t="s">
        <v>337</v>
      </c>
      <c r="C320" s="25">
        <v>45809</v>
      </c>
      <c r="D320" s="24" t="s">
        <v>2662</v>
      </c>
      <c r="E320" s="26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7">
        <v>0</v>
      </c>
    </row>
    <row r="321" spans="1:12">
      <c r="A321" s="24" t="s">
        <v>192</v>
      </c>
      <c r="B321" s="24" t="s">
        <v>337</v>
      </c>
      <c r="C321" s="25">
        <v>45839</v>
      </c>
      <c r="D321" s="24" t="s">
        <v>2663</v>
      </c>
      <c r="E321" s="26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7">
        <v>0</v>
      </c>
    </row>
    <row r="322" spans="1:12">
      <c r="A322" s="24" t="s">
        <v>192</v>
      </c>
      <c r="B322" s="24" t="s">
        <v>337</v>
      </c>
      <c r="C322" s="25">
        <v>45870</v>
      </c>
      <c r="D322" s="24" t="s">
        <v>2664</v>
      </c>
      <c r="E322" s="26">
        <v>8946.26</v>
      </c>
      <c r="F322" s="26">
        <v>0</v>
      </c>
      <c r="G322" s="26">
        <v>8946.26</v>
      </c>
      <c r="H322" s="26">
        <v>0</v>
      </c>
      <c r="I322" s="26">
        <v>8946.26</v>
      </c>
      <c r="J322" s="26">
        <v>0</v>
      </c>
      <c r="K322" s="26">
        <v>8946.26</v>
      </c>
      <c r="L322" s="27">
        <v>1</v>
      </c>
    </row>
    <row r="323" spans="1:12">
      <c r="A323" s="24" t="s">
        <v>192</v>
      </c>
      <c r="B323" s="24" t="s">
        <v>337</v>
      </c>
      <c r="C323" s="25">
        <v>45901</v>
      </c>
      <c r="D323" s="24" t="s">
        <v>2665</v>
      </c>
      <c r="E323" s="26">
        <v>0</v>
      </c>
      <c r="F323" s="26">
        <v>13332.18</v>
      </c>
      <c r="G323" s="26">
        <v>-13332.18</v>
      </c>
      <c r="H323" s="26">
        <v>0</v>
      </c>
      <c r="I323" s="26">
        <v>-13332.18</v>
      </c>
      <c r="J323" s="26">
        <v>0</v>
      </c>
      <c r="K323" s="26">
        <v>-13332.18</v>
      </c>
      <c r="L323" s="27">
        <v>1</v>
      </c>
    </row>
    <row r="324" spans="1:12">
      <c r="A324" s="24" t="s">
        <v>192</v>
      </c>
      <c r="B324" s="24" t="s">
        <v>337</v>
      </c>
      <c r="C324" s="25">
        <v>45931</v>
      </c>
      <c r="D324" s="24" t="s">
        <v>2666</v>
      </c>
      <c r="E324" s="26">
        <v>0</v>
      </c>
      <c r="F324" s="26">
        <v>11873.81</v>
      </c>
      <c r="G324" s="26">
        <v>-11873.81</v>
      </c>
      <c r="H324" s="26">
        <v>0</v>
      </c>
      <c r="I324" s="26">
        <v>-11873.81</v>
      </c>
      <c r="J324" s="26">
        <v>0</v>
      </c>
      <c r="K324" s="26">
        <v>-11873.81</v>
      </c>
      <c r="L324" s="27">
        <v>1</v>
      </c>
    </row>
    <row r="325" spans="1:12">
      <c r="A325" s="24" t="s">
        <v>192</v>
      </c>
      <c r="B325" s="24" t="s">
        <v>337</v>
      </c>
      <c r="C325" s="25">
        <v>45962</v>
      </c>
      <c r="D325" s="24" t="s">
        <v>2667</v>
      </c>
      <c r="E325" s="26">
        <v>0</v>
      </c>
      <c r="F325" s="26">
        <v>0</v>
      </c>
      <c r="G325" s="26">
        <v>0</v>
      </c>
      <c r="H325" s="26">
        <v>49695.21</v>
      </c>
      <c r="I325" s="26">
        <v>-49695.21</v>
      </c>
      <c r="J325" s="26">
        <v>0</v>
      </c>
      <c r="K325" s="26">
        <v>-49695.21</v>
      </c>
      <c r="L325" s="27">
        <v>0</v>
      </c>
    </row>
    <row r="326" spans="1:12">
      <c r="A326" s="24" t="s">
        <v>192</v>
      </c>
      <c r="B326" s="24" t="s">
        <v>337</v>
      </c>
      <c r="C326" s="25">
        <v>45992</v>
      </c>
      <c r="D326" s="24" t="s">
        <v>2668</v>
      </c>
      <c r="E326" s="26">
        <v>0</v>
      </c>
      <c r="F326" s="26">
        <v>0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7">
        <v>0</v>
      </c>
    </row>
    <row r="327" spans="1:12">
      <c r="A327" s="24" t="s">
        <v>301</v>
      </c>
      <c r="B327" s="24" t="s">
        <v>337</v>
      </c>
      <c r="C327" s="25">
        <v>45658</v>
      </c>
      <c r="D327" s="24" t="s">
        <v>2657</v>
      </c>
      <c r="E327" s="26">
        <v>0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7">
        <v>0</v>
      </c>
    </row>
    <row r="328" spans="1:12">
      <c r="A328" s="24" t="s">
        <v>301</v>
      </c>
      <c r="B328" s="24" t="s">
        <v>337</v>
      </c>
      <c r="C328" s="25">
        <v>45689</v>
      </c>
      <c r="D328" s="24" t="s">
        <v>2658</v>
      </c>
      <c r="E328" s="26">
        <v>0</v>
      </c>
      <c r="F328" s="26">
        <v>0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7">
        <v>0</v>
      </c>
    </row>
    <row r="329" spans="1:12">
      <c r="A329" s="24" t="s">
        <v>301</v>
      </c>
      <c r="B329" s="24" t="s">
        <v>337</v>
      </c>
      <c r="C329" s="25">
        <v>45717</v>
      </c>
      <c r="D329" s="24" t="s">
        <v>2659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7">
        <v>0</v>
      </c>
    </row>
    <row r="330" spans="1:12">
      <c r="A330" s="24" t="s">
        <v>301</v>
      </c>
      <c r="B330" s="24" t="s">
        <v>337</v>
      </c>
      <c r="C330" s="25">
        <v>45748</v>
      </c>
      <c r="D330" s="24" t="s">
        <v>2660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7">
        <v>0</v>
      </c>
    </row>
    <row r="331" spans="1:12">
      <c r="A331" s="24" t="s">
        <v>301</v>
      </c>
      <c r="B331" s="24" t="s">
        <v>337</v>
      </c>
      <c r="C331" s="25">
        <v>45778</v>
      </c>
      <c r="D331" s="24" t="s">
        <v>2661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7">
        <v>0</v>
      </c>
    </row>
    <row r="332" spans="1:12">
      <c r="A332" s="24" t="s">
        <v>301</v>
      </c>
      <c r="B332" s="24" t="s">
        <v>337</v>
      </c>
      <c r="C332" s="25">
        <v>45809</v>
      </c>
      <c r="D332" s="24" t="s">
        <v>2662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7">
        <v>0</v>
      </c>
    </row>
    <row r="333" spans="1:12">
      <c r="A333" s="24" t="s">
        <v>301</v>
      </c>
      <c r="B333" s="24" t="s">
        <v>337</v>
      </c>
      <c r="C333" s="25">
        <v>45839</v>
      </c>
      <c r="D333" s="24" t="s">
        <v>2663</v>
      </c>
      <c r="E333" s="26">
        <v>0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7">
        <v>0</v>
      </c>
    </row>
    <row r="334" spans="1:12">
      <c r="A334" s="24" t="s">
        <v>301</v>
      </c>
      <c r="B334" s="24" t="s">
        <v>337</v>
      </c>
      <c r="C334" s="25">
        <v>45870</v>
      </c>
      <c r="D334" s="24" t="s">
        <v>2664</v>
      </c>
      <c r="E334" s="26">
        <v>41093.35</v>
      </c>
      <c r="F334" s="26">
        <v>0</v>
      </c>
      <c r="G334" s="26">
        <v>41093.35</v>
      </c>
      <c r="H334" s="26">
        <v>0</v>
      </c>
      <c r="I334" s="26">
        <v>41093.35</v>
      </c>
      <c r="J334" s="26">
        <v>0</v>
      </c>
      <c r="K334" s="26">
        <v>41093.35</v>
      </c>
      <c r="L334" s="27">
        <v>1</v>
      </c>
    </row>
    <row r="335" spans="1:12">
      <c r="A335" s="24" t="s">
        <v>301</v>
      </c>
      <c r="B335" s="24" t="s">
        <v>337</v>
      </c>
      <c r="C335" s="25">
        <v>45901</v>
      </c>
      <c r="D335" s="24" t="s">
        <v>2665</v>
      </c>
      <c r="E335" s="26">
        <v>0</v>
      </c>
      <c r="F335" s="26">
        <v>0</v>
      </c>
      <c r="G335" s="26">
        <v>0</v>
      </c>
      <c r="H335" s="26">
        <v>0</v>
      </c>
      <c r="I335" s="26">
        <v>0</v>
      </c>
      <c r="J335" s="26">
        <v>0</v>
      </c>
      <c r="K335" s="26">
        <v>0</v>
      </c>
      <c r="L335" s="27">
        <v>0</v>
      </c>
    </row>
    <row r="336" spans="1:12">
      <c r="A336" s="24" t="s">
        <v>301</v>
      </c>
      <c r="B336" s="24" t="s">
        <v>337</v>
      </c>
      <c r="C336" s="25">
        <v>45931</v>
      </c>
      <c r="D336" s="24" t="s">
        <v>2666</v>
      </c>
      <c r="E336" s="26">
        <v>0</v>
      </c>
      <c r="F336" s="26">
        <v>0</v>
      </c>
      <c r="G336" s="26">
        <v>0</v>
      </c>
      <c r="H336" s="26">
        <v>0</v>
      </c>
      <c r="I336" s="26">
        <v>0</v>
      </c>
      <c r="J336" s="26">
        <v>0</v>
      </c>
      <c r="K336" s="26">
        <v>0</v>
      </c>
      <c r="L336" s="27">
        <v>0</v>
      </c>
    </row>
    <row r="337" spans="1:12">
      <c r="A337" s="24" t="s">
        <v>301</v>
      </c>
      <c r="B337" s="24" t="s">
        <v>337</v>
      </c>
      <c r="C337" s="25">
        <v>45962</v>
      </c>
      <c r="D337" s="24" t="s">
        <v>2667</v>
      </c>
      <c r="E337" s="26">
        <v>41022.730000000003</v>
      </c>
      <c r="F337" s="26">
        <v>0</v>
      </c>
      <c r="G337" s="26">
        <v>41022.730000000003</v>
      </c>
      <c r="H337" s="26">
        <v>0</v>
      </c>
      <c r="I337" s="26">
        <v>41022.730000000003</v>
      </c>
      <c r="J337" s="26">
        <v>0</v>
      </c>
      <c r="K337" s="26">
        <v>41022.730000000003</v>
      </c>
      <c r="L337" s="27">
        <v>1</v>
      </c>
    </row>
    <row r="338" spans="1:12">
      <c r="A338" s="24" t="s">
        <v>301</v>
      </c>
      <c r="B338" s="24" t="s">
        <v>337</v>
      </c>
      <c r="C338" s="25">
        <v>45992</v>
      </c>
      <c r="D338" s="24" t="s">
        <v>2668</v>
      </c>
      <c r="E338" s="26">
        <v>0</v>
      </c>
      <c r="F338" s="26">
        <v>0</v>
      </c>
      <c r="G338" s="26">
        <v>0</v>
      </c>
      <c r="H338" s="26">
        <v>60711.78</v>
      </c>
      <c r="I338" s="26">
        <v>-60711.78</v>
      </c>
      <c r="J338" s="26">
        <v>0</v>
      </c>
      <c r="K338" s="26">
        <v>-60711.78</v>
      </c>
      <c r="L338" s="27">
        <v>0</v>
      </c>
    </row>
    <row r="339" spans="1:12">
      <c r="A339" s="24" t="s">
        <v>235</v>
      </c>
      <c r="B339" s="24" t="s">
        <v>329</v>
      </c>
      <c r="C339" s="25">
        <v>45658</v>
      </c>
      <c r="D339" s="24" t="s">
        <v>2657</v>
      </c>
      <c r="E339" s="26">
        <v>0</v>
      </c>
      <c r="F339" s="26">
        <v>0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7">
        <v>0</v>
      </c>
    </row>
    <row r="340" spans="1:12">
      <c r="A340" s="24" t="s">
        <v>235</v>
      </c>
      <c r="B340" s="24" t="s">
        <v>329</v>
      </c>
      <c r="C340" s="25">
        <v>45689</v>
      </c>
      <c r="D340" s="24" t="s">
        <v>2658</v>
      </c>
      <c r="E340" s="26">
        <v>0</v>
      </c>
      <c r="F340" s="26">
        <v>0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7">
        <v>0</v>
      </c>
    </row>
    <row r="341" spans="1:12">
      <c r="A341" s="24" t="s">
        <v>235</v>
      </c>
      <c r="B341" s="24" t="s">
        <v>329</v>
      </c>
      <c r="C341" s="25">
        <v>45717</v>
      </c>
      <c r="D341" s="24" t="s">
        <v>2659</v>
      </c>
      <c r="E341" s="26">
        <v>0</v>
      </c>
      <c r="F341" s="26">
        <v>0</v>
      </c>
      <c r="G341" s="26">
        <v>0</v>
      </c>
      <c r="H341" s="26">
        <v>0</v>
      </c>
      <c r="I341" s="26">
        <v>0</v>
      </c>
      <c r="J341" s="26">
        <v>0</v>
      </c>
      <c r="K341" s="26">
        <v>0</v>
      </c>
      <c r="L341" s="27">
        <v>0</v>
      </c>
    </row>
    <row r="342" spans="1:12">
      <c r="A342" s="24" t="s">
        <v>235</v>
      </c>
      <c r="B342" s="24" t="s">
        <v>329</v>
      </c>
      <c r="C342" s="25">
        <v>45748</v>
      </c>
      <c r="D342" s="24" t="s">
        <v>2660</v>
      </c>
      <c r="E342" s="26">
        <v>0</v>
      </c>
      <c r="F342" s="26">
        <v>0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7">
        <v>0</v>
      </c>
    </row>
    <row r="343" spans="1:12">
      <c r="A343" s="24" t="s">
        <v>235</v>
      </c>
      <c r="B343" s="24" t="s">
        <v>329</v>
      </c>
      <c r="C343" s="25">
        <v>45778</v>
      </c>
      <c r="D343" s="24" t="s">
        <v>2661</v>
      </c>
      <c r="E343" s="26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7">
        <v>0</v>
      </c>
    </row>
    <row r="344" spans="1:12">
      <c r="A344" s="24" t="s">
        <v>235</v>
      </c>
      <c r="B344" s="24" t="s">
        <v>329</v>
      </c>
      <c r="C344" s="25">
        <v>45809</v>
      </c>
      <c r="D344" s="24" t="s">
        <v>2662</v>
      </c>
      <c r="E344" s="26">
        <v>0</v>
      </c>
      <c r="F344" s="26">
        <v>0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7">
        <v>0</v>
      </c>
    </row>
    <row r="345" spans="1:12">
      <c r="A345" s="24" t="s">
        <v>235</v>
      </c>
      <c r="B345" s="24" t="s">
        <v>329</v>
      </c>
      <c r="C345" s="25">
        <v>45839</v>
      </c>
      <c r="D345" s="24" t="s">
        <v>2663</v>
      </c>
      <c r="E345" s="26">
        <v>3091.61</v>
      </c>
      <c r="F345" s="26">
        <v>0</v>
      </c>
      <c r="G345" s="26">
        <v>3091.61</v>
      </c>
      <c r="H345" s="26">
        <v>0</v>
      </c>
      <c r="I345" s="26">
        <v>3091.61</v>
      </c>
      <c r="J345" s="26">
        <v>0</v>
      </c>
      <c r="K345" s="26">
        <v>3091.61</v>
      </c>
      <c r="L345" s="27">
        <v>1</v>
      </c>
    </row>
    <row r="346" spans="1:12">
      <c r="A346" s="24" t="s">
        <v>235</v>
      </c>
      <c r="B346" s="24" t="s">
        <v>329</v>
      </c>
      <c r="C346" s="25">
        <v>45870</v>
      </c>
      <c r="D346" s="24" t="s">
        <v>2664</v>
      </c>
      <c r="E346" s="26">
        <v>2759.96</v>
      </c>
      <c r="F346" s="26">
        <v>0</v>
      </c>
      <c r="G346" s="26">
        <v>2759.96</v>
      </c>
      <c r="H346" s="26">
        <v>89439.039999999994</v>
      </c>
      <c r="I346" s="26">
        <v>-86679.079999999987</v>
      </c>
      <c r="J346" s="26">
        <v>0</v>
      </c>
      <c r="K346" s="26">
        <v>-86679.079999999987</v>
      </c>
      <c r="L346" s="27">
        <v>-31.405918926361249</v>
      </c>
    </row>
    <row r="347" spans="1:12">
      <c r="A347" s="24" t="s">
        <v>235</v>
      </c>
      <c r="B347" s="24" t="s">
        <v>329</v>
      </c>
      <c r="C347" s="25">
        <v>45901</v>
      </c>
      <c r="D347" s="24" t="s">
        <v>2665</v>
      </c>
      <c r="E347" s="26">
        <v>0</v>
      </c>
      <c r="F347" s="26">
        <v>0</v>
      </c>
      <c r="G347" s="26">
        <v>0</v>
      </c>
      <c r="H347" s="26">
        <v>0</v>
      </c>
      <c r="I347" s="26">
        <v>0</v>
      </c>
      <c r="J347" s="26">
        <v>0</v>
      </c>
      <c r="K347" s="26">
        <v>0</v>
      </c>
      <c r="L347" s="27">
        <v>0</v>
      </c>
    </row>
    <row r="348" spans="1:12">
      <c r="A348" s="24" t="s">
        <v>235</v>
      </c>
      <c r="B348" s="24" t="s">
        <v>329</v>
      </c>
      <c r="C348" s="25">
        <v>45931</v>
      </c>
      <c r="D348" s="24" t="s">
        <v>2666</v>
      </c>
      <c r="E348" s="26">
        <v>4273.99</v>
      </c>
      <c r="F348" s="26">
        <v>0</v>
      </c>
      <c r="G348" s="26">
        <v>4273.99</v>
      </c>
      <c r="H348" s="26">
        <v>92373.43</v>
      </c>
      <c r="I348" s="26">
        <v>-88099.439999999988</v>
      </c>
      <c r="J348" s="26">
        <v>0</v>
      </c>
      <c r="K348" s="26">
        <v>-88099.439999999988</v>
      </c>
      <c r="L348" s="27">
        <v>-20.612926094820061</v>
      </c>
    </row>
    <row r="349" spans="1:12">
      <c r="A349" s="24" t="s">
        <v>235</v>
      </c>
      <c r="B349" s="24" t="s">
        <v>329</v>
      </c>
      <c r="C349" s="25">
        <v>45962</v>
      </c>
      <c r="D349" s="24" t="s">
        <v>2667</v>
      </c>
      <c r="E349" s="26">
        <v>0</v>
      </c>
      <c r="F349" s="26">
        <v>0</v>
      </c>
      <c r="G349" s="26">
        <v>0</v>
      </c>
      <c r="H349" s="26">
        <v>17712.400000000001</v>
      </c>
      <c r="I349" s="26">
        <v>-17712.400000000001</v>
      </c>
      <c r="J349" s="26">
        <v>0</v>
      </c>
      <c r="K349" s="26">
        <v>-17712.400000000001</v>
      </c>
      <c r="L349" s="27">
        <v>0</v>
      </c>
    </row>
    <row r="350" spans="1:12">
      <c r="A350" s="24" t="s">
        <v>235</v>
      </c>
      <c r="B350" s="24" t="s">
        <v>329</v>
      </c>
      <c r="C350" s="25">
        <v>45992</v>
      </c>
      <c r="D350" s="24" t="s">
        <v>2668</v>
      </c>
      <c r="E350" s="26">
        <v>0</v>
      </c>
      <c r="F350" s="26">
        <v>0</v>
      </c>
      <c r="G350" s="26">
        <v>0</v>
      </c>
      <c r="H350" s="26">
        <v>0</v>
      </c>
      <c r="I350" s="26">
        <v>0</v>
      </c>
      <c r="J350" s="26">
        <v>0</v>
      </c>
      <c r="K350" s="26">
        <v>0</v>
      </c>
      <c r="L350" s="27">
        <v>0</v>
      </c>
    </row>
    <row r="351" spans="1:12">
      <c r="A351" s="24" t="s">
        <v>80</v>
      </c>
      <c r="B351" s="24" t="s">
        <v>345</v>
      </c>
      <c r="C351" s="25">
        <v>45658</v>
      </c>
      <c r="D351" s="24" t="s">
        <v>2657</v>
      </c>
      <c r="E351" s="26">
        <v>0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7">
        <v>0</v>
      </c>
    </row>
    <row r="352" spans="1:12">
      <c r="A352" s="24" t="s">
        <v>80</v>
      </c>
      <c r="B352" s="24" t="s">
        <v>345</v>
      </c>
      <c r="C352" s="25">
        <v>45689</v>
      </c>
      <c r="D352" s="24" t="s">
        <v>2658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7">
        <v>0</v>
      </c>
    </row>
    <row r="353" spans="1:12">
      <c r="A353" s="24" t="s">
        <v>80</v>
      </c>
      <c r="B353" s="24" t="s">
        <v>345</v>
      </c>
      <c r="C353" s="25">
        <v>45717</v>
      </c>
      <c r="D353" s="24" t="s">
        <v>2659</v>
      </c>
      <c r="E353" s="26">
        <v>0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7">
        <v>0</v>
      </c>
    </row>
    <row r="354" spans="1:12">
      <c r="A354" s="24" t="s">
        <v>80</v>
      </c>
      <c r="B354" s="24" t="s">
        <v>345</v>
      </c>
      <c r="C354" s="25">
        <v>45748</v>
      </c>
      <c r="D354" s="24" t="s">
        <v>2660</v>
      </c>
      <c r="E354" s="26">
        <v>0</v>
      </c>
      <c r="F354" s="26">
        <v>0</v>
      </c>
      <c r="G354" s="26">
        <v>0</v>
      </c>
      <c r="H354" s="26">
        <v>0</v>
      </c>
      <c r="I354" s="26">
        <v>0</v>
      </c>
      <c r="J354" s="26">
        <v>0</v>
      </c>
      <c r="K354" s="26">
        <v>0</v>
      </c>
      <c r="L354" s="27">
        <v>0</v>
      </c>
    </row>
    <row r="355" spans="1:12">
      <c r="A355" s="24" t="s">
        <v>80</v>
      </c>
      <c r="B355" s="24" t="s">
        <v>345</v>
      </c>
      <c r="C355" s="25">
        <v>45778</v>
      </c>
      <c r="D355" s="24" t="s">
        <v>2661</v>
      </c>
      <c r="E355" s="26">
        <v>0</v>
      </c>
      <c r="F355" s="26">
        <v>0</v>
      </c>
      <c r="G355" s="26">
        <v>0</v>
      </c>
      <c r="H355" s="26">
        <v>0</v>
      </c>
      <c r="I355" s="26">
        <v>0</v>
      </c>
      <c r="J355" s="26">
        <v>0</v>
      </c>
      <c r="K355" s="26">
        <v>0</v>
      </c>
      <c r="L355" s="27">
        <v>0</v>
      </c>
    </row>
    <row r="356" spans="1:12">
      <c r="A356" s="24" t="s">
        <v>80</v>
      </c>
      <c r="B356" s="24" t="s">
        <v>345</v>
      </c>
      <c r="C356" s="25">
        <v>45809</v>
      </c>
      <c r="D356" s="24" t="s">
        <v>2662</v>
      </c>
      <c r="E356" s="26">
        <v>0</v>
      </c>
      <c r="F356" s="26">
        <v>0</v>
      </c>
      <c r="G356" s="26">
        <v>0</v>
      </c>
      <c r="H356" s="26">
        <v>0</v>
      </c>
      <c r="I356" s="26">
        <v>0</v>
      </c>
      <c r="J356" s="26">
        <v>0</v>
      </c>
      <c r="K356" s="26">
        <v>0</v>
      </c>
      <c r="L356" s="27">
        <v>0</v>
      </c>
    </row>
    <row r="357" spans="1:12">
      <c r="A357" s="24" t="s">
        <v>80</v>
      </c>
      <c r="B357" s="24" t="s">
        <v>345</v>
      </c>
      <c r="C357" s="25">
        <v>45839</v>
      </c>
      <c r="D357" s="24" t="s">
        <v>2663</v>
      </c>
      <c r="E357" s="26">
        <v>4949.75</v>
      </c>
      <c r="F357" s="26">
        <v>0</v>
      </c>
      <c r="G357" s="26">
        <v>4949.75</v>
      </c>
      <c r="H357" s="26">
        <v>0</v>
      </c>
      <c r="I357" s="26">
        <v>4949.75</v>
      </c>
      <c r="J357" s="26">
        <v>0</v>
      </c>
      <c r="K357" s="26">
        <v>4949.75</v>
      </c>
      <c r="L357" s="27">
        <v>1</v>
      </c>
    </row>
    <row r="358" spans="1:12">
      <c r="A358" s="24" t="s">
        <v>80</v>
      </c>
      <c r="B358" s="24" t="s">
        <v>345</v>
      </c>
      <c r="C358" s="25">
        <v>45870</v>
      </c>
      <c r="D358" s="24" t="s">
        <v>2664</v>
      </c>
      <c r="E358" s="26">
        <v>7185.22</v>
      </c>
      <c r="F358" s="26">
        <v>0</v>
      </c>
      <c r="G358" s="26">
        <v>7185.22</v>
      </c>
      <c r="H358" s="26">
        <v>0</v>
      </c>
      <c r="I358" s="26">
        <v>7185.22</v>
      </c>
      <c r="J358" s="26">
        <v>0</v>
      </c>
      <c r="K358" s="26">
        <v>7185.22</v>
      </c>
      <c r="L358" s="27">
        <v>1</v>
      </c>
    </row>
    <row r="359" spans="1:12">
      <c r="A359" s="24" t="s">
        <v>80</v>
      </c>
      <c r="B359" s="24" t="s">
        <v>345</v>
      </c>
      <c r="C359" s="25">
        <v>45901</v>
      </c>
      <c r="D359" s="24" t="s">
        <v>2665</v>
      </c>
      <c r="E359" s="26">
        <v>6668.33</v>
      </c>
      <c r="F359" s="26">
        <v>0</v>
      </c>
      <c r="G359" s="26">
        <v>6668.33</v>
      </c>
      <c r="H359" s="26">
        <v>0</v>
      </c>
      <c r="I359" s="26">
        <v>6668.33</v>
      </c>
      <c r="J359" s="26">
        <v>0</v>
      </c>
      <c r="K359" s="26">
        <v>6668.33</v>
      </c>
      <c r="L359" s="27">
        <v>1</v>
      </c>
    </row>
    <row r="360" spans="1:12">
      <c r="A360" s="24" t="s">
        <v>80</v>
      </c>
      <c r="B360" s="24" t="s">
        <v>345</v>
      </c>
      <c r="C360" s="25">
        <v>45931</v>
      </c>
      <c r="D360" s="24" t="s">
        <v>2666</v>
      </c>
      <c r="E360" s="26">
        <v>0</v>
      </c>
      <c r="F360" s="26">
        <v>0</v>
      </c>
      <c r="G360" s="26">
        <v>0</v>
      </c>
      <c r="H360" s="26">
        <v>0</v>
      </c>
      <c r="I360" s="26">
        <v>0</v>
      </c>
      <c r="J360" s="26">
        <v>0</v>
      </c>
      <c r="K360" s="26">
        <v>0</v>
      </c>
      <c r="L360" s="27">
        <v>0</v>
      </c>
    </row>
    <row r="361" spans="1:12">
      <c r="A361" s="24" t="s">
        <v>80</v>
      </c>
      <c r="B361" s="24" t="s">
        <v>345</v>
      </c>
      <c r="C361" s="25">
        <v>45962</v>
      </c>
      <c r="D361" s="24" t="s">
        <v>2667</v>
      </c>
      <c r="E361" s="26">
        <v>10610.71</v>
      </c>
      <c r="F361" s="26">
        <v>0</v>
      </c>
      <c r="G361" s="26">
        <v>10610.71</v>
      </c>
      <c r="H361" s="26">
        <v>0</v>
      </c>
      <c r="I361" s="26">
        <v>10610.71</v>
      </c>
      <c r="J361" s="26">
        <v>0</v>
      </c>
      <c r="K361" s="26">
        <v>10610.71</v>
      </c>
      <c r="L361" s="27">
        <v>1</v>
      </c>
    </row>
    <row r="362" spans="1:12">
      <c r="A362" s="24" t="s">
        <v>80</v>
      </c>
      <c r="B362" s="24" t="s">
        <v>345</v>
      </c>
      <c r="C362" s="25">
        <v>45992</v>
      </c>
      <c r="D362" s="24" t="s">
        <v>2668</v>
      </c>
      <c r="E362" s="26">
        <v>7077.26</v>
      </c>
      <c r="F362" s="26">
        <v>0</v>
      </c>
      <c r="G362" s="26">
        <v>7077.26</v>
      </c>
      <c r="H362" s="26">
        <v>0</v>
      </c>
      <c r="I362" s="26">
        <v>7077.26</v>
      </c>
      <c r="J362" s="26">
        <v>0</v>
      </c>
      <c r="K362" s="26">
        <v>7077.26</v>
      </c>
      <c r="L362" s="27">
        <v>1</v>
      </c>
    </row>
    <row r="363" spans="1:12">
      <c r="A363" s="24" t="s">
        <v>123</v>
      </c>
      <c r="B363" s="24" t="s">
        <v>329</v>
      </c>
      <c r="C363" s="25">
        <v>45658</v>
      </c>
      <c r="D363" s="24" t="s">
        <v>2657</v>
      </c>
      <c r="E363" s="26">
        <v>0</v>
      </c>
      <c r="F363" s="26">
        <v>0</v>
      </c>
      <c r="G363" s="26">
        <v>0</v>
      </c>
      <c r="H363" s="26">
        <v>0</v>
      </c>
      <c r="I363" s="26">
        <v>0</v>
      </c>
      <c r="J363" s="26">
        <v>0</v>
      </c>
      <c r="K363" s="26">
        <v>0</v>
      </c>
      <c r="L363" s="27">
        <v>0</v>
      </c>
    </row>
    <row r="364" spans="1:12">
      <c r="A364" s="24" t="s">
        <v>123</v>
      </c>
      <c r="B364" s="24" t="s">
        <v>329</v>
      </c>
      <c r="C364" s="25">
        <v>45689</v>
      </c>
      <c r="D364" s="24" t="s">
        <v>2658</v>
      </c>
      <c r="E364" s="26">
        <v>0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7">
        <v>0</v>
      </c>
    </row>
    <row r="365" spans="1:12">
      <c r="A365" s="24" t="s">
        <v>123</v>
      </c>
      <c r="B365" s="24" t="s">
        <v>329</v>
      </c>
      <c r="C365" s="25">
        <v>45717</v>
      </c>
      <c r="D365" s="24" t="s">
        <v>2659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7">
        <v>0</v>
      </c>
    </row>
    <row r="366" spans="1:12">
      <c r="A366" s="24" t="s">
        <v>123</v>
      </c>
      <c r="B366" s="24" t="s">
        <v>329</v>
      </c>
      <c r="C366" s="25">
        <v>45748</v>
      </c>
      <c r="D366" s="24" t="s">
        <v>2660</v>
      </c>
      <c r="E366" s="26">
        <v>0</v>
      </c>
      <c r="F366" s="26">
        <v>0</v>
      </c>
      <c r="G366" s="26">
        <v>0</v>
      </c>
      <c r="H366" s="26">
        <v>0</v>
      </c>
      <c r="I366" s="26">
        <v>0</v>
      </c>
      <c r="J366" s="26">
        <v>0</v>
      </c>
      <c r="K366" s="26">
        <v>0</v>
      </c>
      <c r="L366" s="27">
        <v>0</v>
      </c>
    </row>
    <row r="367" spans="1:12">
      <c r="A367" s="24" t="s">
        <v>123</v>
      </c>
      <c r="B367" s="24" t="s">
        <v>329</v>
      </c>
      <c r="C367" s="25">
        <v>45778</v>
      </c>
      <c r="D367" s="24" t="s">
        <v>2661</v>
      </c>
      <c r="E367" s="26">
        <v>0</v>
      </c>
      <c r="F367" s="26">
        <v>0</v>
      </c>
      <c r="G367" s="26">
        <v>0</v>
      </c>
      <c r="H367" s="26">
        <v>0</v>
      </c>
      <c r="I367" s="26">
        <v>0</v>
      </c>
      <c r="J367" s="26">
        <v>0</v>
      </c>
      <c r="K367" s="26">
        <v>0</v>
      </c>
      <c r="L367" s="27">
        <v>0</v>
      </c>
    </row>
    <row r="368" spans="1:12">
      <c r="A368" s="24" t="s">
        <v>123</v>
      </c>
      <c r="B368" s="24" t="s">
        <v>329</v>
      </c>
      <c r="C368" s="25">
        <v>45809</v>
      </c>
      <c r="D368" s="24" t="s">
        <v>2662</v>
      </c>
      <c r="E368" s="26">
        <v>0</v>
      </c>
      <c r="F368" s="26">
        <v>0</v>
      </c>
      <c r="G368" s="26">
        <v>0</v>
      </c>
      <c r="H368" s="26">
        <v>0</v>
      </c>
      <c r="I368" s="26">
        <v>0</v>
      </c>
      <c r="J368" s="26">
        <v>0</v>
      </c>
      <c r="K368" s="26">
        <v>0</v>
      </c>
      <c r="L368" s="27">
        <v>0</v>
      </c>
    </row>
    <row r="369" spans="1:12">
      <c r="A369" s="24" t="s">
        <v>123</v>
      </c>
      <c r="B369" s="24" t="s">
        <v>329</v>
      </c>
      <c r="C369" s="25">
        <v>45839</v>
      </c>
      <c r="D369" s="24" t="s">
        <v>2663</v>
      </c>
      <c r="E369" s="26">
        <v>65376.35</v>
      </c>
      <c r="F369" s="26">
        <v>0</v>
      </c>
      <c r="G369" s="26">
        <v>65376.35</v>
      </c>
      <c r="H369" s="26">
        <v>0</v>
      </c>
      <c r="I369" s="26">
        <v>65376.35</v>
      </c>
      <c r="J369" s="26">
        <v>0</v>
      </c>
      <c r="K369" s="26">
        <v>65376.35</v>
      </c>
      <c r="L369" s="27">
        <v>1</v>
      </c>
    </row>
    <row r="370" spans="1:12">
      <c r="A370" s="24" t="s">
        <v>123</v>
      </c>
      <c r="B370" s="24" t="s">
        <v>329</v>
      </c>
      <c r="C370" s="25">
        <v>45870</v>
      </c>
      <c r="D370" s="24" t="s">
        <v>2664</v>
      </c>
      <c r="E370" s="26">
        <v>42509.13</v>
      </c>
      <c r="F370" s="26">
        <v>0</v>
      </c>
      <c r="G370" s="26">
        <v>42509.13</v>
      </c>
      <c r="H370" s="26">
        <v>0</v>
      </c>
      <c r="I370" s="26">
        <v>42509.13</v>
      </c>
      <c r="J370" s="26">
        <v>0</v>
      </c>
      <c r="K370" s="26">
        <v>42509.13</v>
      </c>
      <c r="L370" s="27">
        <v>1</v>
      </c>
    </row>
    <row r="371" spans="1:12">
      <c r="A371" s="24" t="s">
        <v>123</v>
      </c>
      <c r="B371" s="24" t="s">
        <v>329</v>
      </c>
      <c r="C371" s="25">
        <v>45901</v>
      </c>
      <c r="D371" s="24" t="s">
        <v>2665</v>
      </c>
      <c r="E371" s="26">
        <v>92123.1</v>
      </c>
      <c r="F371" s="26">
        <v>0</v>
      </c>
      <c r="G371" s="26">
        <v>92123.1</v>
      </c>
      <c r="H371" s="26">
        <v>0</v>
      </c>
      <c r="I371" s="26">
        <v>92123.1</v>
      </c>
      <c r="J371" s="26">
        <v>0</v>
      </c>
      <c r="K371" s="26">
        <v>92123.1</v>
      </c>
      <c r="L371" s="27">
        <v>1</v>
      </c>
    </row>
    <row r="372" spans="1:12">
      <c r="A372" s="24" t="s">
        <v>123</v>
      </c>
      <c r="B372" s="24" t="s">
        <v>329</v>
      </c>
      <c r="C372" s="25">
        <v>45931</v>
      </c>
      <c r="D372" s="24" t="s">
        <v>2666</v>
      </c>
      <c r="E372" s="26">
        <v>84411.75</v>
      </c>
      <c r="F372" s="26">
        <v>0</v>
      </c>
      <c r="G372" s="26">
        <v>84411.75</v>
      </c>
      <c r="H372" s="26">
        <v>0</v>
      </c>
      <c r="I372" s="26">
        <v>84411.75</v>
      </c>
      <c r="J372" s="26">
        <v>0</v>
      </c>
      <c r="K372" s="26">
        <v>84411.75</v>
      </c>
      <c r="L372" s="27">
        <v>1</v>
      </c>
    </row>
    <row r="373" spans="1:12">
      <c r="A373" s="24" t="s">
        <v>123</v>
      </c>
      <c r="B373" s="24" t="s">
        <v>329</v>
      </c>
      <c r="C373" s="25">
        <v>45962</v>
      </c>
      <c r="D373" s="24" t="s">
        <v>2667</v>
      </c>
      <c r="E373" s="26">
        <v>67843.09</v>
      </c>
      <c r="F373" s="26">
        <v>0</v>
      </c>
      <c r="G373" s="26">
        <v>67843.09</v>
      </c>
      <c r="H373" s="26">
        <v>0</v>
      </c>
      <c r="I373" s="26">
        <v>67843.09</v>
      </c>
      <c r="J373" s="26">
        <v>0</v>
      </c>
      <c r="K373" s="26">
        <v>67843.09</v>
      </c>
      <c r="L373" s="27">
        <v>1</v>
      </c>
    </row>
    <row r="374" spans="1:12">
      <c r="A374" s="24" t="s">
        <v>123</v>
      </c>
      <c r="B374" s="24" t="s">
        <v>329</v>
      </c>
      <c r="C374" s="25">
        <v>45992</v>
      </c>
      <c r="D374" s="24" t="s">
        <v>2668</v>
      </c>
      <c r="E374" s="26">
        <v>68737.86</v>
      </c>
      <c r="F374" s="26">
        <v>0</v>
      </c>
      <c r="G374" s="26">
        <v>68737.86</v>
      </c>
      <c r="H374" s="26">
        <v>0</v>
      </c>
      <c r="I374" s="26">
        <v>68737.86</v>
      </c>
      <c r="J374" s="26">
        <v>0</v>
      </c>
      <c r="K374" s="26">
        <v>68737.86</v>
      </c>
      <c r="L374" s="27">
        <v>1</v>
      </c>
    </row>
    <row r="375" spans="1:12">
      <c r="A375" s="24" t="s">
        <v>186</v>
      </c>
      <c r="B375" s="24" t="s">
        <v>329</v>
      </c>
      <c r="C375" s="25">
        <v>45658</v>
      </c>
      <c r="D375" s="24" t="s">
        <v>2657</v>
      </c>
      <c r="E375" s="26">
        <v>0</v>
      </c>
      <c r="F375" s="26">
        <v>0</v>
      </c>
      <c r="G375" s="26">
        <v>0</v>
      </c>
      <c r="H375" s="26">
        <v>0</v>
      </c>
      <c r="I375" s="26">
        <v>0</v>
      </c>
      <c r="J375" s="26">
        <v>0</v>
      </c>
      <c r="K375" s="26">
        <v>0</v>
      </c>
      <c r="L375" s="27">
        <v>0</v>
      </c>
    </row>
    <row r="376" spans="1:12">
      <c r="A376" s="24" t="s">
        <v>186</v>
      </c>
      <c r="B376" s="24" t="s">
        <v>329</v>
      </c>
      <c r="C376" s="25">
        <v>45689</v>
      </c>
      <c r="D376" s="24" t="s">
        <v>2658</v>
      </c>
      <c r="E376" s="26">
        <v>0</v>
      </c>
      <c r="F376" s="26">
        <v>0</v>
      </c>
      <c r="G376" s="26">
        <v>0</v>
      </c>
      <c r="H376" s="26">
        <v>0</v>
      </c>
      <c r="I376" s="26">
        <v>0</v>
      </c>
      <c r="J376" s="26">
        <v>0</v>
      </c>
      <c r="K376" s="26">
        <v>0</v>
      </c>
      <c r="L376" s="27">
        <v>0</v>
      </c>
    </row>
    <row r="377" spans="1:12">
      <c r="A377" s="24" t="s">
        <v>186</v>
      </c>
      <c r="B377" s="24" t="s">
        <v>329</v>
      </c>
      <c r="C377" s="25">
        <v>45717</v>
      </c>
      <c r="D377" s="24" t="s">
        <v>2659</v>
      </c>
      <c r="E377" s="26">
        <v>0</v>
      </c>
      <c r="F377" s="26">
        <v>0</v>
      </c>
      <c r="G377" s="26">
        <v>0</v>
      </c>
      <c r="H377" s="26">
        <v>0</v>
      </c>
      <c r="I377" s="26">
        <v>0</v>
      </c>
      <c r="J377" s="26">
        <v>0</v>
      </c>
      <c r="K377" s="26">
        <v>0</v>
      </c>
      <c r="L377" s="27">
        <v>0</v>
      </c>
    </row>
    <row r="378" spans="1:12">
      <c r="A378" s="24" t="s">
        <v>186</v>
      </c>
      <c r="B378" s="24" t="s">
        <v>329</v>
      </c>
      <c r="C378" s="25">
        <v>45748</v>
      </c>
      <c r="D378" s="24" t="s">
        <v>2660</v>
      </c>
      <c r="E378" s="26">
        <v>0</v>
      </c>
      <c r="F378" s="26">
        <v>0</v>
      </c>
      <c r="G378" s="26">
        <v>0</v>
      </c>
      <c r="H378" s="26">
        <v>0</v>
      </c>
      <c r="I378" s="26">
        <v>0</v>
      </c>
      <c r="J378" s="26">
        <v>0</v>
      </c>
      <c r="K378" s="26">
        <v>0</v>
      </c>
      <c r="L378" s="27">
        <v>0</v>
      </c>
    </row>
    <row r="379" spans="1:12">
      <c r="A379" s="24" t="s">
        <v>186</v>
      </c>
      <c r="B379" s="24" t="s">
        <v>329</v>
      </c>
      <c r="C379" s="25">
        <v>45778</v>
      </c>
      <c r="D379" s="24" t="s">
        <v>2661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7">
        <v>0</v>
      </c>
    </row>
    <row r="380" spans="1:12">
      <c r="A380" s="24" t="s">
        <v>186</v>
      </c>
      <c r="B380" s="24" t="s">
        <v>329</v>
      </c>
      <c r="C380" s="25">
        <v>45809</v>
      </c>
      <c r="D380" s="24" t="s">
        <v>2662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7">
        <v>0</v>
      </c>
    </row>
    <row r="381" spans="1:12">
      <c r="A381" s="24" t="s">
        <v>186</v>
      </c>
      <c r="B381" s="24" t="s">
        <v>329</v>
      </c>
      <c r="C381" s="25">
        <v>45839</v>
      </c>
      <c r="D381" s="24" t="s">
        <v>2663</v>
      </c>
      <c r="E381" s="26">
        <v>0</v>
      </c>
      <c r="F381" s="26">
        <v>0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7">
        <v>0</v>
      </c>
    </row>
    <row r="382" spans="1:12">
      <c r="A382" s="24" t="s">
        <v>186</v>
      </c>
      <c r="B382" s="24" t="s">
        <v>329</v>
      </c>
      <c r="C382" s="25">
        <v>45870</v>
      </c>
      <c r="D382" s="24" t="s">
        <v>2664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7">
        <v>0</v>
      </c>
    </row>
    <row r="383" spans="1:12">
      <c r="A383" s="24" t="s">
        <v>186</v>
      </c>
      <c r="B383" s="24" t="s">
        <v>329</v>
      </c>
      <c r="C383" s="25">
        <v>45901</v>
      </c>
      <c r="D383" s="24" t="s">
        <v>2665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7">
        <v>0</v>
      </c>
    </row>
    <row r="384" spans="1:12">
      <c r="A384" s="24" t="s">
        <v>186</v>
      </c>
      <c r="B384" s="24" t="s">
        <v>329</v>
      </c>
      <c r="C384" s="25">
        <v>45931</v>
      </c>
      <c r="D384" s="24" t="s">
        <v>2666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7">
        <v>0</v>
      </c>
    </row>
    <row r="385" spans="1:12">
      <c r="A385" s="24" t="s">
        <v>186</v>
      </c>
      <c r="B385" s="24" t="s">
        <v>329</v>
      </c>
      <c r="C385" s="25">
        <v>45962</v>
      </c>
      <c r="D385" s="24" t="s">
        <v>2667</v>
      </c>
      <c r="E385" s="26">
        <v>0</v>
      </c>
      <c r="F385" s="26">
        <v>0</v>
      </c>
      <c r="G385" s="26">
        <v>0</v>
      </c>
      <c r="H385" s="26">
        <v>30829.81</v>
      </c>
      <c r="I385" s="26">
        <v>-30829.81</v>
      </c>
      <c r="J385" s="26">
        <v>0</v>
      </c>
      <c r="K385" s="26">
        <v>-30829.81</v>
      </c>
      <c r="L385" s="27">
        <v>0</v>
      </c>
    </row>
    <row r="386" spans="1:12">
      <c r="A386" s="24" t="s">
        <v>186</v>
      </c>
      <c r="B386" s="24" t="s">
        <v>329</v>
      </c>
      <c r="C386" s="25">
        <v>45992</v>
      </c>
      <c r="D386" s="24" t="s">
        <v>2668</v>
      </c>
      <c r="E386" s="26">
        <v>0</v>
      </c>
      <c r="F386" s="26">
        <v>22880.57</v>
      </c>
      <c r="G386" s="26">
        <v>-22880.57</v>
      </c>
      <c r="H386" s="26">
        <v>0</v>
      </c>
      <c r="I386" s="26">
        <v>-22880.57</v>
      </c>
      <c r="J386" s="26">
        <v>0</v>
      </c>
      <c r="K386" s="26">
        <v>-22880.57</v>
      </c>
      <c r="L386" s="27">
        <v>1</v>
      </c>
    </row>
    <row r="387" spans="1:12">
      <c r="A387" s="24" t="s">
        <v>262</v>
      </c>
      <c r="B387" s="24" t="s">
        <v>329</v>
      </c>
      <c r="C387" s="25">
        <v>45658</v>
      </c>
      <c r="D387" s="24" t="s">
        <v>2657</v>
      </c>
      <c r="E387" s="26">
        <v>0</v>
      </c>
      <c r="F387" s="26">
        <v>0</v>
      </c>
      <c r="G387" s="26">
        <v>0</v>
      </c>
      <c r="H387" s="26">
        <v>0</v>
      </c>
      <c r="I387" s="26">
        <v>0</v>
      </c>
      <c r="J387" s="26">
        <v>0</v>
      </c>
      <c r="K387" s="26">
        <v>0</v>
      </c>
      <c r="L387" s="27">
        <v>0</v>
      </c>
    </row>
    <row r="388" spans="1:12">
      <c r="A388" s="24" t="s">
        <v>262</v>
      </c>
      <c r="B388" s="24" t="s">
        <v>329</v>
      </c>
      <c r="C388" s="25">
        <v>45689</v>
      </c>
      <c r="D388" s="24" t="s">
        <v>2658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7">
        <v>0</v>
      </c>
    </row>
    <row r="389" spans="1:12">
      <c r="A389" s="24" t="s">
        <v>262</v>
      </c>
      <c r="B389" s="24" t="s">
        <v>329</v>
      </c>
      <c r="C389" s="25">
        <v>45717</v>
      </c>
      <c r="D389" s="24" t="s">
        <v>2659</v>
      </c>
      <c r="E389" s="26">
        <v>0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7">
        <v>0</v>
      </c>
    </row>
    <row r="390" spans="1:12">
      <c r="A390" s="24" t="s">
        <v>262</v>
      </c>
      <c r="B390" s="24" t="s">
        <v>329</v>
      </c>
      <c r="C390" s="25">
        <v>45748</v>
      </c>
      <c r="D390" s="24" t="s">
        <v>2660</v>
      </c>
      <c r="E390" s="26">
        <v>0</v>
      </c>
      <c r="F390" s="26">
        <v>0</v>
      </c>
      <c r="G390" s="26">
        <v>0</v>
      </c>
      <c r="H390" s="26">
        <v>0</v>
      </c>
      <c r="I390" s="26">
        <v>0</v>
      </c>
      <c r="J390" s="26">
        <v>0</v>
      </c>
      <c r="K390" s="26">
        <v>0</v>
      </c>
      <c r="L390" s="27">
        <v>0</v>
      </c>
    </row>
    <row r="391" spans="1:12">
      <c r="A391" s="24" t="s">
        <v>262</v>
      </c>
      <c r="B391" s="24" t="s">
        <v>329</v>
      </c>
      <c r="C391" s="25">
        <v>45778</v>
      </c>
      <c r="D391" s="24" t="s">
        <v>2661</v>
      </c>
      <c r="E391" s="26">
        <v>0</v>
      </c>
      <c r="F391" s="26">
        <v>0</v>
      </c>
      <c r="G391" s="26">
        <v>0</v>
      </c>
      <c r="H391" s="26">
        <v>0</v>
      </c>
      <c r="I391" s="26">
        <v>0</v>
      </c>
      <c r="J391" s="26">
        <v>0</v>
      </c>
      <c r="K391" s="26">
        <v>0</v>
      </c>
      <c r="L391" s="27">
        <v>0</v>
      </c>
    </row>
    <row r="392" spans="1:12">
      <c r="A392" s="24" t="s">
        <v>262</v>
      </c>
      <c r="B392" s="24" t="s">
        <v>329</v>
      </c>
      <c r="C392" s="25">
        <v>45809</v>
      </c>
      <c r="D392" s="24" t="s">
        <v>2662</v>
      </c>
      <c r="E392" s="26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6">
        <v>0</v>
      </c>
      <c r="L392" s="27">
        <v>0</v>
      </c>
    </row>
    <row r="393" spans="1:12">
      <c r="A393" s="24" t="s">
        <v>262</v>
      </c>
      <c r="B393" s="24" t="s">
        <v>329</v>
      </c>
      <c r="C393" s="25">
        <v>45839</v>
      </c>
      <c r="D393" s="24" t="s">
        <v>2663</v>
      </c>
      <c r="E393" s="26">
        <v>6029.7</v>
      </c>
      <c r="F393" s="26">
        <v>0</v>
      </c>
      <c r="G393" s="26">
        <v>6029.7</v>
      </c>
      <c r="H393" s="26">
        <v>0</v>
      </c>
      <c r="I393" s="26">
        <v>6029.7</v>
      </c>
      <c r="J393" s="26">
        <v>0</v>
      </c>
      <c r="K393" s="26">
        <v>6029.7</v>
      </c>
      <c r="L393" s="27">
        <v>1</v>
      </c>
    </row>
    <row r="394" spans="1:12">
      <c r="A394" s="24" t="s">
        <v>262</v>
      </c>
      <c r="B394" s="24" t="s">
        <v>329</v>
      </c>
      <c r="C394" s="25">
        <v>45870</v>
      </c>
      <c r="D394" s="24" t="s">
        <v>2664</v>
      </c>
      <c r="E394" s="26">
        <v>9559.2199999999993</v>
      </c>
      <c r="F394" s="26">
        <v>0</v>
      </c>
      <c r="G394" s="26">
        <v>9559.2199999999993</v>
      </c>
      <c r="H394" s="26">
        <v>0</v>
      </c>
      <c r="I394" s="26">
        <v>9559.2199999999993</v>
      </c>
      <c r="J394" s="26">
        <v>0</v>
      </c>
      <c r="K394" s="26">
        <v>9559.2199999999993</v>
      </c>
      <c r="L394" s="27">
        <v>1</v>
      </c>
    </row>
    <row r="395" spans="1:12">
      <c r="A395" s="24" t="s">
        <v>262</v>
      </c>
      <c r="B395" s="24" t="s">
        <v>329</v>
      </c>
      <c r="C395" s="25">
        <v>45901</v>
      </c>
      <c r="D395" s="24" t="s">
        <v>2665</v>
      </c>
      <c r="E395" s="26">
        <v>7701.41</v>
      </c>
      <c r="F395" s="26">
        <v>0</v>
      </c>
      <c r="G395" s="26">
        <v>7701.41</v>
      </c>
      <c r="H395" s="26">
        <v>0</v>
      </c>
      <c r="I395" s="26">
        <v>7701.41</v>
      </c>
      <c r="J395" s="26">
        <v>0</v>
      </c>
      <c r="K395" s="26">
        <v>7701.41</v>
      </c>
      <c r="L395" s="27">
        <v>1</v>
      </c>
    </row>
    <row r="396" spans="1:12">
      <c r="A396" s="24" t="s">
        <v>262</v>
      </c>
      <c r="B396" s="24" t="s">
        <v>329</v>
      </c>
      <c r="C396" s="25">
        <v>45931</v>
      </c>
      <c r="D396" s="24" t="s">
        <v>2666</v>
      </c>
      <c r="E396" s="26">
        <v>9955.39</v>
      </c>
      <c r="F396" s="26">
        <v>0</v>
      </c>
      <c r="G396" s="26">
        <v>9955.39</v>
      </c>
      <c r="H396" s="26">
        <v>0</v>
      </c>
      <c r="I396" s="26">
        <v>9955.39</v>
      </c>
      <c r="J396" s="26">
        <v>0</v>
      </c>
      <c r="K396" s="26">
        <v>9955.39</v>
      </c>
      <c r="L396" s="27">
        <v>1</v>
      </c>
    </row>
    <row r="397" spans="1:12">
      <c r="A397" s="24" t="s">
        <v>262</v>
      </c>
      <c r="B397" s="24" t="s">
        <v>329</v>
      </c>
      <c r="C397" s="25">
        <v>45962</v>
      </c>
      <c r="D397" s="24" t="s">
        <v>2667</v>
      </c>
      <c r="E397" s="26">
        <v>0</v>
      </c>
      <c r="F397" s="26">
        <v>0</v>
      </c>
      <c r="G397" s="26">
        <v>0</v>
      </c>
      <c r="H397" s="26">
        <v>0</v>
      </c>
      <c r="I397" s="26">
        <v>0</v>
      </c>
      <c r="J397" s="26">
        <v>0</v>
      </c>
      <c r="K397" s="26">
        <v>0</v>
      </c>
      <c r="L397" s="27">
        <v>0</v>
      </c>
    </row>
    <row r="398" spans="1:12">
      <c r="A398" s="24" t="s">
        <v>262</v>
      </c>
      <c r="B398" s="24" t="s">
        <v>329</v>
      </c>
      <c r="C398" s="25">
        <v>45992</v>
      </c>
      <c r="D398" s="24" t="s">
        <v>2668</v>
      </c>
      <c r="E398" s="26">
        <v>9709.66</v>
      </c>
      <c r="F398" s="26">
        <v>0</v>
      </c>
      <c r="G398" s="26">
        <v>9709.66</v>
      </c>
      <c r="H398" s="26">
        <v>0</v>
      </c>
      <c r="I398" s="26">
        <v>9709.66</v>
      </c>
      <c r="J398" s="26">
        <v>0</v>
      </c>
      <c r="K398" s="26">
        <v>9709.66</v>
      </c>
      <c r="L398" s="27">
        <v>1</v>
      </c>
    </row>
    <row r="399" spans="1:12">
      <c r="A399" s="24" t="s">
        <v>23</v>
      </c>
      <c r="B399" s="24" t="s">
        <v>329</v>
      </c>
      <c r="C399" s="25">
        <v>45658</v>
      </c>
      <c r="D399" s="24" t="s">
        <v>2657</v>
      </c>
      <c r="E399" s="26">
        <v>0</v>
      </c>
      <c r="F399" s="26">
        <v>0</v>
      </c>
      <c r="G399" s="26">
        <v>0</v>
      </c>
      <c r="H399" s="26">
        <v>0</v>
      </c>
      <c r="I399" s="26">
        <v>0</v>
      </c>
      <c r="J399" s="26">
        <v>0</v>
      </c>
      <c r="K399" s="26">
        <v>0</v>
      </c>
      <c r="L399" s="27">
        <v>0</v>
      </c>
    </row>
    <row r="400" spans="1:12">
      <c r="A400" s="24" t="s">
        <v>23</v>
      </c>
      <c r="B400" s="24" t="s">
        <v>329</v>
      </c>
      <c r="C400" s="25">
        <v>45689</v>
      </c>
      <c r="D400" s="24" t="s">
        <v>2658</v>
      </c>
      <c r="E400" s="26">
        <v>0</v>
      </c>
      <c r="F400" s="26">
        <v>0</v>
      </c>
      <c r="G400" s="26">
        <v>0</v>
      </c>
      <c r="H400" s="26">
        <v>0</v>
      </c>
      <c r="I400" s="26">
        <v>0</v>
      </c>
      <c r="J400" s="26">
        <v>0</v>
      </c>
      <c r="K400" s="26">
        <v>0</v>
      </c>
      <c r="L400" s="27">
        <v>0</v>
      </c>
    </row>
    <row r="401" spans="1:12">
      <c r="A401" s="24" t="s">
        <v>23</v>
      </c>
      <c r="B401" s="24" t="s">
        <v>329</v>
      </c>
      <c r="C401" s="25">
        <v>45717</v>
      </c>
      <c r="D401" s="24" t="s">
        <v>2659</v>
      </c>
      <c r="E401" s="26">
        <v>0</v>
      </c>
      <c r="F401" s="26">
        <v>0</v>
      </c>
      <c r="G401" s="26">
        <v>0</v>
      </c>
      <c r="H401" s="26">
        <v>0</v>
      </c>
      <c r="I401" s="26">
        <v>0</v>
      </c>
      <c r="J401" s="26">
        <v>0</v>
      </c>
      <c r="K401" s="26">
        <v>0</v>
      </c>
      <c r="L401" s="27">
        <v>0</v>
      </c>
    </row>
    <row r="402" spans="1:12">
      <c r="A402" s="24" t="s">
        <v>23</v>
      </c>
      <c r="B402" s="24" t="s">
        <v>329</v>
      </c>
      <c r="C402" s="25">
        <v>45748</v>
      </c>
      <c r="D402" s="24" t="s">
        <v>2660</v>
      </c>
      <c r="E402" s="26">
        <v>0</v>
      </c>
      <c r="F402" s="26">
        <v>0</v>
      </c>
      <c r="G402" s="26">
        <v>0</v>
      </c>
      <c r="H402" s="26">
        <v>0</v>
      </c>
      <c r="I402" s="26">
        <v>0</v>
      </c>
      <c r="J402" s="26">
        <v>0</v>
      </c>
      <c r="K402" s="26">
        <v>0</v>
      </c>
      <c r="L402" s="27">
        <v>0</v>
      </c>
    </row>
    <row r="403" spans="1:12">
      <c r="A403" s="24" t="s">
        <v>23</v>
      </c>
      <c r="B403" s="24" t="s">
        <v>329</v>
      </c>
      <c r="C403" s="25">
        <v>45778</v>
      </c>
      <c r="D403" s="24" t="s">
        <v>2661</v>
      </c>
      <c r="E403" s="26">
        <v>0</v>
      </c>
      <c r="F403" s="26">
        <v>0</v>
      </c>
      <c r="G403" s="26">
        <v>0</v>
      </c>
      <c r="H403" s="26">
        <v>0</v>
      </c>
      <c r="I403" s="26">
        <v>0</v>
      </c>
      <c r="J403" s="26">
        <v>0</v>
      </c>
      <c r="K403" s="26">
        <v>0</v>
      </c>
      <c r="L403" s="27">
        <v>0</v>
      </c>
    </row>
    <row r="404" spans="1:12">
      <c r="A404" s="24" t="s">
        <v>23</v>
      </c>
      <c r="B404" s="24" t="s">
        <v>329</v>
      </c>
      <c r="C404" s="25">
        <v>45809</v>
      </c>
      <c r="D404" s="24" t="s">
        <v>2662</v>
      </c>
      <c r="E404" s="26">
        <v>0</v>
      </c>
      <c r="F404" s="26">
        <v>0</v>
      </c>
      <c r="G404" s="26">
        <v>0</v>
      </c>
      <c r="H404" s="26">
        <v>0</v>
      </c>
      <c r="I404" s="26">
        <v>0</v>
      </c>
      <c r="J404" s="26">
        <v>0</v>
      </c>
      <c r="K404" s="26">
        <v>0</v>
      </c>
      <c r="L404" s="27">
        <v>0</v>
      </c>
    </row>
    <row r="405" spans="1:12">
      <c r="A405" s="24" t="s">
        <v>23</v>
      </c>
      <c r="B405" s="24" t="s">
        <v>329</v>
      </c>
      <c r="C405" s="25">
        <v>45839</v>
      </c>
      <c r="D405" s="24" t="s">
        <v>2663</v>
      </c>
      <c r="E405" s="26">
        <v>0</v>
      </c>
      <c r="F405" s="26">
        <v>0</v>
      </c>
      <c r="G405" s="26">
        <v>0</v>
      </c>
      <c r="H405" s="26">
        <v>0</v>
      </c>
      <c r="I405" s="26">
        <v>0</v>
      </c>
      <c r="J405" s="26">
        <v>0</v>
      </c>
      <c r="K405" s="26">
        <v>0</v>
      </c>
      <c r="L405" s="27">
        <v>0</v>
      </c>
    </row>
    <row r="406" spans="1:12">
      <c r="A406" s="24" t="s">
        <v>23</v>
      </c>
      <c r="B406" s="24" t="s">
        <v>329</v>
      </c>
      <c r="C406" s="25">
        <v>45870</v>
      </c>
      <c r="D406" s="24" t="s">
        <v>2664</v>
      </c>
      <c r="E406" s="26">
        <v>0</v>
      </c>
      <c r="F406" s="26">
        <v>0</v>
      </c>
      <c r="G406" s="26">
        <v>0</v>
      </c>
      <c r="H406" s="26">
        <v>40273.06</v>
      </c>
      <c r="I406" s="26">
        <v>-40273.06</v>
      </c>
      <c r="J406" s="26">
        <v>0</v>
      </c>
      <c r="K406" s="26">
        <v>-40273.06</v>
      </c>
      <c r="L406" s="27">
        <v>0</v>
      </c>
    </row>
    <row r="407" spans="1:12">
      <c r="A407" s="24" t="s">
        <v>23</v>
      </c>
      <c r="B407" s="24" t="s">
        <v>329</v>
      </c>
      <c r="C407" s="25">
        <v>45901</v>
      </c>
      <c r="D407" s="24" t="s">
        <v>2665</v>
      </c>
      <c r="E407" s="26">
        <v>14724.67</v>
      </c>
      <c r="F407" s="26">
        <v>0</v>
      </c>
      <c r="G407" s="26">
        <v>14724.67</v>
      </c>
      <c r="H407" s="26">
        <v>0</v>
      </c>
      <c r="I407" s="26">
        <v>14724.67</v>
      </c>
      <c r="J407" s="26">
        <v>0</v>
      </c>
      <c r="K407" s="26">
        <v>14724.67</v>
      </c>
      <c r="L407" s="27">
        <v>1</v>
      </c>
    </row>
    <row r="408" spans="1:12">
      <c r="A408" s="24" t="s">
        <v>23</v>
      </c>
      <c r="B408" s="24" t="s">
        <v>329</v>
      </c>
      <c r="C408" s="25">
        <v>45931</v>
      </c>
      <c r="D408" s="24" t="s">
        <v>2666</v>
      </c>
      <c r="E408" s="26">
        <v>0</v>
      </c>
      <c r="F408" s="26">
        <v>0</v>
      </c>
      <c r="G408" s="26">
        <v>0</v>
      </c>
      <c r="H408" s="26">
        <v>0</v>
      </c>
      <c r="I408" s="26">
        <v>0</v>
      </c>
      <c r="J408" s="26">
        <v>0</v>
      </c>
      <c r="K408" s="26">
        <v>0</v>
      </c>
      <c r="L408" s="27">
        <v>0</v>
      </c>
    </row>
    <row r="409" spans="1:12">
      <c r="A409" s="24" t="s">
        <v>23</v>
      </c>
      <c r="B409" s="24" t="s">
        <v>329</v>
      </c>
      <c r="C409" s="25">
        <v>45962</v>
      </c>
      <c r="D409" s="24" t="s">
        <v>2667</v>
      </c>
      <c r="E409" s="26">
        <v>0</v>
      </c>
      <c r="F409" s="26">
        <v>0</v>
      </c>
      <c r="G409" s="26">
        <v>0</v>
      </c>
      <c r="H409" s="26">
        <v>0</v>
      </c>
      <c r="I409" s="26">
        <v>0</v>
      </c>
      <c r="J409" s="26">
        <v>0</v>
      </c>
      <c r="K409" s="26">
        <v>0</v>
      </c>
      <c r="L409" s="27">
        <v>0</v>
      </c>
    </row>
    <row r="410" spans="1:12">
      <c r="A410" s="24" t="s">
        <v>23</v>
      </c>
      <c r="B410" s="24" t="s">
        <v>329</v>
      </c>
      <c r="C410" s="25">
        <v>45992</v>
      </c>
      <c r="D410" s="24" t="s">
        <v>2668</v>
      </c>
      <c r="E410" s="26">
        <v>0</v>
      </c>
      <c r="F410" s="26">
        <v>0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7">
        <v>0</v>
      </c>
    </row>
    <row r="411" spans="1:12">
      <c r="A411" s="24" t="s">
        <v>131</v>
      </c>
      <c r="B411" s="24" t="s">
        <v>337</v>
      </c>
      <c r="C411" s="25">
        <v>45658</v>
      </c>
      <c r="D411" s="24" t="s">
        <v>2657</v>
      </c>
      <c r="E411" s="26">
        <v>0</v>
      </c>
      <c r="F411" s="26">
        <v>0</v>
      </c>
      <c r="G411" s="26">
        <v>0</v>
      </c>
      <c r="H411" s="26">
        <v>0</v>
      </c>
      <c r="I411" s="26">
        <v>0</v>
      </c>
      <c r="J411" s="26">
        <v>0</v>
      </c>
      <c r="K411" s="26">
        <v>0</v>
      </c>
      <c r="L411" s="27">
        <v>0</v>
      </c>
    </row>
    <row r="412" spans="1:12">
      <c r="A412" s="24" t="s">
        <v>131</v>
      </c>
      <c r="B412" s="24" t="s">
        <v>337</v>
      </c>
      <c r="C412" s="25">
        <v>45689</v>
      </c>
      <c r="D412" s="24" t="s">
        <v>2658</v>
      </c>
      <c r="E412" s="26">
        <v>0</v>
      </c>
      <c r="F412" s="26">
        <v>0</v>
      </c>
      <c r="G412" s="26">
        <v>0</v>
      </c>
      <c r="H412" s="26">
        <v>0</v>
      </c>
      <c r="I412" s="26">
        <v>0</v>
      </c>
      <c r="J412" s="26">
        <v>0</v>
      </c>
      <c r="K412" s="26">
        <v>0</v>
      </c>
      <c r="L412" s="27">
        <v>0</v>
      </c>
    </row>
    <row r="413" spans="1:12">
      <c r="A413" s="24" t="s">
        <v>131</v>
      </c>
      <c r="B413" s="24" t="s">
        <v>337</v>
      </c>
      <c r="C413" s="25">
        <v>45717</v>
      </c>
      <c r="D413" s="24" t="s">
        <v>2659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7">
        <v>0</v>
      </c>
    </row>
    <row r="414" spans="1:12">
      <c r="A414" s="24" t="s">
        <v>131</v>
      </c>
      <c r="B414" s="24" t="s">
        <v>337</v>
      </c>
      <c r="C414" s="25">
        <v>45748</v>
      </c>
      <c r="D414" s="24" t="s">
        <v>2660</v>
      </c>
      <c r="E414" s="26">
        <v>0</v>
      </c>
      <c r="F414" s="26">
        <v>0</v>
      </c>
      <c r="G414" s="26">
        <v>0</v>
      </c>
      <c r="H414" s="26">
        <v>0</v>
      </c>
      <c r="I414" s="26">
        <v>0</v>
      </c>
      <c r="J414" s="26">
        <v>0</v>
      </c>
      <c r="K414" s="26">
        <v>0</v>
      </c>
      <c r="L414" s="27">
        <v>0</v>
      </c>
    </row>
    <row r="415" spans="1:12">
      <c r="A415" s="24" t="s">
        <v>131</v>
      </c>
      <c r="B415" s="24" t="s">
        <v>337</v>
      </c>
      <c r="C415" s="25">
        <v>45778</v>
      </c>
      <c r="D415" s="24" t="s">
        <v>2661</v>
      </c>
      <c r="E415" s="26">
        <v>0</v>
      </c>
      <c r="F415" s="26">
        <v>0</v>
      </c>
      <c r="G415" s="26">
        <v>0</v>
      </c>
      <c r="H415" s="26">
        <v>0</v>
      </c>
      <c r="I415" s="26">
        <v>0</v>
      </c>
      <c r="J415" s="26">
        <v>0</v>
      </c>
      <c r="K415" s="26">
        <v>0</v>
      </c>
      <c r="L415" s="27">
        <v>0</v>
      </c>
    </row>
    <row r="416" spans="1:12">
      <c r="A416" s="24" t="s">
        <v>131</v>
      </c>
      <c r="B416" s="24" t="s">
        <v>337</v>
      </c>
      <c r="C416" s="25">
        <v>45809</v>
      </c>
      <c r="D416" s="24" t="s">
        <v>2662</v>
      </c>
      <c r="E416" s="26">
        <v>0</v>
      </c>
      <c r="F416" s="26">
        <v>0</v>
      </c>
      <c r="G416" s="26">
        <v>0</v>
      </c>
      <c r="H416" s="26">
        <v>0</v>
      </c>
      <c r="I416" s="26">
        <v>0</v>
      </c>
      <c r="J416" s="26">
        <v>0</v>
      </c>
      <c r="K416" s="26">
        <v>0</v>
      </c>
      <c r="L416" s="27">
        <v>0</v>
      </c>
    </row>
    <row r="417" spans="1:12">
      <c r="A417" s="24" t="s">
        <v>131</v>
      </c>
      <c r="B417" s="24" t="s">
        <v>337</v>
      </c>
      <c r="C417" s="25">
        <v>45839</v>
      </c>
      <c r="D417" s="24" t="s">
        <v>2663</v>
      </c>
      <c r="E417" s="26">
        <v>12625.54</v>
      </c>
      <c r="F417" s="26">
        <v>0</v>
      </c>
      <c r="G417" s="26">
        <v>12625.54</v>
      </c>
      <c r="H417" s="26">
        <v>0</v>
      </c>
      <c r="I417" s="26">
        <v>12625.54</v>
      </c>
      <c r="J417" s="26">
        <v>0</v>
      </c>
      <c r="K417" s="26">
        <v>12625.54</v>
      </c>
      <c r="L417" s="27">
        <v>1</v>
      </c>
    </row>
    <row r="418" spans="1:12">
      <c r="A418" s="24" t="s">
        <v>131</v>
      </c>
      <c r="B418" s="24" t="s">
        <v>337</v>
      </c>
      <c r="C418" s="25">
        <v>45870</v>
      </c>
      <c r="D418" s="24" t="s">
        <v>2664</v>
      </c>
      <c r="E418" s="26">
        <v>0</v>
      </c>
      <c r="F418" s="26">
        <v>0</v>
      </c>
      <c r="G418" s="26">
        <v>0</v>
      </c>
      <c r="H418" s="26">
        <v>0</v>
      </c>
      <c r="I418" s="26">
        <v>0</v>
      </c>
      <c r="J418" s="26">
        <v>0</v>
      </c>
      <c r="K418" s="26">
        <v>0</v>
      </c>
      <c r="L418" s="27">
        <v>0</v>
      </c>
    </row>
    <row r="419" spans="1:12">
      <c r="A419" s="24" t="s">
        <v>131</v>
      </c>
      <c r="B419" s="24" t="s">
        <v>337</v>
      </c>
      <c r="C419" s="25">
        <v>45901</v>
      </c>
      <c r="D419" s="24" t="s">
        <v>2665</v>
      </c>
      <c r="E419" s="26">
        <v>24628.03</v>
      </c>
      <c r="F419" s="26">
        <v>0</v>
      </c>
      <c r="G419" s="26">
        <v>24628.03</v>
      </c>
      <c r="H419" s="26">
        <v>97746.51</v>
      </c>
      <c r="I419" s="26">
        <v>-73118.48</v>
      </c>
      <c r="J419" s="26">
        <v>0</v>
      </c>
      <c r="K419" s="26">
        <v>-73118.48</v>
      </c>
      <c r="L419" s="27">
        <v>-2.968913063692062</v>
      </c>
    </row>
    <row r="420" spans="1:12">
      <c r="A420" s="24" t="s">
        <v>131</v>
      </c>
      <c r="B420" s="24" t="s">
        <v>337</v>
      </c>
      <c r="C420" s="25">
        <v>45931</v>
      </c>
      <c r="D420" s="24" t="s">
        <v>2666</v>
      </c>
      <c r="E420" s="26">
        <v>0</v>
      </c>
      <c r="F420" s="26">
        <v>0</v>
      </c>
      <c r="G420" s="26">
        <v>0</v>
      </c>
      <c r="H420" s="26">
        <v>0</v>
      </c>
      <c r="I420" s="26">
        <v>0</v>
      </c>
      <c r="J420" s="26">
        <v>0</v>
      </c>
      <c r="K420" s="26">
        <v>0</v>
      </c>
      <c r="L420" s="27">
        <v>0</v>
      </c>
    </row>
    <row r="421" spans="1:12">
      <c r="A421" s="24" t="s">
        <v>131</v>
      </c>
      <c r="B421" s="24" t="s">
        <v>337</v>
      </c>
      <c r="C421" s="25">
        <v>45962</v>
      </c>
      <c r="D421" s="24" t="s">
        <v>2667</v>
      </c>
      <c r="E421" s="26">
        <v>0</v>
      </c>
      <c r="F421" s="26">
        <v>0</v>
      </c>
      <c r="G421" s="26">
        <v>0</v>
      </c>
      <c r="H421" s="26">
        <v>0</v>
      </c>
      <c r="I421" s="26">
        <v>0</v>
      </c>
      <c r="J421" s="26">
        <v>0</v>
      </c>
      <c r="K421" s="26">
        <v>0</v>
      </c>
      <c r="L421" s="27">
        <v>0</v>
      </c>
    </row>
    <row r="422" spans="1:12">
      <c r="A422" s="24" t="s">
        <v>131</v>
      </c>
      <c r="B422" s="24" t="s">
        <v>337</v>
      </c>
      <c r="C422" s="25">
        <v>45992</v>
      </c>
      <c r="D422" s="24" t="s">
        <v>2668</v>
      </c>
      <c r="E422" s="26">
        <v>16795.060000000001</v>
      </c>
      <c r="F422" s="26">
        <v>0</v>
      </c>
      <c r="G422" s="26">
        <v>16795.060000000001</v>
      </c>
      <c r="H422" s="26">
        <v>0</v>
      </c>
      <c r="I422" s="26">
        <v>16795.060000000001</v>
      </c>
      <c r="J422" s="26">
        <v>0</v>
      </c>
      <c r="K422" s="26">
        <v>16795.060000000001</v>
      </c>
      <c r="L422" s="27">
        <v>1</v>
      </c>
    </row>
    <row r="423" spans="1:12">
      <c r="A423" s="24" t="s">
        <v>106</v>
      </c>
      <c r="B423" s="24" t="s">
        <v>324</v>
      </c>
      <c r="C423" s="25">
        <v>45658</v>
      </c>
      <c r="D423" s="24" t="s">
        <v>2657</v>
      </c>
      <c r="E423" s="26">
        <v>0</v>
      </c>
      <c r="F423" s="26">
        <v>0</v>
      </c>
      <c r="G423" s="26">
        <v>0</v>
      </c>
      <c r="H423" s="26">
        <v>0</v>
      </c>
      <c r="I423" s="26">
        <v>0</v>
      </c>
      <c r="J423" s="26">
        <v>0</v>
      </c>
      <c r="K423" s="26">
        <v>0</v>
      </c>
      <c r="L423" s="27">
        <v>0</v>
      </c>
    </row>
    <row r="424" spans="1:12">
      <c r="A424" s="24" t="s">
        <v>106</v>
      </c>
      <c r="B424" s="24" t="s">
        <v>324</v>
      </c>
      <c r="C424" s="25">
        <v>45689</v>
      </c>
      <c r="D424" s="24" t="s">
        <v>2658</v>
      </c>
      <c r="E424" s="26">
        <v>0</v>
      </c>
      <c r="F424" s="26">
        <v>0</v>
      </c>
      <c r="G424" s="26">
        <v>0</v>
      </c>
      <c r="H424" s="26">
        <v>0</v>
      </c>
      <c r="I424" s="26">
        <v>0</v>
      </c>
      <c r="J424" s="26">
        <v>0</v>
      </c>
      <c r="K424" s="26">
        <v>0</v>
      </c>
      <c r="L424" s="27">
        <v>0</v>
      </c>
    </row>
    <row r="425" spans="1:12">
      <c r="A425" s="24" t="s">
        <v>106</v>
      </c>
      <c r="B425" s="24" t="s">
        <v>324</v>
      </c>
      <c r="C425" s="25">
        <v>45717</v>
      </c>
      <c r="D425" s="24" t="s">
        <v>2659</v>
      </c>
      <c r="E425" s="26">
        <v>0</v>
      </c>
      <c r="F425" s="26">
        <v>0</v>
      </c>
      <c r="G425" s="26">
        <v>0</v>
      </c>
      <c r="H425" s="26">
        <v>0</v>
      </c>
      <c r="I425" s="26">
        <v>0</v>
      </c>
      <c r="J425" s="26">
        <v>0</v>
      </c>
      <c r="K425" s="26">
        <v>0</v>
      </c>
      <c r="L425" s="27">
        <v>0</v>
      </c>
    </row>
    <row r="426" spans="1:12">
      <c r="A426" s="24" t="s">
        <v>106</v>
      </c>
      <c r="B426" s="24" t="s">
        <v>324</v>
      </c>
      <c r="C426" s="25">
        <v>45748</v>
      </c>
      <c r="D426" s="24" t="s">
        <v>2660</v>
      </c>
      <c r="E426" s="26">
        <v>0</v>
      </c>
      <c r="F426" s="26">
        <v>0</v>
      </c>
      <c r="G426" s="26">
        <v>0</v>
      </c>
      <c r="H426" s="26">
        <v>0</v>
      </c>
      <c r="I426" s="26">
        <v>0</v>
      </c>
      <c r="J426" s="26">
        <v>0</v>
      </c>
      <c r="K426" s="26">
        <v>0</v>
      </c>
      <c r="L426" s="27">
        <v>0</v>
      </c>
    </row>
    <row r="427" spans="1:12">
      <c r="A427" s="24" t="s">
        <v>106</v>
      </c>
      <c r="B427" s="24" t="s">
        <v>324</v>
      </c>
      <c r="C427" s="25">
        <v>45778</v>
      </c>
      <c r="D427" s="24" t="s">
        <v>2661</v>
      </c>
      <c r="E427" s="26">
        <v>0</v>
      </c>
      <c r="F427" s="26">
        <v>0</v>
      </c>
      <c r="G427" s="26">
        <v>0</v>
      </c>
      <c r="H427" s="26">
        <v>0</v>
      </c>
      <c r="I427" s="26">
        <v>0</v>
      </c>
      <c r="J427" s="26">
        <v>0</v>
      </c>
      <c r="K427" s="26">
        <v>0</v>
      </c>
      <c r="L427" s="27">
        <v>0</v>
      </c>
    </row>
    <row r="428" spans="1:12">
      <c r="A428" s="24" t="s">
        <v>106</v>
      </c>
      <c r="B428" s="24" t="s">
        <v>324</v>
      </c>
      <c r="C428" s="25">
        <v>45809</v>
      </c>
      <c r="D428" s="24" t="s">
        <v>2662</v>
      </c>
      <c r="E428" s="26">
        <v>0</v>
      </c>
      <c r="F428" s="26">
        <v>0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7">
        <v>0</v>
      </c>
    </row>
    <row r="429" spans="1:12">
      <c r="A429" s="24" t="s">
        <v>106</v>
      </c>
      <c r="B429" s="24" t="s">
        <v>324</v>
      </c>
      <c r="C429" s="25">
        <v>45839</v>
      </c>
      <c r="D429" s="24" t="s">
        <v>2663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7">
        <v>0</v>
      </c>
    </row>
    <row r="430" spans="1:12">
      <c r="A430" s="24" t="s">
        <v>106</v>
      </c>
      <c r="B430" s="24" t="s">
        <v>324</v>
      </c>
      <c r="C430" s="25">
        <v>45870</v>
      </c>
      <c r="D430" s="24" t="s">
        <v>2664</v>
      </c>
      <c r="E430" s="26">
        <v>0</v>
      </c>
      <c r="F430" s="26">
        <v>0</v>
      </c>
      <c r="G430" s="26">
        <v>0</v>
      </c>
      <c r="H430" s="26">
        <v>115127.75</v>
      </c>
      <c r="I430" s="26">
        <v>-115127.75</v>
      </c>
      <c r="J430" s="26">
        <v>0</v>
      </c>
      <c r="K430" s="26">
        <v>-115127.75</v>
      </c>
      <c r="L430" s="27">
        <v>0</v>
      </c>
    </row>
    <row r="431" spans="1:12">
      <c r="A431" s="24" t="s">
        <v>106</v>
      </c>
      <c r="B431" s="24" t="s">
        <v>324</v>
      </c>
      <c r="C431" s="25">
        <v>45901</v>
      </c>
      <c r="D431" s="24" t="s">
        <v>2665</v>
      </c>
      <c r="E431" s="26">
        <v>0</v>
      </c>
      <c r="F431" s="26">
        <v>0</v>
      </c>
      <c r="G431" s="26">
        <v>0</v>
      </c>
      <c r="H431" s="26">
        <v>68239.75</v>
      </c>
      <c r="I431" s="26">
        <v>-68239.75</v>
      </c>
      <c r="J431" s="26">
        <v>0</v>
      </c>
      <c r="K431" s="26">
        <v>-68239.75</v>
      </c>
      <c r="L431" s="27">
        <v>0</v>
      </c>
    </row>
    <row r="432" spans="1:12">
      <c r="A432" s="24" t="s">
        <v>106</v>
      </c>
      <c r="B432" s="24" t="s">
        <v>324</v>
      </c>
      <c r="C432" s="25">
        <v>45931</v>
      </c>
      <c r="D432" s="24" t="s">
        <v>2666</v>
      </c>
      <c r="E432" s="26">
        <v>0</v>
      </c>
      <c r="F432" s="26">
        <v>0</v>
      </c>
      <c r="G432" s="26">
        <v>0</v>
      </c>
      <c r="H432" s="26">
        <v>0</v>
      </c>
      <c r="I432" s="26">
        <v>0</v>
      </c>
      <c r="J432" s="26">
        <v>0</v>
      </c>
      <c r="K432" s="26">
        <v>0</v>
      </c>
      <c r="L432" s="27">
        <v>0</v>
      </c>
    </row>
    <row r="433" spans="1:12">
      <c r="A433" s="24" t="s">
        <v>106</v>
      </c>
      <c r="B433" s="24" t="s">
        <v>324</v>
      </c>
      <c r="C433" s="25">
        <v>45962</v>
      </c>
      <c r="D433" s="24" t="s">
        <v>2667</v>
      </c>
      <c r="E433" s="26">
        <v>0</v>
      </c>
      <c r="F433" s="26">
        <v>0</v>
      </c>
      <c r="G433" s="26">
        <v>0</v>
      </c>
      <c r="H433" s="26">
        <v>0</v>
      </c>
      <c r="I433" s="26">
        <v>0</v>
      </c>
      <c r="J433" s="26">
        <v>0</v>
      </c>
      <c r="K433" s="26">
        <v>0</v>
      </c>
      <c r="L433" s="27">
        <v>0</v>
      </c>
    </row>
    <row r="434" spans="1:12">
      <c r="A434" s="24" t="s">
        <v>106</v>
      </c>
      <c r="B434" s="24" t="s">
        <v>324</v>
      </c>
      <c r="C434" s="25">
        <v>45992</v>
      </c>
      <c r="D434" s="24" t="s">
        <v>2668</v>
      </c>
      <c r="E434" s="26">
        <v>0</v>
      </c>
      <c r="F434" s="26">
        <v>0</v>
      </c>
      <c r="G434" s="26">
        <v>0</v>
      </c>
      <c r="H434" s="26">
        <v>6398.97</v>
      </c>
      <c r="I434" s="26">
        <v>-6398.97</v>
      </c>
      <c r="J434" s="26">
        <v>0</v>
      </c>
      <c r="K434" s="26">
        <v>-6398.97</v>
      </c>
      <c r="L434" s="27">
        <v>0</v>
      </c>
    </row>
    <row r="435" spans="1:12">
      <c r="A435" s="24" t="s">
        <v>225</v>
      </c>
      <c r="B435" s="24" t="s">
        <v>318</v>
      </c>
      <c r="C435" s="25">
        <v>45658</v>
      </c>
      <c r="D435" s="24" t="s">
        <v>2657</v>
      </c>
      <c r="E435" s="26">
        <v>0</v>
      </c>
      <c r="F435" s="26">
        <v>0</v>
      </c>
      <c r="G435" s="26">
        <v>0</v>
      </c>
      <c r="H435" s="26">
        <v>0</v>
      </c>
      <c r="I435" s="26">
        <v>0</v>
      </c>
      <c r="J435" s="26">
        <v>0</v>
      </c>
      <c r="K435" s="26">
        <v>0</v>
      </c>
      <c r="L435" s="27">
        <v>0</v>
      </c>
    </row>
    <row r="436" spans="1:12">
      <c r="A436" s="24" t="s">
        <v>225</v>
      </c>
      <c r="B436" s="24" t="s">
        <v>318</v>
      </c>
      <c r="C436" s="25">
        <v>45689</v>
      </c>
      <c r="D436" s="24" t="s">
        <v>2658</v>
      </c>
      <c r="E436" s="26">
        <v>0</v>
      </c>
      <c r="F436" s="26">
        <v>0</v>
      </c>
      <c r="G436" s="26">
        <v>0</v>
      </c>
      <c r="H436" s="26">
        <v>0</v>
      </c>
      <c r="I436" s="26">
        <v>0</v>
      </c>
      <c r="J436" s="26">
        <v>0</v>
      </c>
      <c r="K436" s="26">
        <v>0</v>
      </c>
      <c r="L436" s="27">
        <v>0</v>
      </c>
    </row>
    <row r="437" spans="1:12">
      <c r="A437" s="24" t="s">
        <v>225</v>
      </c>
      <c r="B437" s="24" t="s">
        <v>318</v>
      </c>
      <c r="C437" s="25">
        <v>45717</v>
      </c>
      <c r="D437" s="24" t="s">
        <v>2659</v>
      </c>
      <c r="E437" s="26">
        <v>0</v>
      </c>
      <c r="F437" s="26">
        <v>0</v>
      </c>
      <c r="G437" s="26">
        <v>0</v>
      </c>
      <c r="H437" s="26">
        <v>0</v>
      </c>
      <c r="I437" s="26">
        <v>0</v>
      </c>
      <c r="J437" s="26">
        <v>0</v>
      </c>
      <c r="K437" s="26">
        <v>0</v>
      </c>
      <c r="L437" s="27">
        <v>0</v>
      </c>
    </row>
    <row r="438" spans="1:12">
      <c r="A438" s="24" t="s">
        <v>225</v>
      </c>
      <c r="B438" s="24" t="s">
        <v>318</v>
      </c>
      <c r="C438" s="25">
        <v>45748</v>
      </c>
      <c r="D438" s="24" t="s">
        <v>2660</v>
      </c>
      <c r="E438" s="26">
        <v>0</v>
      </c>
      <c r="F438" s="26">
        <v>0</v>
      </c>
      <c r="G438" s="26">
        <v>0</v>
      </c>
      <c r="H438" s="26">
        <v>0</v>
      </c>
      <c r="I438" s="26">
        <v>0</v>
      </c>
      <c r="J438" s="26">
        <v>0</v>
      </c>
      <c r="K438" s="26">
        <v>0</v>
      </c>
      <c r="L438" s="27">
        <v>0</v>
      </c>
    </row>
    <row r="439" spans="1:12">
      <c r="A439" s="24" t="s">
        <v>225</v>
      </c>
      <c r="B439" s="24" t="s">
        <v>318</v>
      </c>
      <c r="C439" s="25">
        <v>45778</v>
      </c>
      <c r="D439" s="24" t="s">
        <v>2661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7">
        <v>0</v>
      </c>
    </row>
    <row r="440" spans="1:12">
      <c r="A440" s="24" t="s">
        <v>225</v>
      </c>
      <c r="B440" s="24" t="s">
        <v>318</v>
      </c>
      <c r="C440" s="25">
        <v>45809</v>
      </c>
      <c r="D440" s="24" t="s">
        <v>2662</v>
      </c>
      <c r="E440" s="26">
        <v>0</v>
      </c>
      <c r="F440" s="26">
        <v>0</v>
      </c>
      <c r="G440" s="26">
        <v>0</v>
      </c>
      <c r="H440" s="26">
        <v>0</v>
      </c>
      <c r="I440" s="26">
        <v>0</v>
      </c>
      <c r="J440" s="26">
        <v>0</v>
      </c>
      <c r="K440" s="26">
        <v>0</v>
      </c>
      <c r="L440" s="27">
        <v>0</v>
      </c>
    </row>
    <row r="441" spans="1:12">
      <c r="A441" s="24" t="s">
        <v>225</v>
      </c>
      <c r="B441" s="24" t="s">
        <v>318</v>
      </c>
      <c r="C441" s="25">
        <v>45839</v>
      </c>
      <c r="D441" s="24" t="s">
        <v>2663</v>
      </c>
      <c r="E441" s="26">
        <v>0</v>
      </c>
      <c r="F441" s="26">
        <v>0</v>
      </c>
      <c r="G441" s="26">
        <v>0</v>
      </c>
      <c r="H441" s="26">
        <v>0</v>
      </c>
      <c r="I441" s="26">
        <v>0</v>
      </c>
      <c r="J441" s="26">
        <v>0</v>
      </c>
      <c r="K441" s="26">
        <v>0</v>
      </c>
      <c r="L441" s="27">
        <v>0</v>
      </c>
    </row>
    <row r="442" spans="1:12">
      <c r="A442" s="24" t="s">
        <v>225</v>
      </c>
      <c r="B442" s="24" t="s">
        <v>318</v>
      </c>
      <c r="C442" s="25">
        <v>45870</v>
      </c>
      <c r="D442" s="24" t="s">
        <v>2664</v>
      </c>
      <c r="E442" s="26">
        <v>25545.8</v>
      </c>
      <c r="F442" s="26">
        <v>0</v>
      </c>
      <c r="G442" s="26">
        <v>25545.8</v>
      </c>
      <c r="H442" s="26">
        <v>0</v>
      </c>
      <c r="I442" s="26">
        <v>25545.8</v>
      </c>
      <c r="J442" s="26">
        <v>0</v>
      </c>
      <c r="K442" s="26">
        <v>25545.8</v>
      </c>
      <c r="L442" s="27">
        <v>1</v>
      </c>
    </row>
    <row r="443" spans="1:12">
      <c r="A443" s="24" t="s">
        <v>225</v>
      </c>
      <c r="B443" s="24" t="s">
        <v>318</v>
      </c>
      <c r="C443" s="25">
        <v>45901</v>
      </c>
      <c r="D443" s="24" t="s">
        <v>2665</v>
      </c>
      <c r="E443" s="26">
        <v>17821.48</v>
      </c>
      <c r="F443" s="26">
        <v>0</v>
      </c>
      <c r="G443" s="26">
        <v>17821.48</v>
      </c>
      <c r="H443" s="26">
        <v>0</v>
      </c>
      <c r="I443" s="26">
        <v>17821.48</v>
      </c>
      <c r="J443" s="26">
        <v>0</v>
      </c>
      <c r="K443" s="26">
        <v>17821.48</v>
      </c>
      <c r="L443" s="27">
        <v>1</v>
      </c>
    </row>
    <row r="444" spans="1:12">
      <c r="A444" s="24" t="s">
        <v>225</v>
      </c>
      <c r="B444" s="24" t="s">
        <v>318</v>
      </c>
      <c r="C444" s="25">
        <v>45931</v>
      </c>
      <c r="D444" s="24" t="s">
        <v>2666</v>
      </c>
      <c r="E444" s="26">
        <v>25605.62</v>
      </c>
      <c r="F444" s="26">
        <v>0</v>
      </c>
      <c r="G444" s="26">
        <v>25605.62</v>
      </c>
      <c r="H444" s="26">
        <v>0</v>
      </c>
      <c r="I444" s="26">
        <v>25605.62</v>
      </c>
      <c r="J444" s="26">
        <v>0</v>
      </c>
      <c r="K444" s="26">
        <v>25605.62</v>
      </c>
      <c r="L444" s="27">
        <v>1</v>
      </c>
    </row>
    <row r="445" spans="1:12">
      <c r="A445" s="24" t="s">
        <v>225</v>
      </c>
      <c r="B445" s="24" t="s">
        <v>318</v>
      </c>
      <c r="C445" s="25">
        <v>45962</v>
      </c>
      <c r="D445" s="24" t="s">
        <v>2667</v>
      </c>
      <c r="E445" s="26">
        <v>20445.38</v>
      </c>
      <c r="F445" s="26">
        <v>0</v>
      </c>
      <c r="G445" s="26">
        <v>20445.38</v>
      </c>
      <c r="H445" s="26">
        <v>0</v>
      </c>
      <c r="I445" s="26">
        <v>20445.38</v>
      </c>
      <c r="J445" s="26">
        <v>0</v>
      </c>
      <c r="K445" s="26">
        <v>20445.38</v>
      </c>
      <c r="L445" s="27">
        <v>1</v>
      </c>
    </row>
    <row r="446" spans="1:12">
      <c r="A446" s="24" t="s">
        <v>225</v>
      </c>
      <c r="B446" s="24" t="s">
        <v>318</v>
      </c>
      <c r="C446" s="25">
        <v>45992</v>
      </c>
      <c r="D446" s="24" t="s">
        <v>2668</v>
      </c>
      <c r="E446" s="26">
        <v>31547.14</v>
      </c>
      <c r="F446" s="26">
        <v>0</v>
      </c>
      <c r="G446" s="26">
        <v>31547.14</v>
      </c>
      <c r="H446" s="26">
        <v>0</v>
      </c>
      <c r="I446" s="26">
        <v>31547.14</v>
      </c>
      <c r="J446" s="26">
        <v>0</v>
      </c>
      <c r="K446" s="26">
        <v>31547.14</v>
      </c>
      <c r="L446" s="27">
        <v>1</v>
      </c>
    </row>
    <row r="447" spans="1:12">
      <c r="A447" s="24" t="s">
        <v>144</v>
      </c>
      <c r="B447" s="24" t="s">
        <v>329</v>
      </c>
      <c r="C447" s="25">
        <v>45658</v>
      </c>
      <c r="D447" s="24" t="s">
        <v>2657</v>
      </c>
      <c r="E447" s="26">
        <v>0</v>
      </c>
      <c r="F447" s="26">
        <v>0</v>
      </c>
      <c r="G447" s="26">
        <v>0</v>
      </c>
      <c r="H447" s="26">
        <v>0</v>
      </c>
      <c r="I447" s="26">
        <v>0</v>
      </c>
      <c r="J447" s="26">
        <v>0</v>
      </c>
      <c r="K447" s="26">
        <v>0</v>
      </c>
      <c r="L447" s="27">
        <v>0</v>
      </c>
    </row>
    <row r="448" spans="1:12">
      <c r="A448" s="24" t="s">
        <v>144</v>
      </c>
      <c r="B448" s="24" t="s">
        <v>329</v>
      </c>
      <c r="C448" s="25">
        <v>45689</v>
      </c>
      <c r="D448" s="24" t="s">
        <v>2658</v>
      </c>
      <c r="E448" s="26">
        <v>0</v>
      </c>
      <c r="F448" s="26">
        <v>0</v>
      </c>
      <c r="G448" s="26">
        <v>0</v>
      </c>
      <c r="H448" s="26">
        <v>0</v>
      </c>
      <c r="I448" s="26">
        <v>0</v>
      </c>
      <c r="J448" s="26">
        <v>0</v>
      </c>
      <c r="K448" s="26">
        <v>0</v>
      </c>
      <c r="L448" s="27">
        <v>0</v>
      </c>
    </row>
    <row r="449" spans="1:12">
      <c r="A449" s="24" t="s">
        <v>144</v>
      </c>
      <c r="B449" s="24" t="s">
        <v>329</v>
      </c>
      <c r="C449" s="25">
        <v>45717</v>
      </c>
      <c r="D449" s="24" t="s">
        <v>2659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7">
        <v>0</v>
      </c>
    </row>
    <row r="450" spans="1:12">
      <c r="A450" s="24" t="s">
        <v>144</v>
      </c>
      <c r="B450" s="24" t="s">
        <v>329</v>
      </c>
      <c r="C450" s="25">
        <v>45748</v>
      </c>
      <c r="D450" s="24" t="s">
        <v>2660</v>
      </c>
      <c r="E450" s="26">
        <v>0</v>
      </c>
      <c r="F450" s="26">
        <v>0</v>
      </c>
      <c r="G450" s="26">
        <v>0</v>
      </c>
      <c r="H450" s="26">
        <v>0</v>
      </c>
      <c r="I450" s="26">
        <v>0</v>
      </c>
      <c r="J450" s="26">
        <v>0</v>
      </c>
      <c r="K450" s="26">
        <v>0</v>
      </c>
      <c r="L450" s="27">
        <v>0</v>
      </c>
    </row>
    <row r="451" spans="1:12">
      <c r="A451" s="24" t="s">
        <v>144</v>
      </c>
      <c r="B451" s="24" t="s">
        <v>329</v>
      </c>
      <c r="C451" s="25">
        <v>45778</v>
      </c>
      <c r="D451" s="24" t="s">
        <v>2661</v>
      </c>
      <c r="E451" s="26">
        <v>0</v>
      </c>
      <c r="F451" s="26">
        <v>0</v>
      </c>
      <c r="G451" s="26">
        <v>0</v>
      </c>
      <c r="H451" s="26">
        <v>0</v>
      </c>
      <c r="I451" s="26">
        <v>0</v>
      </c>
      <c r="J451" s="26">
        <v>0</v>
      </c>
      <c r="K451" s="26">
        <v>0</v>
      </c>
      <c r="L451" s="27">
        <v>0</v>
      </c>
    </row>
    <row r="452" spans="1:12">
      <c r="A452" s="24" t="s">
        <v>144</v>
      </c>
      <c r="B452" s="24" t="s">
        <v>329</v>
      </c>
      <c r="C452" s="25">
        <v>45809</v>
      </c>
      <c r="D452" s="24" t="s">
        <v>2662</v>
      </c>
      <c r="E452" s="26">
        <v>0</v>
      </c>
      <c r="F452" s="26">
        <v>0</v>
      </c>
      <c r="G452" s="26">
        <v>0</v>
      </c>
      <c r="H452" s="26">
        <v>0</v>
      </c>
      <c r="I452" s="26">
        <v>0</v>
      </c>
      <c r="J452" s="26">
        <v>0</v>
      </c>
      <c r="K452" s="26">
        <v>0</v>
      </c>
      <c r="L452" s="27">
        <v>0</v>
      </c>
    </row>
    <row r="453" spans="1:12">
      <c r="A453" s="24" t="s">
        <v>144</v>
      </c>
      <c r="B453" s="24" t="s">
        <v>329</v>
      </c>
      <c r="C453" s="25">
        <v>45839</v>
      </c>
      <c r="D453" s="24" t="s">
        <v>2663</v>
      </c>
      <c r="E453" s="26">
        <v>0</v>
      </c>
      <c r="F453" s="26">
        <v>0</v>
      </c>
      <c r="G453" s="26">
        <v>0</v>
      </c>
      <c r="H453" s="26">
        <v>0</v>
      </c>
      <c r="I453" s="26">
        <v>0</v>
      </c>
      <c r="J453" s="26">
        <v>0</v>
      </c>
      <c r="K453" s="26">
        <v>0</v>
      </c>
      <c r="L453" s="27">
        <v>0</v>
      </c>
    </row>
    <row r="454" spans="1:12">
      <c r="A454" s="24" t="s">
        <v>144</v>
      </c>
      <c r="B454" s="24" t="s">
        <v>329</v>
      </c>
      <c r="C454" s="25">
        <v>45870</v>
      </c>
      <c r="D454" s="24" t="s">
        <v>2664</v>
      </c>
      <c r="E454" s="26">
        <v>68758.039999999994</v>
      </c>
      <c r="F454" s="26">
        <v>0</v>
      </c>
      <c r="G454" s="26">
        <v>68758.039999999994</v>
      </c>
      <c r="H454" s="26">
        <v>0</v>
      </c>
      <c r="I454" s="26">
        <v>68758.039999999994</v>
      </c>
      <c r="J454" s="26">
        <v>0</v>
      </c>
      <c r="K454" s="26">
        <v>68758.039999999994</v>
      </c>
      <c r="L454" s="27">
        <v>1</v>
      </c>
    </row>
    <row r="455" spans="1:12">
      <c r="A455" s="24" t="s">
        <v>144</v>
      </c>
      <c r="B455" s="24" t="s">
        <v>329</v>
      </c>
      <c r="C455" s="25">
        <v>45901</v>
      </c>
      <c r="D455" s="24" t="s">
        <v>2665</v>
      </c>
      <c r="E455" s="26">
        <v>0</v>
      </c>
      <c r="F455" s="26">
        <v>0</v>
      </c>
      <c r="G455" s="26">
        <v>0</v>
      </c>
      <c r="H455" s="26">
        <v>0</v>
      </c>
      <c r="I455" s="26">
        <v>0</v>
      </c>
      <c r="J455" s="26">
        <v>0</v>
      </c>
      <c r="K455" s="26">
        <v>0</v>
      </c>
      <c r="L455" s="27">
        <v>0</v>
      </c>
    </row>
    <row r="456" spans="1:12">
      <c r="A456" s="24" t="s">
        <v>144</v>
      </c>
      <c r="B456" s="24" t="s">
        <v>329</v>
      </c>
      <c r="C456" s="25">
        <v>45931</v>
      </c>
      <c r="D456" s="24" t="s">
        <v>2666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7">
        <v>0</v>
      </c>
    </row>
    <row r="457" spans="1:12">
      <c r="A457" s="24" t="s">
        <v>144</v>
      </c>
      <c r="B457" s="24" t="s">
        <v>329</v>
      </c>
      <c r="C457" s="25">
        <v>45962</v>
      </c>
      <c r="D457" s="24" t="s">
        <v>2667</v>
      </c>
      <c r="E457" s="26">
        <v>58142.44</v>
      </c>
      <c r="F457" s="26">
        <v>0</v>
      </c>
      <c r="G457" s="26">
        <v>58142.44</v>
      </c>
      <c r="H457" s="26">
        <v>0</v>
      </c>
      <c r="I457" s="26">
        <v>58142.44</v>
      </c>
      <c r="J457" s="26">
        <v>0</v>
      </c>
      <c r="K457" s="26">
        <v>58142.44</v>
      </c>
      <c r="L457" s="27">
        <v>1</v>
      </c>
    </row>
    <row r="458" spans="1:12">
      <c r="A458" s="24" t="s">
        <v>144</v>
      </c>
      <c r="B458" s="24" t="s">
        <v>329</v>
      </c>
      <c r="C458" s="25">
        <v>45992</v>
      </c>
      <c r="D458" s="24" t="s">
        <v>2668</v>
      </c>
      <c r="E458" s="26">
        <v>0</v>
      </c>
      <c r="F458" s="26">
        <v>193557.65</v>
      </c>
      <c r="G458" s="26">
        <v>-193557.65</v>
      </c>
      <c r="H458" s="26">
        <v>0</v>
      </c>
      <c r="I458" s="26">
        <v>-193557.65</v>
      </c>
      <c r="J458" s="26">
        <v>0</v>
      </c>
      <c r="K458" s="26">
        <v>-193557.65</v>
      </c>
      <c r="L458" s="27">
        <v>1</v>
      </c>
    </row>
    <row r="459" spans="1:12">
      <c r="A459" s="24" t="s">
        <v>196</v>
      </c>
      <c r="B459" s="24" t="s">
        <v>324</v>
      </c>
      <c r="C459" s="25">
        <v>45658</v>
      </c>
      <c r="D459" s="24" t="s">
        <v>2657</v>
      </c>
      <c r="E459" s="26">
        <v>0</v>
      </c>
      <c r="F459" s="26">
        <v>0</v>
      </c>
      <c r="G459" s="26">
        <v>0</v>
      </c>
      <c r="H459" s="26">
        <v>0</v>
      </c>
      <c r="I459" s="26">
        <v>0</v>
      </c>
      <c r="J459" s="26">
        <v>0</v>
      </c>
      <c r="K459" s="26">
        <v>0</v>
      </c>
      <c r="L459" s="27">
        <v>0</v>
      </c>
    </row>
    <row r="460" spans="1:12">
      <c r="A460" s="24" t="s">
        <v>196</v>
      </c>
      <c r="B460" s="24" t="s">
        <v>324</v>
      </c>
      <c r="C460" s="25">
        <v>45689</v>
      </c>
      <c r="D460" s="24" t="s">
        <v>2658</v>
      </c>
      <c r="E460" s="26">
        <v>0</v>
      </c>
      <c r="F460" s="26">
        <v>0</v>
      </c>
      <c r="G460" s="26">
        <v>0</v>
      </c>
      <c r="H460" s="26">
        <v>0</v>
      </c>
      <c r="I460" s="26">
        <v>0</v>
      </c>
      <c r="J460" s="26">
        <v>0</v>
      </c>
      <c r="K460" s="26">
        <v>0</v>
      </c>
      <c r="L460" s="27">
        <v>0</v>
      </c>
    </row>
    <row r="461" spans="1:12">
      <c r="A461" s="24" t="s">
        <v>196</v>
      </c>
      <c r="B461" s="24" t="s">
        <v>324</v>
      </c>
      <c r="C461" s="25">
        <v>45717</v>
      </c>
      <c r="D461" s="24" t="s">
        <v>2659</v>
      </c>
      <c r="E461" s="26">
        <v>0</v>
      </c>
      <c r="F461" s="26">
        <v>0</v>
      </c>
      <c r="G461" s="26">
        <v>0</v>
      </c>
      <c r="H461" s="26">
        <v>0</v>
      </c>
      <c r="I461" s="26">
        <v>0</v>
      </c>
      <c r="J461" s="26">
        <v>0</v>
      </c>
      <c r="K461" s="26">
        <v>0</v>
      </c>
      <c r="L461" s="27">
        <v>0</v>
      </c>
    </row>
    <row r="462" spans="1:12">
      <c r="A462" s="24" t="s">
        <v>196</v>
      </c>
      <c r="B462" s="24" t="s">
        <v>324</v>
      </c>
      <c r="C462" s="25">
        <v>45748</v>
      </c>
      <c r="D462" s="24" t="s">
        <v>2660</v>
      </c>
      <c r="E462" s="26">
        <v>0</v>
      </c>
      <c r="F462" s="26">
        <v>0</v>
      </c>
      <c r="G462" s="26">
        <v>0</v>
      </c>
      <c r="H462" s="26">
        <v>0</v>
      </c>
      <c r="I462" s="26">
        <v>0</v>
      </c>
      <c r="J462" s="26">
        <v>0</v>
      </c>
      <c r="K462" s="26">
        <v>0</v>
      </c>
      <c r="L462" s="27">
        <v>0</v>
      </c>
    </row>
    <row r="463" spans="1:12">
      <c r="A463" s="24" t="s">
        <v>196</v>
      </c>
      <c r="B463" s="24" t="s">
        <v>324</v>
      </c>
      <c r="C463" s="25">
        <v>45778</v>
      </c>
      <c r="D463" s="24" t="s">
        <v>2661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7">
        <v>0</v>
      </c>
    </row>
    <row r="464" spans="1:12">
      <c r="A464" s="24" t="s">
        <v>196</v>
      </c>
      <c r="B464" s="24" t="s">
        <v>324</v>
      </c>
      <c r="C464" s="25">
        <v>45809</v>
      </c>
      <c r="D464" s="24" t="s">
        <v>2662</v>
      </c>
      <c r="E464" s="26">
        <v>0</v>
      </c>
      <c r="F464" s="26">
        <v>0</v>
      </c>
      <c r="G464" s="26">
        <v>0</v>
      </c>
      <c r="H464" s="26">
        <v>0</v>
      </c>
      <c r="I464" s="26">
        <v>0</v>
      </c>
      <c r="J464" s="26">
        <v>0</v>
      </c>
      <c r="K464" s="26">
        <v>0</v>
      </c>
      <c r="L464" s="27">
        <v>0</v>
      </c>
    </row>
    <row r="465" spans="1:12">
      <c r="A465" s="24" t="s">
        <v>196</v>
      </c>
      <c r="B465" s="24" t="s">
        <v>324</v>
      </c>
      <c r="C465" s="25">
        <v>45839</v>
      </c>
      <c r="D465" s="24" t="s">
        <v>2663</v>
      </c>
      <c r="E465" s="26">
        <v>0</v>
      </c>
      <c r="F465" s="26">
        <v>0</v>
      </c>
      <c r="G465" s="26">
        <v>0</v>
      </c>
      <c r="H465" s="26">
        <v>0</v>
      </c>
      <c r="I465" s="26">
        <v>0</v>
      </c>
      <c r="J465" s="26">
        <v>0</v>
      </c>
      <c r="K465" s="26">
        <v>0</v>
      </c>
      <c r="L465" s="27">
        <v>0</v>
      </c>
    </row>
    <row r="466" spans="1:12">
      <c r="A466" s="24" t="s">
        <v>196</v>
      </c>
      <c r="B466" s="24" t="s">
        <v>324</v>
      </c>
      <c r="C466" s="25">
        <v>45870</v>
      </c>
      <c r="D466" s="24" t="s">
        <v>2664</v>
      </c>
      <c r="E466" s="26">
        <v>0</v>
      </c>
      <c r="F466" s="26">
        <v>20787.86</v>
      </c>
      <c r="G466" s="26">
        <v>-20787.86</v>
      </c>
      <c r="H466" s="26">
        <v>0</v>
      </c>
      <c r="I466" s="26">
        <v>-20787.86</v>
      </c>
      <c r="J466" s="26">
        <v>0</v>
      </c>
      <c r="K466" s="26">
        <v>-20787.86</v>
      </c>
      <c r="L466" s="27">
        <v>1</v>
      </c>
    </row>
    <row r="467" spans="1:12">
      <c r="A467" s="24" t="s">
        <v>196</v>
      </c>
      <c r="B467" s="24" t="s">
        <v>324</v>
      </c>
      <c r="C467" s="25">
        <v>45901</v>
      </c>
      <c r="D467" s="24" t="s">
        <v>2665</v>
      </c>
      <c r="E467" s="26">
        <v>9194.6200000000008</v>
      </c>
      <c r="F467" s="26">
        <v>0</v>
      </c>
      <c r="G467" s="26">
        <v>9194.6200000000008</v>
      </c>
      <c r="H467" s="26">
        <v>0</v>
      </c>
      <c r="I467" s="26">
        <v>9194.6200000000008</v>
      </c>
      <c r="J467" s="26">
        <v>0</v>
      </c>
      <c r="K467" s="26">
        <v>9194.6200000000008</v>
      </c>
      <c r="L467" s="27">
        <v>1</v>
      </c>
    </row>
    <row r="468" spans="1:12">
      <c r="A468" s="24" t="s">
        <v>196</v>
      </c>
      <c r="B468" s="24" t="s">
        <v>324</v>
      </c>
      <c r="C468" s="25">
        <v>45931</v>
      </c>
      <c r="D468" s="24" t="s">
        <v>2666</v>
      </c>
      <c r="E468" s="26">
        <v>0</v>
      </c>
      <c r="F468" s="26">
        <v>0</v>
      </c>
      <c r="G468" s="26">
        <v>0</v>
      </c>
      <c r="H468" s="26">
        <v>0</v>
      </c>
      <c r="I468" s="26">
        <v>0</v>
      </c>
      <c r="J468" s="26">
        <v>0</v>
      </c>
      <c r="K468" s="26">
        <v>0</v>
      </c>
      <c r="L468" s="27">
        <v>0</v>
      </c>
    </row>
    <row r="469" spans="1:12">
      <c r="A469" s="24" t="s">
        <v>196</v>
      </c>
      <c r="B469" s="24" t="s">
        <v>324</v>
      </c>
      <c r="C469" s="25">
        <v>45962</v>
      </c>
      <c r="D469" s="24" t="s">
        <v>2667</v>
      </c>
      <c r="E469" s="26">
        <v>10940.08</v>
      </c>
      <c r="F469" s="26">
        <v>0</v>
      </c>
      <c r="G469" s="26">
        <v>10940.08</v>
      </c>
      <c r="H469" s="26">
        <v>55609.77</v>
      </c>
      <c r="I469" s="26">
        <v>-44669.69</v>
      </c>
      <c r="J469" s="26">
        <v>0</v>
      </c>
      <c r="K469" s="26">
        <v>-44669.69</v>
      </c>
      <c r="L469" s="27">
        <v>-4.0831227925207134</v>
      </c>
    </row>
    <row r="470" spans="1:12">
      <c r="A470" s="24" t="s">
        <v>196</v>
      </c>
      <c r="B470" s="24" t="s">
        <v>324</v>
      </c>
      <c r="C470" s="25">
        <v>45992</v>
      </c>
      <c r="D470" s="24" t="s">
        <v>2668</v>
      </c>
      <c r="E470" s="26">
        <v>9838.8799999999992</v>
      </c>
      <c r="F470" s="26">
        <v>0</v>
      </c>
      <c r="G470" s="26">
        <v>9838.8799999999992</v>
      </c>
      <c r="H470" s="26">
        <v>0</v>
      </c>
      <c r="I470" s="26">
        <v>9838.8799999999992</v>
      </c>
      <c r="J470" s="26">
        <v>0</v>
      </c>
      <c r="K470" s="26">
        <v>9838.8799999999992</v>
      </c>
      <c r="L470" s="27">
        <v>1</v>
      </c>
    </row>
    <row r="471" spans="1:12">
      <c r="A471" s="24" t="s">
        <v>295</v>
      </c>
      <c r="B471" s="24" t="s">
        <v>318</v>
      </c>
      <c r="C471" s="25">
        <v>45658</v>
      </c>
      <c r="D471" s="24" t="s">
        <v>2657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7">
        <v>0</v>
      </c>
    </row>
    <row r="472" spans="1:12">
      <c r="A472" s="24" t="s">
        <v>295</v>
      </c>
      <c r="B472" s="24" t="s">
        <v>318</v>
      </c>
      <c r="C472" s="25">
        <v>45689</v>
      </c>
      <c r="D472" s="24" t="s">
        <v>2658</v>
      </c>
      <c r="E472" s="26">
        <v>0</v>
      </c>
      <c r="F472" s="26">
        <v>0</v>
      </c>
      <c r="G472" s="26">
        <v>0</v>
      </c>
      <c r="H472" s="26">
        <v>0</v>
      </c>
      <c r="I472" s="26">
        <v>0</v>
      </c>
      <c r="J472" s="26">
        <v>0</v>
      </c>
      <c r="K472" s="26">
        <v>0</v>
      </c>
      <c r="L472" s="27">
        <v>0</v>
      </c>
    </row>
    <row r="473" spans="1:12">
      <c r="A473" s="24" t="s">
        <v>295</v>
      </c>
      <c r="B473" s="24" t="s">
        <v>318</v>
      </c>
      <c r="C473" s="25">
        <v>45717</v>
      </c>
      <c r="D473" s="24" t="s">
        <v>2659</v>
      </c>
      <c r="E473" s="26">
        <v>0</v>
      </c>
      <c r="F473" s="26">
        <v>0</v>
      </c>
      <c r="G473" s="26">
        <v>0</v>
      </c>
      <c r="H473" s="26">
        <v>0</v>
      </c>
      <c r="I473" s="26">
        <v>0</v>
      </c>
      <c r="J473" s="26">
        <v>0</v>
      </c>
      <c r="K473" s="26">
        <v>0</v>
      </c>
      <c r="L473" s="27">
        <v>0</v>
      </c>
    </row>
    <row r="474" spans="1:12">
      <c r="A474" s="24" t="s">
        <v>295</v>
      </c>
      <c r="B474" s="24" t="s">
        <v>318</v>
      </c>
      <c r="C474" s="25">
        <v>45748</v>
      </c>
      <c r="D474" s="24" t="s">
        <v>2660</v>
      </c>
      <c r="E474" s="26">
        <v>0</v>
      </c>
      <c r="F474" s="26">
        <v>0</v>
      </c>
      <c r="G474" s="26">
        <v>0</v>
      </c>
      <c r="H474" s="26">
        <v>0</v>
      </c>
      <c r="I474" s="26">
        <v>0</v>
      </c>
      <c r="J474" s="26">
        <v>0</v>
      </c>
      <c r="K474" s="26">
        <v>0</v>
      </c>
      <c r="L474" s="27">
        <v>0</v>
      </c>
    </row>
    <row r="475" spans="1:12">
      <c r="A475" s="24" t="s">
        <v>295</v>
      </c>
      <c r="B475" s="24" t="s">
        <v>318</v>
      </c>
      <c r="C475" s="25">
        <v>45778</v>
      </c>
      <c r="D475" s="24" t="s">
        <v>2661</v>
      </c>
      <c r="E475" s="26">
        <v>0</v>
      </c>
      <c r="F475" s="26">
        <v>0</v>
      </c>
      <c r="G475" s="26">
        <v>0</v>
      </c>
      <c r="H475" s="26">
        <v>0</v>
      </c>
      <c r="I475" s="26">
        <v>0</v>
      </c>
      <c r="J475" s="26">
        <v>0</v>
      </c>
      <c r="K475" s="26">
        <v>0</v>
      </c>
      <c r="L475" s="27">
        <v>0</v>
      </c>
    </row>
    <row r="476" spans="1:12">
      <c r="A476" s="24" t="s">
        <v>295</v>
      </c>
      <c r="B476" s="24" t="s">
        <v>318</v>
      </c>
      <c r="C476" s="25">
        <v>45809</v>
      </c>
      <c r="D476" s="24" t="s">
        <v>2662</v>
      </c>
      <c r="E476" s="26">
        <v>0</v>
      </c>
      <c r="F476" s="26">
        <v>0</v>
      </c>
      <c r="G476" s="26">
        <v>0</v>
      </c>
      <c r="H476" s="26">
        <v>0</v>
      </c>
      <c r="I476" s="26">
        <v>0</v>
      </c>
      <c r="J476" s="26">
        <v>0</v>
      </c>
      <c r="K476" s="26">
        <v>0</v>
      </c>
      <c r="L476" s="27">
        <v>0</v>
      </c>
    </row>
    <row r="477" spans="1:12">
      <c r="A477" s="24" t="s">
        <v>295</v>
      </c>
      <c r="B477" s="24" t="s">
        <v>318</v>
      </c>
      <c r="C477" s="25">
        <v>45839</v>
      </c>
      <c r="D477" s="24" t="s">
        <v>2663</v>
      </c>
      <c r="E477" s="26">
        <v>86635.5</v>
      </c>
      <c r="F477" s="26">
        <v>0</v>
      </c>
      <c r="G477" s="26">
        <v>86635.5</v>
      </c>
      <c r="H477" s="26">
        <v>0</v>
      </c>
      <c r="I477" s="26">
        <v>86635.5</v>
      </c>
      <c r="J477" s="26">
        <v>0</v>
      </c>
      <c r="K477" s="26">
        <v>86635.5</v>
      </c>
      <c r="L477" s="27">
        <v>1</v>
      </c>
    </row>
    <row r="478" spans="1:12">
      <c r="A478" s="24" t="s">
        <v>295</v>
      </c>
      <c r="B478" s="24" t="s">
        <v>318</v>
      </c>
      <c r="C478" s="25">
        <v>45870</v>
      </c>
      <c r="D478" s="24" t="s">
        <v>2664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7">
        <v>0</v>
      </c>
    </row>
    <row r="479" spans="1:12">
      <c r="A479" s="24" t="s">
        <v>295</v>
      </c>
      <c r="B479" s="24" t="s">
        <v>318</v>
      </c>
      <c r="C479" s="25">
        <v>45901</v>
      </c>
      <c r="D479" s="24" t="s">
        <v>2665</v>
      </c>
      <c r="E479" s="26">
        <v>92693.5</v>
      </c>
      <c r="F479" s="26">
        <v>0</v>
      </c>
      <c r="G479" s="26">
        <v>92693.5</v>
      </c>
      <c r="H479" s="26">
        <v>96377.27</v>
      </c>
      <c r="I479" s="26">
        <v>-3683.7700000000041</v>
      </c>
      <c r="J479" s="26">
        <v>0</v>
      </c>
      <c r="K479" s="26">
        <v>-3683.7700000000041</v>
      </c>
      <c r="L479" s="27">
        <v>-3.9741405815941828E-2</v>
      </c>
    </row>
    <row r="480" spans="1:12">
      <c r="A480" s="24" t="s">
        <v>295</v>
      </c>
      <c r="B480" s="24" t="s">
        <v>318</v>
      </c>
      <c r="C480" s="25">
        <v>45931</v>
      </c>
      <c r="D480" s="24" t="s">
        <v>2666</v>
      </c>
      <c r="E480" s="26">
        <v>0</v>
      </c>
      <c r="F480" s="26">
        <v>0</v>
      </c>
      <c r="G480" s="26">
        <v>0</v>
      </c>
      <c r="H480" s="26">
        <v>108959.85</v>
      </c>
      <c r="I480" s="26">
        <v>-108959.85</v>
      </c>
      <c r="J480" s="26">
        <v>0</v>
      </c>
      <c r="K480" s="26">
        <v>-108959.85</v>
      </c>
      <c r="L480" s="27">
        <v>0</v>
      </c>
    </row>
    <row r="481" spans="1:12">
      <c r="A481" s="24" t="s">
        <v>295</v>
      </c>
      <c r="B481" s="24" t="s">
        <v>318</v>
      </c>
      <c r="C481" s="25">
        <v>45962</v>
      </c>
      <c r="D481" s="24" t="s">
        <v>2667</v>
      </c>
      <c r="E481" s="26">
        <v>0</v>
      </c>
      <c r="F481" s="26">
        <v>0</v>
      </c>
      <c r="G481" s="26">
        <v>0</v>
      </c>
      <c r="H481" s="26">
        <v>67706.570000000007</v>
      </c>
      <c r="I481" s="26">
        <v>-67706.570000000007</v>
      </c>
      <c r="J481" s="26">
        <v>0</v>
      </c>
      <c r="K481" s="26">
        <v>-67706.570000000007</v>
      </c>
      <c r="L481" s="27">
        <v>0</v>
      </c>
    </row>
    <row r="482" spans="1:12">
      <c r="A482" s="24" t="s">
        <v>295</v>
      </c>
      <c r="B482" s="24" t="s">
        <v>318</v>
      </c>
      <c r="C482" s="25">
        <v>45992</v>
      </c>
      <c r="D482" s="24" t="s">
        <v>2668</v>
      </c>
      <c r="E482" s="26">
        <v>122071.22</v>
      </c>
      <c r="F482" s="26">
        <v>0</v>
      </c>
      <c r="G482" s="26">
        <v>122071.22</v>
      </c>
      <c r="H482" s="26">
        <v>87478.45</v>
      </c>
      <c r="I482" s="26">
        <v>34592.769999999997</v>
      </c>
      <c r="J482" s="26">
        <v>0</v>
      </c>
      <c r="K482" s="26">
        <v>34592.769999999997</v>
      </c>
      <c r="L482" s="27">
        <v>0.28338186511120322</v>
      </c>
    </row>
    <row r="483" spans="1:12">
      <c r="A483" s="24" t="s">
        <v>199</v>
      </c>
      <c r="B483" s="24" t="s">
        <v>324</v>
      </c>
      <c r="C483" s="25">
        <v>45658</v>
      </c>
      <c r="D483" s="24" t="s">
        <v>2657</v>
      </c>
      <c r="E483" s="26">
        <v>0</v>
      </c>
      <c r="F483" s="26">
        <v>0</v>
      </c>
      <c r="G483" s="26">
        <v>0</v>
      </c>
      <c r="H483" s="26">
        <v>0</v>
      </c>
      <c r="I483" s="26">
        <v>0</v>
      </c>
      <c r="J483" s="26">
        <v>0</v>
      </c>
      <c r="K483" s="26">
        <v>0</v>
      </c>
      <c r="L483" s="27">
        <v>0</v>
      </c>
    </row>
    <row r="484" spans="1:12">
      <c r="A484" s="24" t="s">
        <v>199</v>
      </c>
      <c r="B484" s="24" t="s">
        <v>324</v>
      </c>
      <c r="C484" s="25">
        <v>45689</v>
      </c>
      <c r="D484" s="24" t="s">
        <v>2658</v>
      </c>
      <c r="E484" s="26">
        <v>0</v>
      </c>
      <c r="F484" s="26">
        <v>0</v>
      </c>
      <c r="G484" s="26">
        <v>0</v>
      </c>
      <c r="H484" s="26">
        <v>0</v>
      </c>
      <c r="I484" s="26">
        <v>0</v>
      </c>
      <c r="J484" s="26">
        <v>0</v>
      </c>
      <c r="K484" s="26">
        <v>0</v>
      </c>
      <c r="L484" s="27">
        <v>0</v>
      </c>
    </row>
    <row r="485" spans="1:12">
      <c r="A485" s="24" t="s">
        <v>199</v>
      </c>
      <c r="B485" s="24" t="s">
        <v>324</v>
      </c>
      <c r="C485" s="25">
        <v>45717</v>
      </c>
      <c r="D485" s="24" t="s">
        <v>2659</v>
      </c>
      <c r="E485" s="26">
        <v>0</v>
      </c>
      <c r="F485" s="26">
        <v>0</v>
      </c>
      <c r="G485" s="26">
        <v>0</v>
      </c>
      <c r="H485" s="26">
        <v>0</v>
      </c>
      <c r="I485" s="26">
        <v>0</v>
      </c>
      <c r="J485" s="26">
        <v>0</v>
      </c>
      <c r="K485" s="26">
        <v>0</v>
      </c>
      <c r="L485" s="27">
        <v>0</v>
      </c>
    </row>
    <row r="486" spans="1:12">
      <c r="A486" s="24" t="s">
        <v>199</v>
      </c>
      <c r="B486" s="24" t="s">
        <v>324</v>
      </c>
      <c r="C486" s="25">
        <v>45748</v>
      </c>
      <c r="D486" s="24" t="s">
        <v>2660</v>
      </c>
      <c r="E486" s="26">
        <v>0</v>
      </c>
      <c r="F486" s="26">
        <v>0</v>
      </c>
      <c r="G486" s="26">
        <v>0</v>
      </c>
      <c r="H486" s="26">
        <v>0</v>
      </c>
      <c r="I486" s="26">
        <v>0</v>
      </c>
      <c r="J486" s="26">
        <v>0</v>
      </c>
      <c r="K486" s="26">
        <v>0</v>
      </c>
      <c r="L486" s="27">
        <v>0</v>
      </c>
    </row>
    <row r="487" spans="1:12">
      <c r="A487" s="24" t="s">
        <v>199</v>
      </c>
      <c r="B487" s="24" t="s">
        <v>324</v>
      </c>
      <c r="C487" s="25">
        <v>45778</v>
      </c>
      <c r="D487" s="24" t="s">
        <v>2661</v>
      </c>
      <c r="E487" s="26">
        <v>0</v>
      </c>
      <c r="F487" s="26">
        <v>0</v>
      </c>
      <c r="G487" s="26">
        <v>0</v>
      </c>
      <c r="H487" s="26">
        <v>0</v>
      </c>
      <c r="I487" s="26">
        <v>0</v>
      </c>
      <c r="J487" s="26">
        <v>0</v>
      </c>
      <c r="K487" s="26">
        <v>0</v>
      </c>
      <c r="L487" s="27">
        <v>0</v>
      </c>
    </row>
    <row r="488" spans="1:12">
      <c r="A488" s="24" t="s">
        <v>199</v>
      </c>
      <c r="B488" s="24" t="s">
        <v>324</v>
      </c>
      <c r="C488" s="25">
        <v>45809</v>
      </c>
      <c r="D488" s="24" t="s">
        <v>2662</v>
      </c>
      <c r="E488" s="26">
        <v>0</v>
      </c>
      <c r="F488" s="26">
        <v>0</v>
      </c>
      <c r="G488" s="26">
        <v>0</v>
      </c>
      <c r="H488" s="26">
        <v>0</v>
      </c>
      <c r="I488" s="26">
        <v>0</v>
      </c>
      <c r="J488" s="26">
        <v>0</v>
      </c>
      <c r="K488" s="26">
        <v>0</v>
      </c>
      <c r="L488" s="27">
        <v>0</v>
      </c>
    </row>
    <row r="489" spans="1:12">
      <c r="A489" s="24" t="s">
        <v>199</v>
      </c>
      <c r="B489" s="24" t="s">
        <v>324</v>
      </c>
      <c r="C489" s="25">
        <v>45839</v>
      </c>
      <c r="D489" s="24" t="s">
        <v>2663</v>
      </c>
      <c r="E489" s="26">
        <v>0</v>
      </c>
      <c r="F489" s="26">
        <v>0</v>
      </c>
      <c r="G489" s="26">
        <v>0</v>
      </c>
      <c r="H489" s="26">
        <v>0</v>
      </c>
      <c r="I489" s="26">
        <v>0</v>
      </c>
      <c r="J489" s="26">
        <v>0</v>
      </c>
      <c r="K489" s="26">
        <v>0</v>
      </c>
      <c r="L489" s="27">
        <v>0</v>
      </c>
    </row>
    <row r="490" spans="1:12">
      <c r="A490" s="24" t="s">
        <v>199</v>
      </c>
      <c r="B490" s="24" t="s">
        <v>324</v>
      </c>
      <c r="C490" s="25">
        <v>45870</v>
      </c>
      <c r="D490" s="24" t="s">
        <v>2664</v>
      </c>
      <c r="E490" s="26">
        <v>0</v>
      </c>
      <c r="F490" s="26">
        <v>0</v>
      </c>
      <c r="G490" s="26">
        <v>0</v>
      </c>
      <c r="H490" s="26">
        <v>0</v>
      </c>
      <c r="I490" s="26">
        <v>0</v>
      </c>
      <c r="J490" s="26">
        <v>0</v>
      </c>
      <c r="K490" s="26">
        <v>0</v>
      </c>
      <c r="L490" s="27">
        <v>0</v>
      </c>
    </row>
    <row r="491" spans="1:12">
      <c r="A491" s="24" t="s">
        <v>199</v>
      </c>
      <c r="B491" s="24" t="s">
        <v>324</v>
      </c>
      <c r="C491" s="25">
        <v>45901</v>
      </c>
      <c r="D491" s="24" t="s">
        <v>2665</v>
      </c>
      <c r="E491" s="26">
        <v>0</v>
      </c>
      <c r="F491" s="26">
        <v>0</v>
      </c>
      <c r="G491" s="26">
        <v>0</v>
      </c>
      <c r="H491" s="26">
        <v>69387.179999999993</v>
      </c>
      <c r="I491" s="26">
        <v>-69387.179999999993</v>
      </c>
      <c r="J491" s="26">
        <v>0</v>
      </c>
      <c r="K491" s="26">
        <v>-69387.179999999993</v>
      </c>
      <c r="L491" s="27">
        <v>0</v>
      </c>
    </row>
    <row r="492" spans="1:12">
      <c r="A492" s="24" t="s">
        <v>199</v>
      </c>
      <c r="B492" s="24" t="s">
        <v>324</v>
      </c>
      <c r="C492" s="25">
        <v>45931</v>
      </c>
      <c r="D492" s="24" t="s">
        <v>2666</v>
      </c>
      <c r="E492" s="26">
        <v>9817.7800000000007</v>
      </c>
      <c r="F492" s="26">
        <v>0</v>
      </c>
      <c r="G492" s="26">
        <v>9817.7800000000007</v>
      </c>
      <c r="H492" s="26">
        <v>0</v>
      </c>
      <c r="I492" s="26">
        <v>9817.7800000000007</v>
      </c>
      <c r="J492" s="26">
        <v>0</v>
      </c>
      <c r="K492" s="26">
        <v>9817.7800000000007</v>
      </c>
      <c r="L492" s="27">
        <v>1</v>
      </c>
    </row>
    <row r="493" spans="1:12">
      <c r="A493" s="24" t="s">
        <v>199</v>
      </c>
      <c r="B493" s="24" t="s">
        <v>324</v>
      </c>
      <c r="C493" s="25">
        <v>45962</v>
      </c>
      <c r="D493" s="24" t="s">
        <v>2667</v>
      </c>
      <c r="E493" s="26">
        <v>0</v>
      </c>
      <c r="F493" s="26">
        <v>0</v>
      </c>
      <c r="G493" s="26">
        <v>0</v>
      </c>
      <c r="H493" s="26">
        <v>0</v>
      </c>
      <c r="I493" s="26">
        <v>0</v>
      </c>
      <c r="J493" s="26">
        <v>0</v>
      </c>
      <c r="K493" s="26">
        <v>0</v>
      </c>
      <c r="L493" s="27">
        <v>0</v>
      </c>
    </row>
    <row r="494" spans="1:12">
      <c r="A494" s="24" t="s">
        <v>199</v>
      </c>
      <c r="B494" s="24" t="s">
        <v>324</v>
      </c>
      <c r="C494" s="25">
        <v>45992</v>
      </c>
      <c r="D494" s="24" t="s">
        <v>2668</v>
      </c>
      <c r="E494" s="26">
        <v>0</v>
      </c>
      <c r="F494" s="26">
        <v>0</v>
      </c>
      <c r="G494" s="26">
        <v>0</v>
      </c>
      <c r="H494" s="26">
        <v>0</v>
      </c>
      <c r="I494" s="26">
        <v>0</v>
      </c>
      <c r="J494" s="26">
        <v>0</v>
      </c>
      <c r="K494" s="26">
        <v>0</v>
      </c>
      <c r="L494" s="27">
        <v>0</v>
      </c>
    </row>
    <row r="495" spans="1:12">
      <c r="A495" s="24" t="s">
        <v>171</v>
      </c>
      <c r="B495" s="24" t="s">
        <v>337</v>
      </c>
      <c r="C495" s="25">
        <v>45658</v>
      </c>
      <c r="D495" s="24" t="s">
        <v>2657</v>
      </c>
      <c r="E495" s="26">
        <v>0</v>
      </c>
      <c r="F495" s="26">
        <v>0</v>
      </c>
      <c r="G495" s="26">
        <v>0</v>
      </c>
      <c r="H495" s="26">
        <v>0</v>
      </c>
      <c r="I495" s="26">
        <v>0</v>
      </c>
      <c r="J495" s="26">
        <v>0</v>
      </c>
      <c r="K495" s="26">
        <v>0</v>
      </c>
      <c r="L495" s="27">
        <v>0</v>
      </c>
    </row>
    <row r="496" spans="1:12">
      <c r="A496" s="24" t="s">
        <v>171</v>
      </c>
      <c r="B496" s="24" t="s">
        <v>337</v>
      </c>
      <c r="C496" s="25">
        <v>45689</v>
      </c>
      <c r="D496" s="24" t="s">
        <v>2658</v>
      </c>
      <c r="E496" s="26">
        <v>0</v>
      </c>
      <c r="F496" s="26">
        <v>0</v>
      </c>
      <c r="G496" s="26">
        <v>0</v>
      </c>
      <c r="H496" s="26">
        <v>0</v>
      </c>
      <c r="I496" s="26">
        <v>0</v>
      </c>
      <c r="J496" s="26">
        <v>0</v>
      </c>
      <c r="K496" s="26">
        <v>0</v>
      </c>
      <c r="L496" s="27">
        <v>0</v>
      </c>
    </row>
    <row r="497" spans="1:12">
      <c r="A497" s="24" t="s">
        <v>171</v>
      </c>
      <c r="B497" s="24" t="s">
        <v>337</v>
      </c>
      <c r="C497" s="25">
        <v>45717</v>
      </c>
      <c r="D497" s="24" t="s">
        <v>2659</v>
      </c>
      <c r="E497" s="26">
        <v>0</v>
      </c>
      <c r="F497" s="26">
        <v>0</v>
      </c>
      <c r="G497" s="26">
        <v>0</v>
      </c>
      <c r="H497" s="26">
        <v>0</v>
      </c>
      <c r="I497" s="26">
        <v>0</v>
      </c>
      <c r="J497" s="26">
        <v>0</v>
      </c>
      <c r="K497" s="26">
        <v>0</v>
      </c>
      <c r="L497" s="27">
        <v>0</v>
      </c>
    </row>
    <row r="498" spans="1:12">
      <c r="A498" s="24" t="s">
        <v>171</v>
      </c>
      <c r="B498" s="24" t="s">
        <v>337</v>
      </c>
      <c r="C498" s="25">
        <v>45748</v>
      </c>
      <c r="D498" s="24" t="s">
        <v>2660</v>
      </c>
      <c r="E498" s="26">
        <v>0</v>
      </c>
      <c r="F498" s="26">
        <v>0</v>
      </c>
      <c r="G498" s="26">
        <v>0</v>
      </c>
      <c r="H498" s="26">
        <v>0</v>
      </c>
      <c r="I498" s="26">
        <v>0</v>
      </c>
      <c r="J498" s="26">
        <v>0</v>
      </c>
      <c r="K498" s="26">
        <v>0</v>
      </c>
      <c r="L498" s="27">
        <v>0</v>
      </c>
    </row>
    <row r="499" spans="1:12">
      <c r="A499" s="24" t="s">
        <v>171</v>
      </c>
      <c r="B499" s="24" t="s">
        <v>337</v>
      </c>
      <c r="C499" s="25">
        <v>45778</v>
      </c>
      <c r="D499" s="24" t="s">
        <v>2661</v>
      </c>
      <c r="E499" s="26">
        <v>0</v>
      </c>
      <c r="F499" s="26">
        <v>0</v>
      </c>
      <c r="G499" s="26">
        <v>0</v>
      </c>
      <c r="H499" s="26">
        <v>0</v>
      </c>
      <c r="I499" s="26">
        <v>0</v>
      </c>
      <c r="J499" s="26">
        <v>0</v>
      </c>
      <c r="K499" s="26">
        <v>0</v>
      </c>
      <c r="L499" s="27">
        <v>0</v>
      </c>
    </row>
    <row r="500" spans="1:12">
      <c r="A500" s="24" t="s">
        <v>171</v>
      </c>
      <c r="B500" s="24" t="s">
        <v>337</v>
      </c>
      <c r="C500" s="25">
        <v>45809</v>
      </c>
      <c r="D500" s="24" t="s">
        <v>2662</v>
      </c>
      <c r="E500" s="26">
        <v>0</v>
      </c>
      <c r="F500" s="26">
        <v>0</v>
      </c>
      <c r="G500" s="26">
        <v>0</v>
      </c>
      <c r="H500" s="26">
        <v>0</v>
      </c>
      <c r="I500" s="26">
        <v>0</v>
      </c>
      <c r="J500" s="26">
        <v>0</v>
      </c>
      <c r="K500" s="26">
        <v>0</v>
      </c>
      <c r="L500" s="27">
        <v>0</v>
      </c>
    </row>
    <row r="501" spans="1:12">
      <c r="A501" s="24" t="s">
        <v>171</v>
      </c>
      <c r="B501" s="24" t="s">
        <v>337</v>
      </c>
      <c r="C501" s="25">
        <v>45839</v>
      </c>
      <c r="D501" s="24" t="s">
        <v>2663</v>
      </c>
      <c r="E501" s="26">
        <v>0</v>
      </c>
      <c r="F501" s="26">
        <v>0</v>
      </c>
      <c r="G501" s="26">
        <v>0</v>
      </c>
      <c r="H501" s="26">
        <v>0</v>
      </c>
      <c r="I501" s="26">
        <v>0</v>
      </c>
      <c r="J501" s="26">
        <v>0</v>
      </c>
      <c r="K501" s="26">
        <v>0</v>
      </c>
      <c r="L501" s="27">
        <v>0</v>
      </c>
    </row>
    <row r="502" spans="1:12">
      <c r="A502" s="24" t="s">
        <v>171</v>
      </c>
      <c r="B502" s="24" t="s">
        <v>337</v>
      </c>
      <c r="C502" s="25">
        <v>45870</v>
      </c>
      <c r="D502" s="24" t="s">
        <v>2664</v>
      </c>
      <c r="E502" s="26">
        <v>0</v>
      </c>
      <c r="F502" s="26">
        <v>52650.73</v>
      </c>
      <c r="G502" s="26">
        <v>-52650.73</v>
      </c>
      <c r="H502" s="26">
        <v>0</v>
      </c>
      <c r="I502" s="26">
        <v>-52650.73</v>
      </c>
      <c r="J502" s="26">
        <v>0</v>
      </c>
      <c r="K502" s="26">
        <v>-52650.73</v>
      </c>
      <c r="L502" s="27">
        <v>1</v>
      </c>
    </row>
    <row r="503" spans="1:12">
      <c r="A503" s="24" t="s">
        <v>171</v>
      </c>
      <c r="B503" s="24" t="s">
        <v>337</v>
      </c>
      <c r="C503" s="25">
        <v>45901</v>
      </c>
      <c r="D503" s="24" t="s">
        <v>2665</v>
      </c>
      <c r="E503" s="26">
        <v>0</v>
      </c>
      <c r="F503" s="26">
        <v>32363.88</v>
      </c>
      <c r="G503" s="26">
        <v>-32363.88</v>
      </c>
      <c r="H503" s="26">
        <v>75907.179999999993</v>
      </c>
      <c r="I503" s="26">
        <v>-108271.06</v>
      </c>
      <c r="J503" s="26">
        <v>0</v>
      </c>
      <c r="K503" s="26">
        <v>-108271.06</v>
      </c>
      <c r="L503" s="27">
        <v>3.3454289164339999</v>
      </c>
    </row>
    <row r="504" spans="1:12">
      <c r="A504" s="24" t="s">
        <v>171</v>
      </c>
      <c r="B504" s="24" t="s">
        <v>337</v>
      </c>
      <c r="C504" s="25">
        <v>45931</v>
      </c>
      <c r="D504" s="24" t="s">
        <v>2666</v>
      </c>
      <c r="E504" s="26">
        <v>0</v>
      </c>
      <c r="F504" s="26">
        <v>51299.399999999987</v>
      </c>
      <c r="G504" s="26">
        <v>-51299.399999999987</v>
      </c>
      <c r="H504" s="26">
        <v>0</v>
      </c>
      <c r="I504" s="26">
        <v>-51299.399999999987</v>
      </c>
      <c r="J504" s="26">
        <v>0</v>
      </c>
      <c r="K504" s="26">
        <v>-51299.399999999987</v>
      </c>
      <c r="L504" s="27">
        <v>1</v>
      </c>
    </row>
    <row r="505" spans="1:12">
      <c r="A505" s="24" t="s">
        <v>171</v>
      </c>
      <c r="B505" s="24" t="s">
        <v>337</v>
      </c>
      <c r="C505" s="25">
        <v>45962</v>
      </c>
      <c r="D505" s="24" t="s">
        <v>2667</v>
      </c>
      <c r="E505" s="26">
        <v>0</v>
      </c>
      <c r="F505" s="26">
        <v>0</v>
      </c>
      <c r="G505" s="26">
        <v>0</v>
      </c>
      <c r="H505" s="26">
        <v>0</v>
      </c>
      <c r="I505" s="26">
        <v>0</v>
      </c>
      <c r="J505" s="26">
        <v>0</v>
      </c>
      <c r="K505" s="26">
        <v>0</v>
      </c>
      <c r="L505" s="27">
        <v>0</v>
      </c>
    </row>
    <row r="506" spans="1:12">
      <c r="A506" s="24" t="s">
        <v>171</v>
      </c>
      <c r="B506" s="24" t="s">
        <v>337</v>
      </c>
      <c r="C506" s="25">
        <v>45992</v>
      </c>
      <c r="D506" s="24" t="s">
        <v>2668</v>
      </c>
      <c r="E506" s="26">
        <v>0</v>
      </c>
      <c r="F506" s="26">
        <v>0</v>
      </c>
      <c r="G506" s="26">
        <v>0</v>
      </c>
      <c r="H506" s="26">
        <v>0</v>
      </c>
      <c r="I506" s="26">
        <v>0</v>
      </c>
      <c r="J506" s="26">
        <v>0</v>
      </c>
      <c r="K506" s="26">
        <v>0</v>
      </c>
      <c r="L506" s="27">
        <v>0</v>
      </c>
    </row>
    <row r="507" spans="1:12">
      <c r="A507" s="24" t="s">
        <v>11</v>
      </c>
      <c r="B507" s="24" t="s">
        <v>318</v>
      </c>
      <c r="C507" s="25">
        <v>45658</v>
      </c>
      <c r="D507" s="24" t="s">
        <v>2657</v>
      </c>
      <c r="E507" s="26">
        <v>0</v>
      </c>
      <c r="F507" s="26">
        <v>0</v>
      </c>
      <c r="G507" s="26">
        <v>0</v>
      </c>
      <c r="H507" s="26">
        <v>0</v>
      </c>
      <c r="I507" s="26">
        <v>0</v>
      </c>
      <c r="J507" s="26">
        <v>0</v>
      </c>
      <c r="K507" s="26">
        <v>0</v>
      </c>
      <c r="L507" s="27">
        <v>0</v>
      </c>
    </row>
    <row r="508" spans="1:12">
      <c r="A508" s="24" t="s">
        <v>11</v>
      </c>
      <c r="B508" s="24" t="s">
        <v>318</v>
      </c>
      <c r="C508" s="25">
        <v>45689</v>
      </c>
      <c r="D508" s="24" t="s">
        <v>2658</v>
      </c>
      <c r="E508" s="26">
        <v>0</v>
      </c>
      <c r="F508" s="26">
        <v>0</v>
      </c>
      <c r="G508" s="26">
        <v>0</v>
      </c>
      <c r="H508" s="26">
        <v>0</v>
      </c>
      <c r="I508" s="26">
        <v>0</v>
      </c>
      <c r="J508" s="26">
        <v>0</v>
      </c>
      <c r="K508" s="26">
        <v>0</v>
      </c>
      <c r="L508" s="27">
        <v>0</v>
      </c>
    </row>
    <row r="509" spans="1:12">
      <c r="A509" s="24" t="s">
        <v>11</v>
      </c>
      <c r="B509" s="24" t="s">
        <v>318</v>
      </c>
      <c r="C509" s="25">
        <v>45717</v>
      </c>
      <c r="D509" s="24" t="s">
        <v>2659</v>
      </c>
      <c r="E509" s="26">
        <v>0</v>
      </c>
      <c r="F509" s="26">
        <v>0</v>
      </c>
      <c r="G509" s="26">
        <v>0</v>
      </c>
      <c r="H509" s="26">
        <v>0</v>
      </c>
      <c r="I509" s="26">
        <v>0</v>
      </c>
      <c r="J509" s="26">
        <v>0</v>
      </c>
      <c r="K509" s="26">
        <v>0</v>
      </c>
      <c r="L509" s="27">
        <v>0</v>
      </c>
    </row>
    <row r="510" spans="1:12">
      <c r="A510" s="24" t="s">
        <v>11</v>
      </c>
      <c r="B510" s="24" t="s">
        <v>318</v>
      </c>
      <c r="C510" s="25">
        <v>45748</v>
      </c>
      <c r="D510" s="24" t="s">
        <v>2660</v>
      </c>
      <c r="E510" s="26">
        <v>0</v>
      </c>
      <c r="F510" s="26">
        <v>0</v>
      </c>
      <c r="G510" s="26">
        <v>0</v>
      </c>
      <c r="H510" s="26">
        <v>0</v>
      </c>
      <c r="I510" s="26">
        <v>0</v>
      </c>
      <c r="J510" s="26">
        <v>0</v>
      </c>
      <c r="K510" s="26">
        <v>0</v>
      </c>
      <c r="L510" s="27">
        <v>0</v>
      </c>
    </row>
    <row r="511" spans="1:12">
      <c r="A511" s="24" t="s">
        <v>11</v>
      </c>
      <c r="B511" s="24" t="s">
        <v>318</v>
      </c>
      <c r="C511" s="25">
        <v>45778</v>
      </c>
      <c r="D511" s="24" t="s">
        <v>2661</v>
      </c>
      <c r="E511" s="26">
        <v>0</v>
      </c>
      <c r="F511" s="26">
        <v>0</v>
      </c>
      <c r="G511" s="26">
        <v>0</v>
      </c>
      <c r="H511" s="26">
        <v>0</v>
      </c>
      <c r="I511" s="26">
        <v>0</v>
      </c>
      <c r="J511" s="26">
        <v>0</v>
      </c>
      <c r="K511" s="26">
        <v>0</v>
      </c>
      <c r="L511" s="27">
        <v>0</v>
      </c>
    </row>
    <row r="512" spans="1:12">
      <c r="A512" s="24" t="s">
        <v>11</v>
      </c>
      <c r="B512" s="24" t="s">
        <v>318</v>
      </c>
      <c r="C512" s="25">
        <v>45809</v>
      </c>
      <c r="D512" s="24" t="s">
        <v>2662</v>
      </c>
      <c r="E512" s="26">
        <v>0</v>
      </c>
      <c r="F512" s="26">
        <v>0</v>
      </c>
      <c r="G512" s="26">
        <v>0</v>
      </c>
      <c r="H512" s="26">
        <v>0</v>
      </c>
      <c r="I512" s="26">
        <v>0</v>
      </c>
      <c r="J512" s="26">
        <v>0</v>
      </c>
      <c r="K512" s="26">
        <v>0</v>
      </c>
      <c r="L512" s="27">
        <v>0</v>
      </c>
    </row>
    <row r="513" spans="1:12">
      <c r="A513" s="24" t="s">
        <v>11</v>
      </c>
      <c r="B513" s="24" t="s">
        <v>318</v>
      </c>
      <c r="C513" s="25">
        <v>45839</v>
      </c>
      <c r="D513" s="24" t="s">
        <v>2663</v>
      </c>
      <c r="E513" s="26">
        <v>0</v>
      </c>
      <c r="F513" s="26">
        <v>0</v>
      </c>
      <c r="G513" s="26">
        <v>0</v>
      </c>
      <c r="H513" s="26">
        <v>0</v>
      </c>
      <c r="I513" s="26">
        <v>0</v>
      </c>
      <c r="J513" s="26">
        <v>0</v>
      </c>
      <c r="K513" s="26">
        <v>0</v>
      </c>
      <c r="L513" s="27">
        <v>0</v>
      </c>
    </row>
    <row r="514" spans="1:12">
      <c r="A514" s="24" t="s">
        <v>11</v>
      </c>
      <c r="B514" s="24" t="s">
        <v>318</v>
      </c>
      <c r="C514" s="25">
        <v>45870</v>
      </c>
      <c r="D514" s="24" t="s">
        <v>2664</v>
      </c>
      <c r="E514" s="26">
        <v>0</v>
      </c>
      <c r="F514" s="26">
        <v>0</v>
      </c>
      <c r="G514" s="26">
        <v>0</v>
      </c>
      <c r="H514" s="26">
        <v>0</v>
      </c>
      <c r="I514" s="26">
        <v>0</v>
      </c>
      <c r="J514" s="26">
        <v>0</v>
      </c>
      <c r="K514" s="26">
        <v>0</v>
      </c>
      <c r="L514" s="27">
        <v>0</v>
      </c>
    </row>
    <row r="515" spans="1:12">
      <c r="A515" s="24" t="s">
        <v>11</v>
      </c>
      <c r="B515" s="24" t="s">
        <v>318</v>
      </c>
      <c r="C515" s="25">
        <v>45901</v>
      </c>
      <c r="D515" s="24" t="s">
        <v>2665</v>
      </c>
      <c r="E515" s="26">
        <v>0</v>
      </c>
      <c r="F515" s="26">
        <v>0</v>
      </c>
      <c r="G515" s="26">
        <v>0</v>
      </c>
      <c r="H515" s="26">
        <v>0</v>
      </c>
      <c r="I515" s="26">
        <v>0</v>
      </c>
      <c r="J515" s="26">
        <v>0</v>
      </c>
      <c r="K515" s="26">
        <v>0</v>
      </c>
      <c r="L515" s="27">
        <v>0</v>
      </c>
    </row>
    <row r="516" spans="1:12">
      <c r="A516" s="24" t="s">
        <v>11</v>
      </c>
      <c r="B516" s="24" t="s">
        <v>318</v>
      </c>
      <c r="C516" s="25">
        <v>45931</v>
      </c>
      <c r="D516" s="24" t="s">
        <v>2666</v>
      </c>
      <c r="E516" s="26">
        <v>0</v>
      </c>
      <c r="F516" s="26">
        <v>0</v>
      </c>
      <c r="G516" s="26">
        <v>0</v>
      </c>
      <c r="H516" s="26">
        <v>0</v>
      </c>
      <c r="I516" s="26">
        <v>0</v>
      </c>
      <c r="J516" s="26">
        <v>0</v>
      </c>
      <c r="K516" s="26">
        <v>0</v>
      </c>
      <c r="L516" s="27">
        <v>0</v>
      </c>
    </row>
    <row r="517" spans="1:12">
      <c r="A517" s="24" t="s">
        <v>11</v>
      </c>
      <c r="B517" s="24" t="s">
        <v>318</v>
      </c>
      <c r="C517" s="25">
        <v>45962</v>
      </c>
      <c r="D517" s="24" t="s">
        <v>2667</v>
      </c>
      <c r="E517" s="26">
        <v>0</v>
      </c>
      <c r="F517" s="26">
        <v>0</v>
      </c>
      <c r="G517" s="26">
        <v>0</v>
      </c>
      <c r="H517" s="26">
        <v>0</v>
      </c>
      <c r="I517" s="26">
        <v>0</v>
      </c>
      <c r="J517" s="26">
        <v>0</v>
      </c>
      <c r="K517" s="26">
        <v>0</v>
      </c>
      <c r="L517" s="27">
        <v>0</v>
      </c>
    </row>
    <row r="518" spans="1:12">
      <c r="A518" s="24" t="s">
        <v>11</v>
      </c>
      <c r="B518" s="24" t="s">
        <v>318</v>
      </c>
      <c r="C518" s="25">
        <v>45992</v>
      </c>
      <c r="D518" s="24" t="s">
        <v>2668</v>
      </c>
      <c r="E518" s="26">
        <v>0</v>
      </c>
      <c r="F518" s="26">
        <v>0</v>
      </c>
      <c r="G518" s="26">
        <v>0</v>
      </c>
      <c r="H518" s="26">
        <v>0</v>
      </c>
      <c r="I518" s="26">
        <v>0</v>
      </c>
      <c r="J518" s="26">
        <v>0</v>
      </c>
      <c r="K518" s="26">
        <v>0</v>
      </c>
      <c r="L518" s="27">
        <v>0</v>
      </c>
    </row>
    <row r="519" spans="1:12">
      <c r="A519" s="24" t="s">
        <v>217</v>
      </c>
      <c r="B519" s="24" t="s">
        <v>337</v>
      </c>
      <c r="C519" s="25">
        <v>45658</v>
      </c>
      <c r="D519" s="24" t="s">
        <v>2657</v>
      </c>
      <c r="E519" s="26">
        <v>0</v>
      </c>
      <c r="F519" s="26">
        <v>0</v>
      </c>
      <c r="G519" s="26">
        <v>0</v>
      </c>
      <c r="H519" s="26">
        <v>0</v>
      </c>
      <c r="I519" s="26">
        <v>0</v>
      </c>
      <c r="J519" s="26">
        <v>0</v>
      </c>
      <c r="K519" s="26">
        <v>0</v>
      </c>
      <c r="L519" s="27">
        <v>0</v>
      </c>
    </row>
    <row r="520" spans="1:12">
      <c r="A520" s="24" t="s">
        <v>217</v>
      </c>
      <c r="B520" s="24" t="s">
        <v>337</v>
      </c>
      <c r="C520" s="25">
        <v>45689</v>
      </c>
      <c r="D520" s="24" t="s">
        <v>2658</v>
      </c>
      <c r="E520" s="26">
        <v>0</v>
      </c>
      <c r="F520" s="26">
        <v>0</v>
      </c>
      <c r="G520" s="26">
        <v>0</v>
      </c>
      <c r="H520" s="26">
        <v>0</v>
      </c>
      <c r="I520" s="26">
        <v>0</v>
      </c>
      <c r="J520" s="26">
        <v>0</v>
      </c>
      <c r="K520" s="26">
        <v>0</v>
      </c>
      <c r="L520" s="27">
        <v>0</v>
      </c>
    </row>
    <row r="521" spans="1:12">
      <c r="A521" s="24" t="s">
        <v>217</v>
      </c>
      <c r="B521" s="24" t="s">
        <v>337</v>
      </c>
      <c r="C521" s="25">
        <v>45717</v>
      </c>
      <c r="D521" s="24" t="s">
        <v>2659</v>
      </c>
      <c r="E521" s="26">
        <v>0</v>
      </c>
      <c r="F521" s="26">
        <v>0</v>
      </c>
      <c r="G521" s="26">
        <v>0</v>
      </c>
      <c r="H521" s="26">
        <v>0</v>
      </c>
      <c r="I521" s="26">
        <v>0</v>
      </c>
      <c r="J521" s="26">
        <v>0</v>
      </c>
      <c r="K521" s="26">
        <v>0</v>
      </c>
      <c r="L521" s="27">
        <v>0</v>
      </c>
    </row>
    <row r="522" spans="1:12">
      <c r="A522" s="24" t="s">
        <v>217</v>
      </c>
      <c r="B522" s="24" t="s">
        <v>337</v>
      </c>
      <c r="C522" s="25">
        <v>45748</v>
      </c>
      <c r="D522" s="24" t="s">
        <v>2660</v>
      </c>
      <c r="E522" s="26">
        <v>0</v>
      </c>
      <c r="F522" s="26">
        <v>0</v>
      </c>
      <c r="G522" s="26">
        <v>0</v>
      </c>
      <c r="H522" s="26">
        <v>0</v>
      </c>
      <c r="I522" s="26">
        <v>0</v>
      </c>
      <c r="J522" s="26">
        <v>0</v>
      </c>
      <c r="K522" s="26">
        <v>0</v>
      </c>
      <c r="L522" s="27">
        <v>0</v>
      </c>
    </row>
    <row r="523" spans="1:12">
      <c r="A523" s="24" t="s">
        <v>217</v>
      </c>
      <c r="B523" s="24" t="s">
        <v>337</v>
      </c>
      <c r="C523" s="25">
        <v>45778</v>
      </c>
      <c r="D523" s="24" t="s">
        <v>2661</v>
      </c>
      <c r="E523" s="26">
        <v>0</v>
      </c>
      <c r="F523" s="26">
        <v>0</v>
      </c>
      <c r="G523" s="26">
        <v>0</v>
      </c>
      <c r="H523" s="26">
        <v>0</v>
      </c>
      <c r="I523" s="26">
        <v>0</v>
      </c>
      <c r="J523" s="26">
        <v>0</v>
      </c>
      <c r="K523" s="26">
        <v>0</v>
      </c>
      <c r="L523" s="27">
        <v>0</v>
      </c>
    </row>
    <row r="524" spans="1:12">
      <c r="A524" s="24" t="s">
        <v>217</v>
      </c>
      <c r="B524" s="24" t="s">
        <v>337</v>
      </c>
      <c r="C524" s="25">
        <v>45809</v>
      </c>
      <c r="D524" s="24" t="s">
        <v>2662</v>
      </c>
      <c r="E524" s="26">
        <v>0</v>
      </c>
      <c r="F524" s="26">
        <v>0</v>
      </c>
      <c r="G524" s="26">
        <v>0</v>
      </c>
      <c r="H524" s="26">
        <v>0</v>
      </c>
      <c r="I524" s="26">
        <v>0</v>
      </c>
      <c r="J524" s="26">
        <v>0</v>
      </c>
      <c r="K524" s="26">
        <v>0</v>
      </c>
      <c r="L524" s="27">
        <v>0</v>
      </c>
    </row>
    <row r="525" spans="1:12">
      <c r="A525" s="24" t="s">
        <v>217</v>
      </c>
      <c r="B525" s="24" t="s">
        <v>337</v>
      </c>
      <c r="C525" s="25">
        <v>45839</v>
      </c>
      <c r="D525" s="24" t="s">
        <v>2663</v>
      </c>
      <c r="E525" s="26">
        <v>0</v>
      </c>
      <c r="F525" s="26">
        <v>0</v>
      </c>
      <c r="G525" s="26">
        <v>0</v>
      </c>
      <c r="H525" s="26">
        <v>0</v>
      </c>
      <c r="I525" s="26">
        <v>0</v>
      </c>
      <c r="J525" s="26">
        <v>0</v>
      </c>
      <c r="K525" s="26">
        <v>0</v>
      </c>
      <c r="L525" s="27">
        <v>0</v>
      </c>
    </row>
    <row r="526" spans="1:12">
      <c r="A526" s="24" t="s">
        <v>217</v>
      </c>
      <c r="B526" s="24" t="s">
        <v>337</v>
      </c>
      <c r="C526" s="25">
        <v>45870</v>
      </c>
      <c r="D526" s="24" t="s">
        <v>2664</v>
      </c>
      <c r="E526" s="26">
        <v>0</v>
      </c>
      <c r="F526" s="26">
        <v>0</v>
      </c>
      <c r="G526" s="26">
        <v>0</v>
      </c>
      <c r="H526" s="26">
        <v>0</v>
      </c>
      <c r="I526" s="26">
        <v>0</v>
      </c>
      <c r="J526" s="26">
        <v>0</v>
      </c>
      <c r="K526" s="26">
        <v>0</v>
      </c>
      <c r="L526" s="27">
        <v>0</v>
      </c>
    </row>
    <row r="527" spans="1:12">
      <c r="A527" s="24" t="s">
        <v>217</v>
      </c>
      <c r="B527" s="24" t="s">
        <v>337</v>
      </c>
      <c r="C527" s="25">
        <v>45901</v>
      </c>
      <c r="D527" s="24" t="s">
        <v>2665</v>
      </c>
      <c r="E527" s="26">
        <v>0</v>
      </c>
      <c r="F527" s="26">
        <v>0</v>
      </c>
      <c r="G527" s="26">
        <v>0</v>
      </c>
      <c r="H527" s="26">
        <v>0</v>
      </c>
      <c r="I527" s="26">
        <v>0</v>
      </c>
      <c r="J527" s="26">
        <v>0</v>
      </c>
      <c r="K527" s="26">
        <v>0</v>
      </c>
      <c r="L527" s="27">
        <v>0</v>
      </c>
    </row>
    <row r="528" spans="1:12">
      <c r="A528" s="24" t="s">
        <v>217</v>
      </c>
      <c r="B528" s="24" t="s">
        <v>337</v>
      </c>
      <c r="C528" s="25">
        <v>45931</v>
      </c>
      <c r="D528" s="24" t="s">
        <v>2666</v>
      </c>
      <c r="E528" s="26">
        <v>0</v>
      </c>
      <c r="F528" s="26">
        <v>57315.76</v>
      </c>
      <c r="G528" s="26">
        <v>-57315.76</v>
      </c>
      <c r="H528" s="26">
        <v>0</v>
      </c>
      <c r="I528" s="26">
        <v>-57315.76</v>
      </c>
      <c r="J528" s="26">
        <v>0</v>
      </c>
      <c r="K528" s="26">
        <v>-57315.76</v>
      </c>
      <c r="L528" s="27">
        <v>1</v>
      </c>
    </row>
    <row r="529" spans="1:12">
      <c r="A529" s="24" t="s">
        <v>217</v>
      </c>
      <c r="B529" s="24" t="s">
        <v>337</v>
      </c>
      <c r="C529" s="25">
        <v>45962</v>
      </c>
      <c r="D529" s="24" t="s">
        <v>2667</v>
      </c>
      <c r="E529" s="26">
        <v>0</v>
      </c>
      <c r="F529" s="26">
        <v>0</v>
      </c>
      <c r="G529" s="26">
        <v>0</v>
      </c>
      <c r="H529" s="26">
        <v>126180.79</v>
      </c>
      <c r="I529" s="26">
        <v>-126180.79</v>
      </c>
      <c r="J529" s="26">
        <v>0</v>
      </c>
      <c r="K529" s="26">
        <v>-126180.79</v>
      </c>
      <c r="L529" s="27">
        <v>0</v>
      </c>
    </row>
    <row r="530" spans="1:12">
      <c r="A530" s="24" t="s">
        <v>217</v>
      </c>
      <c r="B530" s="24" t="s">
        <v>337</v>
      </c>
      <c r="C530" s="25">
        <v>45992</v>
      </c>
      <c r="D530" s="24" t="s">
        <v>2668</v>
      </c>
      <c r="E530" s="26">
        <v>0</v>
      </c>
      <c r="F530" s="26">
        <v>0</v>
      </c>
      <c r="G530" s="26">
        <v>0</v>
      </c>
      <c r="H530" s="26">
        <v>0</v>
      </c>
      <c r="I530" s="26">
        <v>0</v>
      </c>
      <c r="J530" s="26">
        <v>0</v>
      </c>
      <c r="K530" s="26">
        <v>0</v>
      </c>
      <c r="L530" s="27">
        <v>0</v>
      </c>
    </row>
    <row r="531" spans="1:12">
      <c r="A531" s="24" t="s">
        <v>253</v>
      </c>
      <c r="B531" s="24" t="s">
        <v>329</v>
      </c>
      <c r="C531" s="25">
        <v>45658</v>
      </c>
      <c r="D531" s="24" t="s">
        <v>2657</v>
      </c>
      <c r="E531" s="26">
        <v>0</v>
      </c>
      <c r="F531" s="26">
        <v>0</v>
      </c>
      <c r="G531" s="26">
        <v>0</v>
      </c>
      <c r="H531" s="26">
        <v>0</v>
      </c>
      <c r="I531" s="26">
        <v>0</v>
      </c>
      <c r="J531" s="26">
        <v>0</v>
      </c>
      <c r="K531" s="26">
        <v>0</v>
      </c>
      <c r="L531" s="27">
        <v>0</v>
      </c>
    </row>
    <row r="532" spans="1:12">
      <c r="A532" s="24" t="s">
        <v>253</v>
      </c>
      <c r="B532" s="24" t="s">
        <v>329</v>
      </c>
      <c r="C532" s="25">
        <v>45689</v>
      </c>
      <c r="D532" s="24" t="s">
        <v>2658</v>
      </c>
      <c r="E532" s="26">
        <v>0</v>
      </c>
      <c r="F532" s="26">
        <v>0</v>
      </c>
      <c r="G532" s="26">
        <v>0</v>
      </c>
      <c r="H532" s="26">
        <v>0</v>
      </c>
      <c r="I532" s="26">
        <v>0</v>
      </c>
      <c r="J532" s="26">
        <v>0</v>
      </c>
      <c r="K532" s="26">
        <v>0</v>
      </c>
      <c r="L532" s="27">
        <v>0</v>
      </c>
    </row>
    <row r="533" spans="1:12">
      <c r="A533" s="24" t="s">
        <v>253</v>
      </c>
      <c r="B533" s="24" t="s">
        <v>329</v>
      </c>
      <c r="C533" s="25">
        <v>45717</v>
      </c>
      <c r="D533" s="24" t="s">
        <v>2659</v>
      </c>
      <c r="E533" s="26">
        <v>0</v>
      </c>
      <c r="F533" s="26">
        <v>0</v>
      </c>
      <c r="G533" s="26">
        <v>0</v>
      </c>
      <c r="H533" s="26">
        <v>0</v>
      </c>
      <c r="I533" s="26">
        <v>0</v>
      </c>
      <c r="J533" s="26">
        <v>0</v>
      </c>
      <c r="K533" s="26">
        <v>0</v>
      </c>
      <c r="L533" s="27">
        <v>0</v>
      </c>
    </row>
    <row r="534" spans="1:12">
      <c r="A534" s="24" t="s">
        <v>253</v>
      </c>
      <c r="B534" s="24" t="s">
        <v>329</v>
      </c>
      <c r="C534" s="25">
        <v>45748</v>
      </c>
      <c r="D534" s="24" t="s">
        <v>2660</v>
      </c>
      <c r="E534" s="26">
        <v>0</v>
      </c>
      <c r="F534" s="26">
        <v>0</v>
      </c>
      <c r="G534" s="26">
        <v>0</v>
      </c>
      <c r="H534" s="26">
        <v>0</v>
      </c>
      <c r="I534" s="26">
        <v>0</v>
      </c>
      <c r="J534" s="26">
        <v>0</v>
      </c>
      <c r="K534" s="26">
        <v>0</v>
      </c>
      <c r="L534" s="27">
        <v>0</v>
      </c>
    </row>
    <row r="535" spans="1:12">
      <c r="A535" s="24" t="s">
        <v>253</v>
      </c>
      <c r="B535" s="24" t="s">
        <v>329</v>
      </c>
      <c r="C535" s="25">
        <v>45778</v>
      </c>
      <c r="D535" s="24" t="s">
        <v>2661</v>
      </c>
      <c r="E535" s="26">
        <v>0</v>
      </c>
      <c r="F535" s="26">
        <v>0</v>
      </c>
      <c r="G535" s="26">
        <v>0</v>
      </c>
      <c r="H535" s="26">
        <v>0</v>
      </c>
      <c r="I535" s="26">
        <v>0</v>
      </c>
      <c r="J535" s="26">
        <v>0</v>
      </c>
      <c r="K535" s="26">
        <v>0</v>
      </c>
      <c r="L535" s="27">
        <v>0</v>
      </c>
    </row>
    <row r="536" spans="1:12">
      <c r="A536" s="24" t="s">
        <v>253</v>
      </c>
      <c r="B536" s="24" t="s">
        <v>329</v>
      </c>
      <c r="C536" s="25">
        <v>45809</v>
      </c>
      <c r="D536" s="24" t="s">
        <v>2662</v>
      </c>
      <c r="E536" s="26">
        <v>0</v>
      </c>
      <c r="F536" s="26">
        <v>0</v>
      </c>
      <c r="G536" s="26">
        <v>0</v>
      </c>
      <c r="H536" s="26">
        <v>0</v>
      </c>
      <c r="I536" s="26">
        <v>0</v>
      </c>
      <c r="J536" s="26">
        <v>0</v>
      </c>
      <c r="K536" s="26">
        <v>0</v>
      </c>
      <c r="L536" s="27">
        <v>0</v>
      </c>
    </row>
    <row r="537" spans="1:12">
      <c r="A537" s="24" t="s">
        <v>253</v>
      </c>
      <c r="B537" s="24" t="s">
        <v>329</v>
      </c>
      <c r="C537" s="25">
        <v>45839</v>
      </c>
      <c r="D537" s="24" t="s">
        <v>2663</v>
      </c>
      <c r="E537" s="26">
        <v>42754.99</v>
      </c>
      <c r="F537" s="26">
        <v>0</v>
      </c>
      <c r="G537" s="26">
        <v>42754.99</v>
      </c>
      <c r="H537" s="26">
        <v>0</v>
      </c>
      <c r="I537" s="26">
        <v>42754.99</v>
      </c>
      <c r="J537" s="26">
        <v>0</v>
      </c>
      <c r="K537" s="26">
        <v>42754.99</v>
      </c>
      <c r="L537" s="27">
        <v>1</v>
      </c>
    </row>
    <row r="538" spans="1:12">
      <c r="A538" s="24" t="s">
        <v>253</v>
      </c>
      <c r="B538" s="24" t="s">
        <v>329</v>
      </c>
      <c r="C538" s="25">
        <v>45870</v>
      </c>
      <c r="D538" s="24" t="s">
        <v>2664</v>
      </c>
      <c r="E538" s="26">
        <v>0</v>
      </c>
      <c r="F538" s="26">
        <v>0</v>
      </c>
      <c r="G538" s="26">
        <v>0</v>
      </c>
      <c r="H538" s="26">
        <v>0</v>
      </c>
      <c r="I538" s="26">
        <v>0</v>
      </c>
      <c r="J538" s="26">
        <v>0</v>
      </c>
      <c r="K538" s="26">
        <v>0</v>
      </c>
      <c r="L538" s="27">
        <v>0</v>
      </c>
    </row>
    <row r="539" spans="1:12">
      <c r="A539" s="24" t="s">
        <v>253</v>
      </c>
      <c r="B539" s="24" t="s">
        <v>329</v>
      </c>
      <c r="C539" s="25">
        <v>45901</v>
      </c>
      <c r="D539" s="24" t="s">
        <v>2665</v>
      </c>
      <c r="E539" s="26">
        <v>31077.24</v>
      </c>
      <c r="F539" s="26">
        <v>0</v>
      </c>
      <c r="G539" s="26">
        <v>31077.24</v>
      </c>
      <c r="H539" s="26">
        <v>0</v>
      </c>
      <c r="I539" s="26">
        <v>31077.24</v>
      </c>
      <c r="J539" s="26">
        <v>0</v>
      </c>
      <c r="K539" s="26">
        <v>31077.24</v>
      </c>
      <c r="L539" s="27">
        <v>1</v>
      </c>
    </row>
    <row r="540" spans="1:12">
      <c r="A540" s="24" t="s">
        <v>253</v>
      </c>
      <c r="B540" s="24" t="s">
        <v>329</v>
      </c>
      <c r="C540" s="25">
        <v>45931</v>
      </c>
      <c r="D540" s="24" t="s">
        <v>2666</v>
      </c>
      <c r="E540" s="26">
        <v>78852.61</v>
      </c>
      <c r="F540" s="26">
        <v>0</v>
      </c>
      <c r="G540" s="26">
        <v>78852.61</v>
      </c>
      <c r="H540" s="26">
        <v>0</v>
      </c>
      <c r="I540" s="26">
        <v>78852.61</v>
      </c>
      <c r="J540" s="26">
        <v>0</v>
      </c>
      <c r="K540" s="26">
        <v>78852.61</v>
      </c>
      <c r="L540" s="27">
        <v>1</v>
      </c>
    </row>
    <row r="541" spans="1:12">
      <c r="A541" s="24" t="s">
        <v>253</v>
      </c>
      <c r="B541" s="24" t="s">
        <v>329</v>
      </c>
      <c r="C541" s="25">
        <v>45962</v>
      </c>
      <c r="D541" s="24" t="s">
        <v>2667</v>
      </c>
      <c r="E541" s="26">
        <v>0</v>
      </c>
      <c r="F541" s="26">
        <v>0</v>
      </c>
      <c r="G541" s="26">
        <v>0</v>
      </c>
      <c r="H541" s="26">
        <v>11962.74</v>
      </c>
      <c r="I541" s="26">
        <v>-11962.74</v>
      </c>
      <c r="J541" s="26">
        <v>0</v>
      </c>
      <c r="K541" s="26">
        <v>-11962.74</v>
      </c>
      <c r="L541" s="27">
        <v>0</v>
      </c>
    </row>
    <row r="542" spans="1:12">
      <c r="A542" s="24" t="s">
        <v>253</v>
      </c>
      <c r="B542" s="24" t="s">
        <v>329</v>
      </c>
      <c r="C542" s="25">
        <v>45992</v>
      </c>
      <c r="D542" s="24" t="s">
        <v>2668</v>
      </c>
      <c r="E542" s="26">
        <v>22570.95</v>
      </c>
      <c r="F542" s="26">
        <v>7587.89</v>
      </c>
      <c r="G542" s="26">
        <v>14983.06</v>
      </c>
      <c r="H542" s="26">
        <v>0</v>
      </c>
      <c r="I542" s="26">
        <v>14983.06</v>
      </c>
      <c r="J542" s="26">
        <v>0</v>
      </c>
      <c r="K542" s="26">
        <v>14983.06</v>
      </c>
      <c r="L542" s="27">
        <v>1</v>
      </c>
    </row>
    <row r="543" spans="1:12">
      <c r="A543" s="24" t="s">
        <v>151</v>
      </c>
      <c r="B543" s="24" t="s">
        <v>337</v>
      </c>
      <c r="C543" s="25">
        <v>45658</v>
      </c>
      <c r="D543" s="24" t="s">
        <v>2657</v>
      </c>
      <c r="E543" s="26">
        <v>0</v>
      </c>
      <c r="F543" s="26">
        <v>0</v>
      </c>
      <c r="G543" s="26">
        <v>0</v>
      </c>
      <c r="H543" s="26">
        <v>0</v>
      </c>
      <c r="I543" s="26">
        <v>0</v>
      </c>
      <c r="J543" s="26">
        <v>0</v>
      </c>
      <c r="K543" s="26">
        <v>0</v>
      </c>
      <c r="L543" s="27">
        <v>0</v>
      </c>
    </row>
    <row r="544" spans="1:12">
      <c r="A544" s="24" t="s">
        <v>151</v>
      </c>
      <c r="B544" s="24" t="s">
        <v>337</v>
      </c>
      <c r="C544" s="25">
        <v>45689</v>
      </c>
      <c r="D544" s="24" t="s">
        <v>2658</v>
      </c>
      <c r="E544" s="26">
        <v>0</v>
      </c>
      <c r="F544" s="26">
        <v>0</v>
      </c>
      <c r="G544" s="26">
        <v>0</v>
      </c>
      <c r="H544" s="26">
        <v>0</v>
      </c>
      <c r="I544" s="26">
        <v>0</v>
      </c>
      <c r="J544" s="26">
        <v>0</v>
      </c>
      <c r="K544" s="26">
        <v>0</v>
      </c>
      <c r="L544" s="27">
        <v>0</v>
      </c>
    </row>
    <row r="545" spans="1:12">
      <c r="A545" s="24" t="s">
        <v>151</v>
      </c>
      <c r="B545" s="24" t="s">
        <v>337</v>
      </c>
      <c r="C545" s="25">
        <v>45717</v>
      </c>
      <c r="D545" s="24" t="s">
        <v>2659</v>
      </c>
      <c r="E545" s="26">
        <v>0</v>
      </c>
      <c r="F545" s="26">
        <v>0</v>
      </c>
      <c r="G545" s="26">
        <v>0</v>
      </c>
      <c r="H545" s="26">
        <v>0</v>
      </c>
      <c r="I545" s="26">
        <v>0</v>
      </c>
      <c r="J545" s="26">
        <v>0</v>
      </c>
      <c r="K545" s="26">
        <v>0</v>
      </c>
      <c r="L545" s="27">
        <v>0</v>
      </c>
    </row>
    <row r="546" spans="1:12">
      <c r="A546" s="24" t="s">
        <v>151</v>
      </c>
      <c r="B546" s="24" t="s">
        <v>337</v>
      </c>
      <c r="C546" s="25">
        <v>45748</v>
      </c>
      <c r="D546" s="24" t="s">
        <v>2660</v>
      </c>
      <c r="E546" s="26">
        <v>0</v>
      </c>
      <c r="F546" s="26">
        <v>0</v>
      </c>
      <c r="G546" s="26">
        <v>0</v>
      </c>
      <c r="H546" s="26">
        <v>0</v>
      </c>
      <c r="I546" s="26">
        <v>0</v>
      </c>
      <c r="J546" s="26">
        <v>0</v>
      </c>
      <c r="K546" s="26">
        <v>0</v>
      </c>
      <c r="L546" s="27">
        <v>0</v>
      </c>
    </row>
    <row r="547" spans="1:12">
      <c r="A547" s="24" t="s">
        <v>151</v>
      </c>
      <c r="B547" s="24" t="s">
        <v>337</v>
      </c>
      <c r="C547" s="25">
        <v>45778</v>
      </c>
      <c r="D547" s="24" t="s">
        <v>2661</v>
      </c>
      <c r="E547" s="26">
        <v>0</v>
      </c>
      <c r="F547" s="26">
        <v>0</v>
      </c>
      <c r="G547" s="26">
        <v>0</v>
      </c>
      <c r="H547" s="26">
        <v>0</v>
      </c>
      <c r="I547" s="26">
        <v>0</v>
      </c>
      <c r="J547" s="26">
        <v>0</v>
      </c>
      <c r="K547" s="26">
        <v>0</v>
      </c>
      <c r="L547" s="27">
        <v>0</v>
      </c>
    </row>
    <row r="548" spans="1:12">
      <c r="A548" s="24" t="s">
        <v>151</v>
      </c>
      <c r="B548" s="24" t="s">
        <v>337</v>
      </c>
      <c r="C548" s="25">
        <v>45809</v>
      </c>
      <c r="D548" s="24" t="s">
        <v>2662</v>
      </c>
      <c r="E548" s="26">
        <v>0</v>
      </c>
      <c r="F548" s="26">
        <v>0</v>
      </c>
      <c r="G548" s="26">
        <v>0</v>
      </c>
      <c r="H548" s="26">
        <v>0</v>
      </c>
      <c r="I548" s="26">
        <v>0</v>
      </c>
      <c r="J548" s="26">
        <v>0</v>
      </c>
      <c r="K548" s="26">
        <v>0</v>
      </c>
      <c r="L548" s="27">
        <v>0</v>
      </c>
    </row>
    <row r="549" spans="1:12">
      <c r="A549" s="24" t="s">
        <v>151</v>
      </c>
      <c r="B549" s="24" t="s">
        <v>337</v>
      </c>
      <c r="C549" s="25">
        <v>45839</v>
      </c>
      <c r="D549" s="24" t="s">
        <v>2663</v>
      </c>
      <c r="E549" s="26">
        <v>67814.62</v>
      </c>
      <c r="F549" s="26">
        <v>0</v>
      </c>
      <c r="G549" s="26">
        <v>67814.62</v>
      </c>
      <c r="H549" s="26">
        <v>0</v>
      </c>
      <c r="I549" s="26">
        <v>67814.62</v>
      </c>
      <c r="J549" s="26">
        <v>0</v>
      </c>
      <c r="K549" s="26">
        <v>67814.62</v>
      </c>
      <c r="L549" s="27">
        <v>1</v>
      </c>
    </row>
    <row r="550" spans="1:12">
      <c r="A550" s="24" t="s">
        <v>151</v>
      </c>
      <c r="B550" s="24" t="s">
        <v>337</v>
      </c>
      <c r="C550" s="25">
        <v>45870</v>
      </c>
      <c r="D550" s="24" t="s">
        <v>2664</v>
      </c>
      <c r="E550" s="26">
        <v>0</v>
      </c>
      <c r="F550" s="26">
        <v>0</v>
      </c>
      <c r="G550" s="26">
        <v>0</v>
      </c>
      <c r="H550" s="26">
        <v>0</v>
      </c>
      <c r="I550" s="26">
        <v>0</v>
      </c>
      <c r="J550" s="26">
        <v>0</v>
      </c>
      <c r="K550" s="26">
        <v>0</v>
      </c>
      <c r="L550" s="27">
        <v>0</v>
      </c>
    </row>
    <row r="551" spans="1:12">
      <c r="A551" s="24" t="s">
        <v>151</v>
      </c>
      <c r="B551" s="24" t="s">
        <v>337</v>
      </c>
      <c r="C551" s="25">
        <v>45901</v>
      </c>
      <c r="D551" s="24" t="s">
        <v>2665</v>
      </c>
      <c r="E551" s="26">
        <v>0</v>
      </c>
      <c r="F551" s="26">
        <v>0</v>
      </c>
      <c r="G551" s="26">
        <v>0</v>
      </c>
      <c r="H551" s="26">
        <v>117023.31</v>
      </c>
      <c r="I551" s="26">
        <v>-117023.31</v>
      </c>
      <c r="J551" s="26">
        <v>0</v>
      </c>
      <c r="K551" s="26">
        <v>-117023.31</v>
      </c>
      <c r="L551" s="27">
        <v>0</v>
      </c>
    </row>
    <row r="552" spans="1:12">
      <c r="A552" s="24" t="s">
        <v>151</v>
      </c>
      <c r="B552" s="24" t="s">
        <v>337</v>
      </c>
      <c r="C552" s="25">
        <v>45931</v>
      </c>
      <c r="D552" s="24" t="s">
        <v>2666</v>
      </c>
      <c r="E552" s="26">
        <v>59608.160000000003</v>
      </c>
      <c r="F552" s="26">
        <v>0</v>
      </c>
      <c r="G552" s="26">
        <v>59608.160000000003</v>
      </c>
      <c r="H552" s="26">
        <v>135927.71</v>
      </c>
      <c r="I552" s="26">
        <v>-76319.549999999988</v>
      </c>
      <c r="J552" s="26">
        <v>0</v>
      </c>
      <c r="K552" s="26">
        <v>-76319.549999999988</v>
      </c>
      <c r="L552" s="27">
        <v>-1.2803540656178609</v>
      </c>
    </row>
    <row r="553" spans="1:12">
      <c r="A553" s="24" t="s">
        <v>151</v>
      </c>
      <c r="B553" s="24" t="s">
        <v>337</v>
      </c>
      <c r="C553" s="25">
        <v>45962</v>
      </c>
      <c r="D553" s="24" t="s">
        <v>2667</v>
      </c>
      <c r="E553" s="26">
        <v>0</v>
      </c>
      <c r="F553" s="26">
        <v>0</v>
      </c>
      <c r="G553" s="26">
        <v>0</v>
      </c>
      <c r="H553" s="26">
        <v>0</v>
      </c>
      <c r="I553" s="26">
        <v>0</v>
      </c>
      <c r="J553" s="26">
        <v>0</v>
      </c>
      <c r="K553" s="26">
        <v>0</v>
      </c>
      <c r="L553" s="27">
        <v>0</v>
      </c>
    </row>
    <row r="554" spans="1:12">
      <c r="A554" s="24" t="s">
        <v>151</v>
      </c>
      <c r="B554" s="24" t="s">
        <v>337</v>
      </c>
      <c r="C554" s="25">
        <v>45992</v>
      </c>
      <c r="D554" s="24" t="s">
        <v>2668</v>
      </c>
      <c r="E554" s="26">
        <v>26558.49</v>
      </c>
      <c r="F554" s="26">
        <v>0</v>
      </c>
      <c r="G554" s="26">
        <v>26558.49</v>
      </c>
      <c r="H554" s="26">
        <v>0</v>
      </c>
      <c r="I554" s="26">
        <v>26558.49</v>
      </c>
      <c r="J554" s="26">
        <v>0</v>
      </c>
      <c r="K554" s="26">
        <v>26558.49</v>
      </c>
      <c r="L554" s="27">
        <v>1</v>
      </c>
    </row>
    <row r="555" spans="1:12">
      <c r="A555" s="24" t="s">
        <v>351</v>
      </c>
      <c r="B555" s="24" t="s">
        <v>324</v>
      </c>
      <c r="C555" s="25">
        <v>45658</v>
      </c>
      <c r="D555" s="24" t="s">
        <v>2657</v>
      </c>
      <c r="E555" s="26">
        <v>0</v>
      </c>
      <c r="F555" s="26">
        <v>0</v>
      </c>
      <c r="G555" s="26">
        <v>0</v>
      </c>
      <c r="H555" s="26">
        <v>0</v>
      </c>
      <c r="I555" s="26">
        <v>0</v>
      </c>
      <c r="J555" s="26">
        <v>0</v>
      </c>
      <c r="K555" s="26">
        <v>0</v>
      </c>
      <c r="L555" s="27">
        <v>0</v>
      </c>
    </row>
    <row r="556" spans="1:12">
      <c r="A556" s="24" t="s">
        <v>351</v>
      </c>
      <c r="B556" s="24" t="s">
        <v>324</v>
      </c>
      <c r="C556" s="25">
        <v>45689</v>
      </c>
      <c r="D556" s="24" t="s">
        <v>2658</v>
      </c>
      <c r="E556" s="26">
        <v>0</v>
      </c>
      <c r="F556" s="26">
        <v>0</v>
      </c>
      <c r="G556" s="26">
        <v>0</v>
      </c>
      <c r="H556" s="26">
        <v>0</v>
      </c>
      <c r="I556" s="26">
        <v>0</v>
      </c>
      <c r="J556" s="26">
        <v>0</v>
      </c>
      <c r="K556" s="26">
        <v>0</v>
      </c>
      <c r="L556" s="27">
        <v>0</v>
      </c>
    </row>
    <row r="557" spans="1:12">
      <c r="A557" s="24" t="s">
        <v>351</v>
      </c>
      <c r="B557" s="24" t="s">
        <v>324</v>
      </c>
      <c r="C557" s="25">
        <v>45717</v>
      </c>
      <c r="D557" s="24" t="s">
        <v>2659</v>
      </c>
      <c r="E557" s="26">
        <v>0</v>
      </c>
      <c r="F557" s="26">
        <v>0</v>
      </c>
      <c r="G557" s="26">
        <v>0</v>
      </c>
      <c r="H557" s="26">
        <v>0</v>
      </c>
      <c r="I557" s="26">
        <v>0</v>
      </c>
      <c r="J557" s="26">
        <v>0</v>
      </c>
      <c r="K557" s="26">
        <v>0</v>
      </c>
      <c r="L557" s="27">
        <v>0</v>
      </c>
    </row>
    <row r="558" spans="1:12">
      <c r="A558" s="24" t="s">
        <v>351</v>
      </c>
      <c r="B558" s="24" t="s">
        <v>324</v>
      </c>
      <c r="C558" s="25">
        <v>45748</v>
      </c>
      <c r="D558" s="24" t="s">
        <v>2660</v>
      </c>
      <c r="E558" s="26">
        <v>0</v>
      </c>
      <c r="F558" s="26">
        <v>0</v>
      </c>
      <c r="G558" s="26">
        <v>0</v>
      </c>
      <c r="H558" s="26">
        <v>0</v>
      </c>
      <c r="I558" s="26">
        <v>0</v>
      </c>
      <c r="J558" s="26">
        <v>0</v>
      </c>
      <c r="K558" s="26">
        <v>0</v>
      </c>
      <c r="L558" s="27">
        <v>0</v>
      </c>
    </row>
    <row r="559" spans="1:12">
      <c r="A559" s="24" t="s">
        <v>351</v>
      </c>
      <c r="B559" s="24" t="s">
        <v>324</v>
      </c>
      <c r="C559" s="25">
        <v>45778</v>
      </c>
      <c r="D559" s="24" t="s">
        <v>2661</v>
      </c>
      <c r="E559" s="26">
        <v>0</v>
      </c>
      <c r="F559" s="26">
        <v>0</v>
      </c>
      <c r="G559" s="26">
        <v>0</v>
      </c>
      <c r="H559" s="26">
        <v>0</v>
      </c>
      <c r="I559" s="26">
        <v>0</v>
      </c>
      <c r="J559" s="26">
        <v>0</v>
      </c>
      <c r="K559" s="26">
        <v>0</v>
      </c>
      <c r="L559" s="27">
        <v>0</v>
      </c>
    </row>
    <row r="560" spans="1:12">
      <c r="A560" s="24" t="s">
        <v>351</v>
      </c>
      <c r="B560" s="24" t="s">
        <v>324</v>
      </c>
      <c r="C560" s="25">
        <v>45809</v>
      </c>
      <c r="D560" s="24" t="s">
        <v>2662</v>
      </c>
      <c r="E560" s="26">
        <v>0</v>
      </c>
      <c r="F560" s="26">
        <v>0</v>
      </c>
      <c r="G560" s="26">
        <v>0</v>
      </c>
      <c r="H560" s="26">
        <v>0</v>
      </c>
      <c r="I560" s="26">
        <v>0</v>
      </c>
      <c r="J560" s="26">
        <v>0</v>
      </c>
      <c r="K560" s="26">
        <v>0</v>
      </c>
      <c r="L560" s="27">
        <v>0</v>
      </c>
    </row>
    <row r="561" spans="1:12">
      <c r="A561" s="24" t="s">
        <v>351</v>
      </c>
      <c r="B561" s="24" t="s">
        <v>324</v>
      </c>
      <c r="C561" s="25">
        <v>45839</v>
      </c>
      <c r="D561" s="24" t="s">
        <v>2663</v>
      </c>
      <c r="E561" s="26">
        <v>13432.16</v>
      </c>
      <c r="F561" s="26">
        <v>0</v>
      </c>
      <c r="G561" s="26">
        <v>13432.16</v>
      </c>
      <c r="H561" s="26">
        <v>0</v>
      </c>
      <c r="I561" s="26">
        <v>13432.16</v>
      </c>
      <c r="J561" s="26">
        <v>0</v>
      </c>
      <c r="K561" s="26">
        <v>13432.16</v>
      </c>
      <c r="L561" s="27">
        <v>1</v>
      </c>
    </row>
    <row r="562" spans="1:12">
      <c r="A562" s="24" t="s">
        <v>351</v>
      </c>
      <c r="B562" s="24" t="s">
        <v>324</v>
      </c>
      <c r="C562" s="25">
        <v>45870</v>
      </c>
      <c r="D562" s="24" t="s">
        <v>2664</v>
      </c>
      <c r="E562" s="26">
        <v>32014.66</v>
      </c>
      <c r="F562" s="26">
        <v>0</v>
      </c>
      <c r="G562" s="26">
        <v>32014.66</v>
      </c>
      <c r="H562" s="26">
        <v>0</v>
      </c>
      <c r="I562" s="26">
        <v>32014.66</v>
      </c>
      <c r="J562" s="26">
        <v>0</v>
      </c>
      <c r="K562" s="26">
        <v>32014.66</v>
      </c>
      <c r="L562" s="27">
        <v>1</v>
      </c>
    </row>
    <row r="563" spans="1:12">
      <c r="A563" s="24" t="s">
        <v>351</v>
      </c>
      <c r="B563" s="24" t="s">
        <v>324</v>
      </c>
      <c r="C563" s="25">
        <v>45901</v>
      </c>
      <c r="D563" s="24" t="s">
        <v>2665</v>
      </c>
      <c r="E563" s="26">
        <v>36886.620000000003</v>
      </c>
      <c r="F563" s="26">
        <v>0</v>
      </c>
      <c r="G563" s="26">
        <v>36886.620000000003</v>
      </c>
      <c r="H563" s="26">
        <v>0</v>
      </c>
      <c r="I563" s="26">
        <v>36886.620000000003</v>
      </c>
      <c r="J563" s="26">
        <v>0</v>
      </c>
      <c r="K563" s="26">
        <v>36886.620000000003</v>
      </c>
      <c r="L563" s="27">
        <v>1</v>
      </c>
    </row>
    <row r="564" spans="1:12">
      <c r="A564" s="24" t="s">
        <v>351</v>
      </c>
      <c r="B564" s="24" t="s">
        <v>324</v>
      </c>
      <c r="C564" s="25">
        <v>45931</v>
      </c>
      <c r="D564" s="24" t="s">
        <v>2666</v>
      </c>
      <c r="E564" s="26">
        <v>0</v>
      </c>
      <c r="F564" s="26">
        <v>0</v>
      </c>
      <c r="G564" s="26">
        <v>0</v>
      </c>
      <c r="H564" s="26">
        <v>0</v>
      </c>
      <c r="I564" s="26">
        <v>0</v>
      </c>
      <c r="J564" s="26">
        <v>0</v>
      </c>
      <c r="K564" s="26">
        <v>0</v>
      </c>
      <c r="L564" s="27">
        <v>0</v>
      </c>
    </row>
    <row r="565" spans="1:12">
      <c r="A565" s="24" t="s">
        <v>351</v>
      </c>
      <c r="B565" s="24" t="s">
        <v>324</v>
      </c>
      <c r="C565" s="25">
        <v>45962</v>
      </c>
      <c r="D565" s="24" t="s">
        <v>2667</v>
      </c>
      <c r="E565" s="26">
        <v>0</v>
      </c>
      <c r="F565" s="26">
        <v>0</v>
      </c>
      <c r="G565" s="26">
        <v>0</v>
      </c>
      <c r="H565" s="26">
        <v>0</v>
      </c>
      <c r="I565" s="26">
        <v>0</v>
      </c>
      <c r="J565" s="26">
        <v>0</v>
      </c>
      <c r="K565" s="26">
        <v>0</v>
      </c>
      <c r="L565" s="27">
        <v>0</v>
      </c>
    </row>
    <row r="566" spans="1:12">
      <c r="A566" s="24" t="s">
        <v>351</v>
      </c>
      <c r="B566" s="24" t="s">
        <v>324</v>
      </c>
      <c r="C566" s="25">
        <v>45992</v>
      </c>
      <c r="D566" s="24" t="s">
        <v>2668</v>
      </c>
      <c r="E566" s="26">
        <v>20032.86</v>
      </c>
      <c r="F566" s="26">
        <v>36533.589999999997</v>
      </c>
      <c r="G566" s="26">
        <v>-16500.73</v>
      </c>
      <c r="H566" s="26">
        <v>0</v>
      </c>
      <c r="I566" s="26">
        <v>-16500.73</v>
      </c>
      <c r="J566" s="26">
        <v>0</v>
      </c>
      <c r="K566" s="26">
        <v>-16500.73</v>
      </c>
      <c r="L566" s="27">
        <v>1</v>
      </c>
    </row>
    <row r="567" spans="1:12">
      <c r="A567" s="24" t="s">
        <v>91</v>
      </c>
      <c r="B567" s="24" t="s">
        <v>318</v>
      </c>
      <c r="C567" s="25">
        <v>45658</v>
      </c>
      <c r="D567" s="24" t="s">
        <v>2657</v>
      </c>
      <c r="E567" s="26">
        <v>0</v>
      </c>
      <c r="F567" s="26">
        <v>0</v>
      </c>
      <c r="G567" s="26">
        <v>0</v>
      </c>
      <c r="H567" s="26">
        <v>0</v>
      </c>
      <c r="I567" s="26">
        <v>0</v>
      </c>
      <c r="J567" s="26">
        <v>0</v>
      </c>
      <c r="K567" s="26">
        <v>0</v>
      </c>
      <c r="L567" s="27">
        <v>0</v>
      </c>
    </row>
    <row r="568" spans="1:12">
      <c r="A568" s="24" t="s">
        <v>91</v>
      </c>
      <c r="B568" s="24" t="s">
        <v>318</v>
      </c>
      <c r="C568" s="25">
        <v>45689</v>
      </c>
      <c r="D568" s="24" t="s">
        <v>2658</v>
      </c>
      <c r="E568" s="26">
        <v>0</v>
      </c>
      <c r="F568" s="26">
        <v>0</v>
      </c>
      <c r="G568" s="26">
        <v>0</v>
      </c>
      <c r="H568" s="26">
        <v>0</v>
      </c>
      <c r="I568" s="26">
        <v>0</v>
      </c>
      <c r="J568" s="26">
        <v>0</v>
      </c>
      <c r="K568" s="26">
        <v>0</v>
      </c>
      <c r="L568" s="27">
        <v>0</v>
      </c>
    </row>
    <row r="569" spans="1:12">
      <c r="A569" s="24" t="s">
        <v>91</v>
      </c>
      <c r="B569" s="24" t="s">
        <v>318</v>
      </c>
      <c r="C569" s="25">
        <v>45717</v>
      </c>
      <c r="D569" s="24" t="s">
        <v>2659</v>
      </c>
      <c r="E569" s="26">
        <v>0</v>
      </c>
      <c r="F569" s="26">
        <v>0</v>
      </c>
      <c r="G569" s="26">
        <v>0</v>
      </c>
      <c r="H569" s="26">
        <v>0</v>
      </c>
      <c r="I569" s="26">
        <v>0</v>
      </c>
      <c r="J569" s="26">
        <v>0</v>
      </c>
      <c r="K569" s="26">
        <v>0</v>
      </c>
      <c r="L569" s="27">
        <v>0</v>
      </c>
    </row>
    <row r="570" spans="1:12">
      <c r="A570" s="24" t="s">
        <v>91</v>
      </c>
      <c r="B570" s="24" t="s">
        <v>318</v>
      </c>
      <c r="C570" s="25">
        <v>45748</v>
      </c>
      <c r="D570" s="24" t="s">
        <v>2660</v>
      </c>
      <c r="E570" s="26">
        <v>0</v>
      </c>
      <c r="F570" s="26">
        <v>0</v>
      </c>
      <c r="G570" s="26">
        <v>0</v>
      </c>
      <c r="H570" s="26">
        <v>0</v>
      </c>
      <c r="I570" s="26">
        <v>0</v>
      </c>
      <c r="J570" s="26">
        <v>0</v>
      </c>
      <c r="K570" s="26">
        <v>0</v>
      </c>
      <c r="L570" s="27">
        <v>0</v>
      </c>
    </row>
    <row r="571" spans="1:12">
      <c r="A571" s="24" t="s">
        <v>91</v>
      </c>
      <c r="B571" s="24" t="s">
        <v>318</v>
      </c>
      <c r="C571" s="25">
        <v>45778</v>
      </c>
      <c r="D571" s="24" t="s">
        <v>2661</v>
      </c>
      <c r="E571" s="26">
        <v>0</v>
      </c>
      <c r="F571" s="26">
        <v>0</v>
      </c>
      <c r="G571" s="26">
        <v>0</v>
      </c>
      <c r="H571" s="26">
        <v>0</v>
      </c>
      <c r="I571" s="26">
        <v>0</v>
      </c>
      <c r="J571" s="26">
        <v>0</v>
      </c>
      <c r="K571" s="26">
        <v>0</v>
      </c>
      <c r="L571" s="27">
        <v>0</v>
      </c>
    </row>
    <row r="572" spans="1:12">
      <c r="A572" s="24" t="s">
        <v>91</v>
      </c>
      <c r="B572" s="24" t="s">
        <v>318</v>
      </c>
      <c r="C572" s="25">
        <v>45809</v>
      </c>
      <c r="D572" s="24" t="s">
        <v>2662</v>
      </c>
      <c r="E572" s="26">
        <v>0</v>
      </c>
      <c r="F572" s="26">
        <v>0</v>
      </c>
      <c r="G572" s="26">
        <v>0</v>
      </c>
      <c r="H572" s="26">
        <v>0</v>
      </c>
      <c r="I572" s="26">
        <v>0</v>
      </c>
      <c r="J572" s="26">
        <v>0</v>
      </c>
      <c r="K572" s="26">
        <v>0</v>
      </c>
      <c r="L572" s="27">
        <v>0</v>
      </c>
    </row>
    <row r="573" spans="1:12">
      <c r="A573" s="24" t="s">
        <v>91</v>
      </c>
      <c r="B573" s="24" t="s">
        <v>318</v>
      </c>
      <c r="C573" s="25">
        <v>45839</v>
      </c>
      <c r="D573" s="24" t="s">
        <v>2663</v>
      </c>
      <c r="E573" s="26">
        <v>0</v>
      </c>
      <c r="F573" s="26">
        <v>0</v>
      </c>
      <c r="G573" s="26">
        <v>0</v>
      </c>
      <c r="H573" s="26">
        <v>73937.539999999994</v>
      </c>
      <c r="I573" s="26">
        <v>-73937.539999999994</v>
      </c>
      <c r="J573" s="26">
        <v>0</v>
      </c>
      <c r="K573" s="26">
        <v>-73937.539999999994</v>
      </c>
      <c r="L573" s="27">
        <v>0</v>
      </c>
    </row>
    <row r="574" spans="1:12">
      <c r="A574" s="24" t="s">
        <v>91</v>
      </c>
      <c r="B574" s="24" t="s">
        <v>318</v>
      </c>
      <c r="C574" s="25">
        <v>45870</v>
      </c>
      <c r="D574" s="24" t="s">
        <v>2664</v>
      </c>
      <c r="E574" s="26">
        <v>18521.07</v>
      </c>
      <c r="F574" s="26">
        <v>0</v>
      </c>
      <c r="G574" s="26">
        <v>18521.07</v>
      </c>
      <c r="H574" s="26">
        <v>0</v>
      </c>
      <c r="I574" s="26">
        <v>18521.07</v>
      </c>
      <c r="J574" s="26">
        <v>0</v>
      </c>
      <c r="K574" s="26">
        <v>18521.07</v>
      </c>
      <c r="L574" s="27">
        <v>1</v>
      </c>
    </row>
    <row r="575" spans="1:12">
      <c r="A575" s="24" t="s">
        <v>91</v>
      </c>
      <c r="B575" s="24" t="s">
        <v>318</v>
      </c>
      <c r="C575" s="25">
        <v>45901</v>
      </c>
      <c r="D575" s="24" t="s">
        <v>2665</v>
      </c>
      <c r="E575" s="26">
        <v>29008.82</v>
      </c>
      <c r="F575" s="26">
        <v>0</v>
      </c>
      <c r="G575" s="26">
        <v>29008.82</v>
      </c>
      <c r="H575" s="26">
        <v>12916.43</v>
      </c>
      <c r="I575" s="26">
        <v>16092.39</v>
      </c>
      <c r="J575" s="26">
        <v>0</v>
      </c>
      <c r="K575" s="26">
        <v>16092.39</v>
      </c>
      <c r="L575" s="27">
        <v>0.55474128213419227</v>
      </c>
    </row>
    <row r="576" spans="1:12">
      <c r="A576" s="24" t="s">
        <v>91</v>
      </c>
      <c r="B576" s="24" t="s">
        <v>318</v>
      </c>
      <c r="C576" s="25">
        <v>45931</v>
      </c>
      <c r="D576" s="24" t="s">
        <v>2666</v>
      </c>
      <c r="E576" s="26">
        <v>21309.25</v>
      </c>
      <c r="F576" s="26">
        <v>0</v>
      </c>
      <c r="G576" s="26">
        <v>21309.25</v>
      </c>
      <c r="H576" s="26">
        <v>112049.9</v>
      </c>
      <c r="I576" s="26">
        <v>-90740.65</v>
      </c>
      <c r="J576" s="26">
        <v>0</v>
      </c>
      <c r="K576" s="26">
        <v>-90740.65</v>
      </c>
      <c r="L576" s="27">
        <v>-4.2582751621948214</v>
      </c>
    </row>
    <row r="577" spans="1:12">
      <c r="A577" s="24" t="s">
        <v>91</v>
      </c>
      <c r="B577" s="24" t="s">
        <v>318</v>
      </c>
      <c r="C577" s="25">
        <v>45962</v>
      </c>
      <c r="D577" s="24" t="s">
        <v>2667</v>
      </c>
      <c r="E577" s="26">
        <v>24356.44</v>
      </c>
      <c r="F577" s="26">
        <v>0</v>
      </c>
      <c r="G577" s="26">
        <v>24356.44</v>
      </c>
      <c r="H577" s="26">
        <v>0</v>
      </c>
      <c r="I577" s="26">
        <v>24356.44</v>
      </c>
      <c r="J577" s="26">
        <v>0</v>
      </c>
      <c r="K577" s="26">
        <v>24356.44</v>
      </c>
      <c r="L577" s="27">
        <v>1</v>
      </c>
    </row>
    <row r="578" spans="1:12">
      <c r="A578" s="24" t="s">
        <v>91</v>
      </c>
      <c r="B578" s="24" t="s">
        <v>318</v>
      </c>
      <c r="C578" s="25">
        <v>45992</v>
      </c>
      <c r="D578" s="24" t="s">
        <v>2668</v>
      </c>
      <c r="E578" s="26">
        <v>0</v>
      </c>
      <c r="F578" s="26">
        <v>0</v>
      </c>
      <c r="G578" s="26">
        <v>0</v>
      </c>
      <c r="H578" s="26">
        <v>0</v>
      </c>
      <c r="I578" s="26">
        <v>0</v>
      </c>
      <c r="J578" s="26">
        <v>0</v>
      </c>
      <c r="K578" s="26">
        <v>0</v>
      </c>
      <c r="L578" s="27">
        <v>0</v>
      </c>
    </row>
    <row r="579" spans="1:12">
      <c r="A579" s="24" t="s">
        <v>67</v>
      </c>
      <c r="B579" s="24" t="s">
        <v>337</v>
      </c>
      <c r="C579" s="25">
        <v>45658</v>
      </c>
      <c r="D579" s="24" t="s">
        <v>2657</v>
      </c>
      <c r="E579" s="26">
        <v>0</v>
      </c>
      <c r="F579" s="26">
        <v>0</v>
      </c>
      <c r="G579" s="26">
        <v>0</v>
      </c>
      <c r="H579" s="26">
        <v>0</v>
      </c>
      <c r="I579" s="26">
        <v>0</v>
      </c>
      <c r="J579" s="26">
        <v>0</v>
      </c>
      <c r="K579" s="26">
        <v>0</v>
      </c>
      <c r="L579" s="27">
        <v>0</v>
      </c>
    </row>
    <row r="580" spans="1:12">
      <c r="A580" s="24" t="s">
        <v>67</v>
      </c>
      <c r="B580" s="24" t="s">
        <v>337</v>
      </c>
      <c r="C580" s="25">
        <v>45689</v>
      </c>
      <c r="D580" s="24" t="s">
        <v>2658</v>
      </c>
      <c r="E580" s="26">
        <v>0</v>
      </c>
      <c r="F580" s="26">
        <v>0</v>
      </c>
      <c r="G580" s="26">
        <v>0</v>
      </c>
      <c r="H580" s="26">
        <v>0</v>
      </c>
      <c r="I580" s="26">
        <v>0</v>
      </c>
      <c r="J580" s="26">
        <v>0</v>
      </c>
      <c r="K580" s="26">
        <v>0</v>
      </c>
      <c r="L580" s="27">
        <v>0</v>
      </c>
    </row>
    <row r="581" spans="1:12">
      <c r="A581" s="24" t="s">
        <v>67</v>
      </c>
      <c r="B581" s="24" t="s">
        <v>337</v>
      </c>
      <c r="C581" s="25">
        <v>45717</v>
      </c>
      <c r="D581" s="24" t="s">
        <v>2659</v>
      </c>
      <c r="E581" s="26">
        <v>0</v>
      </c>
      <c r="F581" s="26">
        <v>0</v>
      </c>
      <c r="G581" s="26">
        <v>0</v>
      </c>
      <c r="H581" s="26">
        <v>0</v>
      </c>
      <c r="I581" s="26">
        <v>0</v>
      </c>
      <c r="J581" s="26">
        <v>0</v>
      </c>
      <c r="K581" s="26">
        <v>0</v>
      </c>
      <c r="L581" s="27">
        <v>0</v>
      </c>
    </row>
    <row r="582" spans="1:12">
      <c r="A582" s="24" t="s">
        <v>67</v>
      </c>
      <c r="B582" s="24" t="s">
        <v>337</v>
      </c>
      <c r="C582" s="25">
        <v>45748</v>
      </c>
      <c r="D582" s="24" t="s">
        <v>2660</v>
      </c>
      <c r="E582" s="26">
        <v>0</v>
      </c>
      <c r="F582" s="26">
        <v>0</v>
      </c>
      <c r="G582" s="26">
        <v>0</v>
      </c>
      <c r="H582" s="26">
        <v>0</v>
      </c>
      <c r="I582" s="26">
        <v>0</v>
      </c>
      <c r="J582" s="26">
        <v>0</v>
      </c>
      <c r="K582" s="26">
        <v>0</v>
      </c>
      <c r="L582" s="27">
        <v>0</v>
      </c>
    </row>
    <row r="583" spans="1:12">
      <c r="A583" s="24" t="s">
        <v>67</v>
      </c>
      <c r="B583" s="24" t="s">
        <v>337</v>
      </c>
      <c r="C583" s="25">
        <v>45778</v>
      </c>
      <c r="D583" s="24" t="s">
        <v>2661</v>
      </c>
      <c r="E583" s="26">
        <v>0</v>
      </c>
      <c r="F583" s="26">
        <v>0</v>
      </c>
      <c r="G583" s="26">
        <v>0</v>
      </c>
      <c r="H583" s="26">
        <v>0</v>
      </c>
      <c r="I583" s="26">
        <v>0</v>
      </c>
      <c r="J583" s="26">
        <v>0</v>
      </c>
      <c r="K583" s="26">
        <v>0</v>
      </c>
      <c r="L583" s="27">
        <v>0</v>
      </c>
    </row>
    <row r="584" spans="1:12">
      <c r="A584" s="24" t="s">
        <v>67</v>
      </c>
      <c r="B584" s="24" t="s">
        <v>337</v>
      </c>
      <c r="C584" s="25">
        <v>45809</v>
      </c>
      <c r="D584" s="24" t="s">
        <v>2662</v>
      </c>
      <c r="E584" s="26">
        <v>0</v>
      </c>
      <c r="F584" s="26">
        <v>0</v>
      </c>
      <c r="G584" s="26">
        <v>0</v>
      </c>
      <c r="H584" s="26">
        <v>0</v>
      </c>
      <c r="I584" s="26">
        <v>0</v>
      </c>
      <c r="J584" s="26">
        <v>0</v>
      </c>
      <c r="K584" s="26">
        <v>0</v>
      </c>
      <c r="L584" s="27">
        <v>0</v>
      </c>
    </row>
    <row r="585" spans="1:12">
      <c r="A585" s="24" t="s">
        <v>67</v>
      </c>
      <c r="B585" s="24" t="s">
        <v>337</v>
      </c>
      <c r="C585" s="25">
        <v>45839</v>
      </c>
      <c r="D585" s="24" t="s">
        <v>2663</v>
      </c>
      <c r="E585" s="26">
        <v>20713.259999999998</v>
      </c>
      <c r="F585" s="26">
        <v>0</v>
      </c>
      <c r="G585" s="26">
        <v>20713.259999999998</v>
      </c>
      <c r="H585" s="26">
        <v>0</v>
      </c>
      <c r="I585" s="26">
        <v>20713.259999999998</v>
      </c>
      <c r="J585" s="26">
        <v>0</v>
      </c>
      <c r="K585" s="26">
        <v>20713.259999999998</v>
      </c>
      <c r="L585" s="27">
        <v>1</v>
      </c>
    </row>
    <row r="586" spans="1:12">
      <c r="A586" s="24" t="s">
        <v>67</v>
      </c>
      <c r="B586" s="24" t="s">
        <v>337</v>
      </c>
      <c r="C586" s="25">
        <v>45870</v>
      </c>
      <c r="D586" s="24" t="s">
        <v>2664</v>
      </c>
      <c r="E586" s="26">
        <v>22263.5</v>
      </c>
      <c r="F586" s="26">
        <v>0</v>
      </c>
      <c r="G586" s="26">
        <v>22263.5</v>
      </c>
      <c r="H586" s="26">
        <v>0</v>
      </c>
      <c r="I586" s="26">
        <v>22263.5</v>
      </c>
      <c r="J586" s="26">
        <v>0</v>
      </c>
      <c r="K586" s="26">
        <v>22263.5</v>
      </c>
      <c r="L586" s="27">
        <v>1</v>
      </c>
    </row>
    <row r="587" spans="1:12">
      <c r="A587" s="24" t="s">
        <v>67</v>
      </c>
      <c r="B587" s="24" t="s">
        <v>337</v>
      </c>
      <c r="C587" s="25">
        <v>45901</v>
      </c>
      <c r="D587" s="24" t="s">
        <v>2665</v>
      </c>
      <c r="E587" s="26">
        <v>0</v>
      </c>
      <c r="F587" s="26">
        <v>0</v>
      </c>
      <c r="G587" s="26">
        <v>0</v>
      </c>
      <c r="H587" s="26">
        <v>0</v>
      </c>
      <c r="I587" s="26">
        <v>0</v>
      </c>
      <c r="J587" s="26">
        <v>0</v>
      </c>
      <c r="K587" s="26">
        <v>0</v>
      </c>
      <c r="L587" s="27">
        <v>0</v>
      </c>
    </row>
    <row r="588" spans="1:12">
      <c r="A588" s="24" t="s">
        <v>67</v>
      </c>
      <c r="B588" s="24" t="s">
        <v>337</v>
      </c>
      <c r="C588" s="25">
        <v>45931</v>
      </c>
      <c r="D588" s="24" t="s">
        <v>2666</v>
      </c>
      <c r="E588" s="26">
        <v>17490.12</v>
      </c>
      <c r="F588" s="26">
        <v>0</v>
      </c>
      <c r="G588" s="26">
        <v>17490.12</v>
      </c>
      <c r="H588" s="26">
        <v>0</v>
      </c>
      <c r="I588" s="26">
        <v>17490.12</v>
      </c>
      <c r="J588" s="26">
        <v>0</v>
      </c>
      <c r="K588" s="26">
        <v>17490.12</v>
      </c>
      <c r="L588" s="27">
        <v>1</v>
      </c>
    </row>
    <row r="589" spans="1:12">
      <c r="A589" s="24" t="s">
        <v>67</v>
      </c>
      <c r="B589" s="24" t="s">
        <v>337</v>
      </c>
      <c r="C589" s="25">
        <v>45962</v>
      </c>
      <c r="D589" s="24" t="s">
        <v>2667</v>
      </c>
      <c r="E589" s="26">
        <v>0</v>
      </c>
      <c r="F589" s="26">
        <v>0</v>
      </c>
      <c r="G589" s="26">
        <v>0</v>
      </c>
      <c r="H589" s="26">
        <v>0</v>
      </c>
      <c r="I589" s="26">
        <v>0</v>
      </c>
      <c r="J589" s="26">
        <v>0</v>
      </c>
      <c r="K589" s="26">
        <v>0</v>
      </c>
      <c r="L589" s="27">
        <v>0</v>
      </c>
    </row>
    <row r="590" spans="1:12">
      <c r="A590" s="24" t="s">
        <v>67</v>
      </c>
      <c r="B590" s="24" t="s">
        <v>337</v>
      </c>
      <c r="C590" s="25">
        <v>45992</v>
      </c>
      <c r="D590" s="24" t="s">
        <v>2668</v>
      </c>
      <c r="E590" s="26">
        <v>0</v>
      </c>
      <c r="F590" s="26">
        <v>0</v>
      </c>
      <c r="G590" s="26">
        <v>0</v>
      </c>
      <c r="H590" s="26">
        <v>0</v>
      </c>
      <c r="I590" s="26">
        <v>0</v>
      </c>
      <c r="J590" s="26">
        <v>0</v>
      </c>
      <c r="K590" s="26">
        <v>0</v>
      </c>
      <c r="L590" s="27">
        <v>0</v>
      </c>
    </row>
    <row r="591" spans="1:12">
      <c r="A591" s="24" t="s">
        <v>159</v>
      </c>
      <c r="B591" s="24" t="s">
        <v>337</v>
      </c>
      <c r="C591" s="25">
        <v>45658</v>
      </c>
      <c r="D591" s="24" t="s">
        <v>2657</v>
      </c>
      <c r="E591" s="26">
        <v>0</v>
      </c>
      <c r="F591" s="26">
        <v>0</v>
      </c>
      <c r="G591" s="26">
        <v>0</v>
      </c>
      <c r="H591" s="26">
        <v>0</v>
      </c>
      <c r="I591" s="26">
        <v>0</v>
      </c>
      <c r="J591" s="26">
        <v>0</v>
      </c>
      <c r="K591" s="26">
        <v>0</v>
      </c>
      <c r="L591" s="27">
        <v>0</v>
      </c>
    </row>
    <row r="592" spans="1:12">
      <c r="A592" s="24" t="s">
        <v>159</v>
      </c>
      <c r="B592" s="24" t="s">
        <v>337</v>
      </c>
      <c r="C592" s="25">
        <v>45689</v>
      </c>
      <c r="D592" s="24" t="s">
        <v>2658</v>
      </c>
      <c r="E592" s="26">
        <v>0</v>
      </c>
      <c r="F592" s="26">
        <v>0</v>
      </c>
      <c r="G592" s="26">
        <v>0</v>
      </c>
      <c r="H592" s="26">
        <v>0</v>
      </c>
      <c r="I592" s="26">
        <v>0</v>
      </c>
      <c r="J592" s="26">
        <v>0</v>
      </c>
      <c r="K592" s="26">
        <v>0</v>
      </c>
      <c r="L592" s="27">
        <v>0</v>
      </c>
    </row>
    <row r="593" spans="1:12">
      <c r="A593" s="24" t="s">
        <v>159</v>
      </c>
      <c r="B593" s="24" t="s">
        <v>337</v>
      </c>
      <c r="C593" s="25">
        <v>45717</v>
      </c>
      <c r="D593" s="24" t="s">
        <v>2659</v>
      </c>
      <c r="E593" s="26">
        <v>0</v>
      </c>
      <c r="F593" s="26">
        <v>0</v>
      </c>
      <c r="G593" s="26">
        <v>0</v>
      </c>
      <c r="H593" s="26">
        <v>0</v>
      </c>
      <c r="I593" s="26">
        <v>0</v>
      </c>
      <c r="J593" s="26">
        <v>0</v>
      </c>
      <c r="K593" s="26">
        <v>0</v>
      </c>
      <c r="L593" s="27">
        <v>0</v>
      </c>
    </row>
    <row r="594" spans="1:12">
      <c r="A594" s="24" t="s">
        <v>159</v>
      </c>
      <c r="B594" s="24" t="s">
        <v>337</v>
      </c>
      <c r="C594" s="25">
        <v>45748</v>
      </c>
      <c r="D594" s="24" t="s">
        <v>2660</v>
      </c>
      <c r="E594" s="26">
        <v>0</v>
      </c>
      <c r="F594" s="26">
        <v>0</v>
      </c>
      <c r="G594" s="26">
        <v>0</v>
      </c>
      <c r="H594" s="26">
        <v>0</v>
      </c>
      <c r="I594" s="26">
        <v>0</v>
      </c>
      <c r="J594" s="26">
        <v>0</v>
      </c>
      <c r="K594" s="26">
        <v>0</v>
      </c>
      <c r="L594" s="27">
        <v>0</v>
      </c>
    </row>
    <row r="595" spans="1:12">
      <c r="A595" s="24" t="s">
        <v>159</v>
      </c>
      <c r="B595" s="24" t="s">
        <v>337</v>
      </c>
      <c r="C595" s="25">
        <v>45778</v>
      </c>
      <c r="D595" s="24" t="s">
        <v>2661</v>
      </c>
      <c r="E595" s="26">
        <v>0</v>
      </c>
      <c r="F595" s="26">
        <v>0</v>
      </c>
      <c r="G595" s="26">
        <v>0</v>
      </c>
      <c r="H595" s="26">
        <v>0</v>
      </c>
      <c r="I595" s="26">
        <v>0</v>
      </c>
      <c r="J595" s="26">
        <v>0</v>
      </c>
      <c r="K595" s="26">
        <v>0</v>
      </c>
      <c r="L595" s="27">
        <v>0</v>
      </c>
    </row>
    <row r="596" spans="1:12">
      <c r="A596" s="24" t="s">
        <v>159</v>
      </c>
      <c r="B596" s="24" t="s">
        <v>337</v>
      </c>
      <c r="C596" s="25">
        <v>45809</v>
      </c>
      <c r="D596" s="24" t="s">
        <v>2662</v>
      </c>
      <c r="E596" s="26">
        <v>0</v>
      </c>
      <c r="F596" s="26">
        <v>0</v>
      </c>
      <c r="G596" s="26">
        <v>0</v>
      </c>
      <c r="H596" s="26">
        <v>0</v>
      </c>
      <c r="I596" s="26">
        <v>0</v>
      </c>
      <c r="J596" s="26">
        <v>0</v>
      </c>
      <c r="K596" s="26">
        <v>0</v>
      </c>
      <c r="L596" s="27">
        <v>0</v>
      </c>
    </row>
    <row r="597" spans="1:12">
      <c r="A597" s="24" t="s">
        <v>159</v>
      </c>
      <c r="B597" s="24" t="s">
        <v>337</v>
      </c>
      <c r="C597" s="25">
        <v>45839</v>
      </c>
      <c r="D597" s="24" t="s">
        <v>2663</v>
      </c>
      <c r="E597" s="26">
        <v>0</v>
      </c>
      <c r="F597" s="26">
        <v>0</v>
      </c>
      <c r="G597" s="26">
        <v>0</v>
      </c>
      <c r="H597" s="26">
        <v>0</v>
      </c>
      <c r="I597" s="26">
        <v>0</v>
      </c>
      <c r="J597" s="26">
        <v>0</v>
      </c>
      <c r="K597" s="26">
        <v>0</v>
      </c>
      <c r="L597" s="27">
        <v>0</v>
      </c>
    </row>
    <row r="598" spans="1:12">
      <c r="A598" s="24" t="s">
        <v>159</v>
      </c>
      <c r="B598" s="24" t="s">
        <v>337</v>
      </c>
      <c r="C598" s="25">
        <v>45870</v>
      </c>
      <c r="D598" s="24" t="s">
        <v>2664</v>
      </c>
      <c r="E598" s="26">
        <v>13783.81</v>
      </c>
      <c r="F598" s="26">
        <v>0</v>
      </c>
      <c r="G598" s="26">
        <v>13783.81</v>
      </c>
      <c r="H598" s="26">
        <v>0</v>
      </c>
      <c r="I598" s="26">
        <v>13783.81</v>
      </c>
      <c r="J598" s="26">
        <v>0</v>
      </c>
      <c r="K598" s="26">
        <v>13783.81</v>
      </c>
      <c r="L598" s="27">
        <v>1</v>
      </c>
    </row>
    <row r="599" spans="1:12">
      <c r="A599" s="24" t="s">
        <v>159</v>
      </c>
      <c r="B599" s="24" t="s">
        <v>337</v>
      </c>
      <c r="C599" s="25">
        <v>45901</v>
      </c>
      <c r="D599" s="24" t="s">
        <v>2665</v>
      </c>
      <c r="E599" s="26">
        <v>14108.02</v>
      </c>
      <c r="F599" s="26">
        <v>0</v>
      </c>
      <c r="G599" s="26">
        <v>14108.02</v>
      </c>
      <c r="H599" s="26">
        <v>0</v>
      </c>
      <c r="I599" s="26">
        <v>14108.02</v>
      </c>
      <c r="J599" s="26">
        <v>0</v>
      </c>
      <c r="K599" s="26">
        <v>14108.02</v>
      </c>
      <c r="L599" s="27">
        <v>1</v>
      </c>
    </row>
    <row r="600" spans="1:12">
      <c r="A600" s="24" t="s">
        <v>159</v>
      </c>
      <c r="B600" s="24" t="s">
        <v>337</v>
      </c>
      <c r="C600" s="25">
        <v>45931</v>
      </c>
      <c r="D600" s="24" t="s">
        <v>2666</v>
      </c>
      <c r="E600" s="26">
        <v>18008.91</v>
      </c>
      <c r="F600" s="26">
        <v>0</v>
      </c>
      <c r="G600" s="26">
        <v>18008.91</v>
      </c>
      <c r="H600" s="26">
        <v>51659.65</v>
      </c>
      <c r="I600" s="26">
        <v>-33650.740000000013</v>
      </c>
      <c r="J600" s="26">
        <v>0</v>
      </c>
      <c r="K600" s="26">
        <v>-33650.740000000013</v>
      </c>
      <c r="L600" s="27">
        <v>-1.868560618049621</v>
      </c>
    </row>
    <row r="601" spans="1:12">
      <c r="A601" s="24" t="s">
        <v>159</v>
      </c>
      <c r="B601" s="24" t="s">
        <v>337</v>
      </c>
      <c r="C601" s="25">
        <v>45962</v>
      </c>
      <c r="D601" s="24" t="s">
        <v>2667</v>
      </c>
      <c r="E601" s="26">
        <v>0</v>
      </c>
      <c r="F601" s="26">
        <v>0</v>
      </c>
      <c r="G601" s="26">
        <v>0</v>
      </c>
      <c r="H601" s="26">
        <v>45242.27</v>
      </c>
      <c r="I601" s="26">
        <v>-45242.27</v>
      </c>
      <c r="J601" s="26">
        <v>0</v>
      </c>
      <c r="K601" s="26">
        <v>-45242.27</v>
      </c>
      <c r="L601" s="27">
        <v>0</v>
      </c>
    </row>
    <row r="602" spans="1:12">
      <c r="A602" s="24" t="s">
        <v>159</v>
      </c>
      <c r="B602" s="24" t="s">
        <v>337</v>
      </c>
      <c r="C602" s="25">
        <v>45992</v>
      </c>
      <c r="D602" s="24" t="s">
        <v>2668</v>
      </c>
      <c r="E602" s="26">
        <v>0</v>
      </c>
      <c r="F602" s="26">
        <v>0</v>
      </c>
      <c r="G602" s="26">
        <v>0</v>
      </c>
      <c r="H602" s="26">
        <v>0</v>
      </c>
      <c r="I602" s="26">
        <v>0</v>
      </c>
      <c r="J602" s="26">
        <v>0</v>
      </c>
      <c r="K602" s="26">
        <v>0</v>
      </c>
      <c r="L602" s="27">
        <v>0</v>
      </c>
    </row>
    <row r="603" spans="1:12">
      <c r="A603" s="24" t="s">
        <v>21</v>
      </c>
      <c r="B603" s="24" t="s">
        <v>337</v>
      </c>
      <c r="C603" s="25">
        <v>45658</v>
      </c>
      <c r="D603" s="24" t="s">
        <v>2657</v>
      </c>
      <c r="E603" s="26">
        <v>0</v>
      </c>
      <c r="F603" s="26">
        <v>0</v>
      </c>
      <c r="G603" s="26">
        <v>0</v>
      </c>
      <c r="H603" s="26">
        <v>0</v>
      </c>
      <c r="I603" s="26">
        <v>0</v>
      </c>
      <c r="J603" s="26">
        <v>0</v>
      </c>
      <c r="K603" s="26">
        <v>0</v>
      </c>
      <c r="L603" s="27">
        <v>0</v>
      </c>
    </row>
    <row r="604" spans="1:12">
      <c r="A604" s="24" t="s">
        <v>21</v>
      </c>
      <c r="B604" s="24" t="s">
        <v>337</v>
      </c>
      <c r="C604" s="25">
        <v>45689</v>
      </c>
      <c r="D604" s="24" t="s">
        <v>2658</v>
      </c>
      <c r="E604" s="26">
        <v>0</v>
      </c>
      <c r="F604" s="26">
        <v>0</v>
      </c>
      <c r="G604" s="26">
        <v>0</v>
      </c>
      <c r="H604" s="26">
        <v>0</v>
      </c>
      <c r="I604" s="26">
        <v>0</v>
      </c>
      <c r="J604" s="26">
        <v>0</v>
      </c>
      <c r="K604" s="26">
        <v>0</v>
      </c>
      <c r="L604" s="27">
        <v>0</v>
      </c>
    </row>
    <row r="605" spans="1:12">
      <c r="A605" s="24" t="s">
        <v>21</v>
      </c>
      <c r="B605" s="24" t="s">
        <v>337</v>
      </c>
      <c r="C605" s="25">
        <v>45717</v>
      </c>
      <c r="D605" s="24" t="s">
        <v>2659</v>
      </c>
      <c r="E605" s="26">
        <v>0</v>
      </c>
      <c r="F605" s="26">
        <v>0</v>
      </c>
      <c r="G605" s="26">
        <v>0</v>
      </c>
      <c r="H605" s="26">
        <v>0</v>
      </c>
      <c r="I605" s="26">
        <v>0</v>
      </c>
      <c r="J605" s="26">
        <v>0</v>
      </c>
      <c r="K605" s="26">
        <v>0</v>
      </c>
      <c r="L605" s="27">
        <v>0</v>
      </c>
    </row>
    <row r="606" spans="1:12">
      <c r="A606" s="24" t="s">
        <v>21</v>
      </c>
      <c r="B606" s="24" t="s">
        <v>337</v>
      </c>
      <c r="C606" s="25">
        <v>45748</v>
      </c>
      <c r="D606" s="24" t="s">
        <v>2660</v>
      </c>
      <c r="E606" s="26">
        <v>0</v>
      </c>
      <c r="F606" s="26">
        <v>0</v>
      </c>
      <c r="G606" s="26">
        <v>0</v>
      </c>
      <c r="H606" s="26">
        <v>0</v>
      </c>
      <c r="I606" s="26">
        <v>0</v>
      </c>
      <c r="J606" s="26">
        <v>0</v>
      </c>
      <c r="K606" s="26">
        <v>0</v>
      </c>
      <c r="L606" s="27">
        <v>0</v>
      </c>
    </row>
    <row r="607" spans="1:12">
      <c r="A607" s="24" t="s">
        <v>21</v>
      </c>
      <c r="B607" s="24" t="s">
        <v>337</v>
      </c>
      <c r="C607" s="25">
        <v>45778</v>
      </c>
      <c r="D607" s="24" t="s">
        <v>2661</v>
      </c>
      <c r="E607" s="26">
        <v>0</v>
      </c>
      <c r="F607" s="26">
        <v>0</v>
      </c>
      <c r="G607" s="26">
        <v>0</v>
      </c>
      <c r="H607" s="26">
        <v>0</v>
      </c>
      <c r="I607" s="26">
        <v>0</v>
      </c>
      <c r="J607" s="26">
        <v>0</v>
      </c>
      <c r="K607" s="26">
        <v>0</v>
      </c>
      <c r="L607" s="27">
        <v>0</v>
      </c>
    </row>
    <row r="608" spans="1:12">
      <c r="A608" s="24" t="s">
        <v>21</v>
      </c>
      <c r="B608" s="24" t="s">
        <v>337</v>
      </c>
      <c r="C608" s="25">
        <v>45809</v>
      </c>
      <c r="D608" s="24" t="s">
        <v>2662</v>
      </c>
      <c r="E608" s="26">
        <v>0</v>
      </c>
      <c r="F608" s="26">
        <v>0</v>
      </c>
      <c r="G608" s="26">
        <v>0</v>
      </c>
      <c r="H608" s="26">
        <v>0</v>
      </c>
      <c r="I608" s="26">
        <v>0</v>
      </c>
      <c r="J608" s="26">
        <v>0</v>
      </c>
      <c r="K608" s="26">
        <v>0</v>
      </c>
      <c r="L608" s="27">
        <v>0</v>
      </c>
    </row>
    <row r="609" spans="1:12">
      <c r="A609" s="24" t="s">
        <v>21</v>
      </c>
      <c r="B609" s="24" t="s">
        <v>337</v>
      </c>
      <c r="C609" s="25">
        <v>45839</v>
      </c>
      <c r="D609" s="24" t="s">
        <v>2663</v>
      </c>
      <c r="E609" s="26">
        <v>0</v>
      </c>
      <c r="F609" s="26">
        <v>0</v>
      </c>
      <c r="G609" s="26">
        <v>0</v>
      </c>
      <c r="H609" s="26">
        <v>0</v>
      </c>
      <c r="I609" s="26">
        <v>0</v>
      </c>
      <c r="J609" s="26">
        <v>0</v>
      </c>
      <c r="K609" s="26">
        <v>0</v>
      </c>
      <c r="L609" s="27">
        <v>0</v>
      </c>
    </row>
    <row r="610" spans="1:12">
      <c r="A610" s="24" t="s">
        <v>21</v>
      </c>
      <c r="B610" s="24" t="s">
        <v>337</v>
      </c>
      <c r="C610" s="25">
        <v>45870</v>
      </c>
      <c r="D610" s="24" t="s">
        <v>2664</v>
      </c>
      <c r="E610" s="26">
        <v>0</v>
      </c>
      <c r="F610" s="26">
        <v>0</v>
      </c>
      <c r="G610" s="26">
        <v>0</v>
      </c>
      <c r="H610" s="26">
        <v>0</v>
      </c>
      <c r="I610" s="26">
        <v>0</v>
      </c>
      <c r="J610" s="26">
        <v>0</v>
      </c>
      <c r="K610" s="26">
        <v>0</v>
      </c>
      <c r="L610" s="27">
        <v>0</v>
      </c>
    </row>
    <row r="611" spans="1:12">
      <c r="A611" s="24" t="s">
        <v>21</v>
      </c>
      <c r="B611" s="24" t="s">
        <v>337</v>
      </c>
      <c r="C611" s="25">
        <v>45901</v>
      </c>
      <c r="D611" s="24" t="s">
        <v>2665</v>
      </c>
      <c r="E611" s="26">
        <v>0</v>
      </c>
      <c r="F611" s="26">
        <v>0</v>
      </c>
      <c r="G611" s="26">
        <v>0</v>
      </c>
      <c r="H611" s="26">
        <v>0</v>
      </c>
      <c r="I611" s="26">
        <v>0</v>
      </c>
      <c r="J611" s="26">
        <v>0</v>
      </c>
      <c r="K611" s="26">
        <v>0</v>
      </c>
      <c r="L611" s="27">
        <v>0</v>
      </c>
    </row>
    <row r="612" spans="1:12">
      <c r="A612" s="24" t="s">
        <v>21</v>
      </c>
      <c r="B612" s="24" t="s">
        <v>337</v>
      </c>
      <c r="C612" s="25">
        <v>45931</v>
      </c>
      <c r="D612" s="24" t="s">
        <v>2666</v>
      </c>
      <c r="E612" s="26">
        <v>0</v>
      </c>
      <c r="F612" s="26">
        <v>0</v>
      </c>
      <c r="G612" s="26">
        <v>0</v>
      </c>
      <c r="H612" s="26">
        <v>114074.88</v>
      </c>
      <c r="I612" s="26">
        <v>-114074.88</v>
      </c>
      <c r="J612" s="26">
        <v>0</v>
      </c>
      <c r="K612" s="26">
        <v>-114074.88</v>
      </c>
      <c r="L612" s="27">
        <v>0</v>
      </c>
    </row>
    <row r="613" spans="1:12">
      <c r="A613" s="24" t="s">
        <v>21</v>
      </c>
      <c r="B613" s="24" t="s">
        <v>337</v>
      </c>
      <c r="C613" s="25">
        <v>45962</v>
      </c>
      <c r="D613" s="24" t="s">
        <v>2667</v>
      </c>
      <c r="E613" s="26">
        <v>0</v>
      </c>
      <c r="F613" s="26">
        <v>0</v>
      </c>
      <c r="G613" s="26">
        <v>0</v>
      </c>
      <c r="H613" s="26">
        <v>0</v>
      </c>
      <c r="I613" s="26">
        <v>0</v>
      </c>
      <c r="J613" s="26">
        <v>0</v>
      </c>
      <c r="K613" s="26">
        <v>0</v>
      </c>
      <c r="L613" s="27">
        <v>0</v>
      </c>
    </row>
    <row r="614" spans="1:12">
      <c r="A614" s="24" t="s">
        <v>21</v>
      </c>
      <c r="B614" s="24" t="s">
        <v>337</v>
      </c>
      <c r="C614" s="25">
        <v>45992</v>
      </c>
      <c r="D614" s="24" t="s">
        <v>2668</v>
      </c>
      <c r="E614" s="26">
        <v>0</v>
      </c>
      <c r="F614" s="26">
        <v>0</v>
      </c>
      <c r="G614" s="26">
        <v>0</v>
      </c>
      <c r="H614" s="26">
        <v>2393.79</v>
      </c>
      <c r="I614" s="26">
        <v>-2393.79</v>
      </c>
      <c r="J614" s="26">
        <v>0</v>
      </c>
      <c r="K614" s="26">
        <v>-2393.79</v>
      </c>
      <c r="L614" s="27">
        <v>0</v>
      </c>
    </row>
    <row r="615" spans="1:12">
      <c r="A615" s="24" t="s">
        <v>110</v>
      </c>
      <c r="B615" s="24" t="s">
        <v>324</v>
      </c>
      <c r="C615" s="25">
        <v>45658</v>
      </c>
      <c r="D615" s="24" t="s">
        <v>2657</v>
      </c>
      <c r="E615" s="26">
        <v>0</v>
      </c>
      <c r="F615" s="26">
        <v>0</v>
      </c>
      <c r="G615" s="26">
        <v>0</v>
      </c>
      <c r="H615" s="26">
        <v>0</v>
      </c>
      <c r="I615" s="26">
        <v>0</v>
      </c>
      <c r="J615" s="26">
        <v>0</v>
      </c>
      <c r="K615" s="26">
        <v>0</v>
      </c>
      <c r="L615" s="27">
        <v>0</v>
      </c>
    </row>
    <row r="616" spans="1:12">
      <c r="A616" s="24" t="s">
        <v>110</v>
      </c>
      <c r="B616" s="24" t="s">
        <v>324</v>
      </c>
      <c r="C616" s="25">
        <v>45689</v>
      </c>
      <c r="D616" s="24" t="s">
        <v>2658</v>
      </c>
      <c r="E616" s="26">
        <v>0</v>
      </c>
      <c r="F616" s="26">
        <v>0</v>
      </c>
      <c r="G616" s="26">
        <v>0</v>
      </c>
      <c r="H616" s="26">
        <v>0</v>
      </c>
      <c r="I616" s="26">
        <v>0</v>
      </c>
      <c r="J616" s="26">
        <v>0</v>
      </c>
      <c r="K616" s="26">
        <v>0</v>
      </c>
      <c r="L616" s="27">
        <v>0</v>
      </c>
    </row>
    <row r="617" spans="1:12">
      <c r="A617" s="24" t="s">
        <v>110</v>
      </c>
      <c r="B617" s="24" t="s">
        <v>324</v>
      </c>
      <c r="C617" s="25">
        <v>45717</v>
      </c>
      <c r="D617" s="24" t="s">
        <v>2659</v>
      </c>
      <c r="E617" s="26">
        <v>0</v>
      </c>
      <c r="F617" s="26">
        <v>0</v>
      </c>
      <c r="G617" s="26">
        <v>0</v>
      </c>
      <c r="H617" s="26">
        <v>0</v>
      </c>
      <c r="I617" s="26">
        <v>0</v>
      </c>
      <c r="J617" s="26">
        <v>0</v>
      </c>
      <c r="K617" s="26">
        <v>0</v>
      </c>
      <c r="L617" s="27">
        <v>0</v>
      </c>
    </row>
    <row r="618" spans="1:12">
      <c r="A618" s="24" t="s">
        <v>110</v>
      </c>
      <c r="B618" s="24" t="s">
        <v>324</v>
      </c>
      <c r="C618" s="25">
        <v>45748</v>
      </c>
      <c r="D618" s="24" t="s">
        <v>2660</v>
      </c>
      <c r="E618" s="26">
        <v>0</v>
      </c>
      <c r="F618" s="26">
        <v>0</v>
      </c>
      <c r="G618" s="26">
        <v>0</v>
      </c>
      <c r="H618" s="26">
        <v>0</v>
      </c>
      <c r="I618" s="26">
        <v>0</v>
      </c>
      <c r="J618" s="26">
        <v>0</v>
      </c>
      <c r="K618" s="26">
        <v>0</v>
      </c>
      <c r="L618" s="27">
        <v>0</v>
      </c>
    </row>
    <row r="619" spans="1:12">
      <c r="A619" s="24" t="s">
        <v>110</v>
      </c>
      <c r="B619" s="24" t="s">
        <v>324</v>
      </c>
      <c r="C619" s="25">
        <v>45778</v>
      </c>
      <c r="D619" s="24" t="s">
        <v>2661</v>
      </c>
      <c r="E619" s="26">
        <v>0</v>
      </c>
      <c r="F619" s="26">
        <v>0</v>
      </c>
      <c r="G619" s="26">
        <v>0</v>
      </c>
      <c r="H619" s="26">
        <v>0</v>
      </c>
      <c r="I619" s="26">
        <v>0</v>
      </c>
      <c r="J619" s="26">
        <v>0</v>
      </c>
      <c r="K619" s="26">
        <v>0</v>
      </c>
      <c r="L619" s="27">
        <v>0</v>
      </c>
    </row>
    <row r="620" spans="1:12">
      <c r="A620" s="24" t="s">
        <v>110</v>
      </c>
      <c r="B620" s="24" t="s">
        <v>324</v>
      </c>
      <c r="C620" s="25">
        <v>45809</v>
      </c>
      <c r="D620" s="24" t="s">
        <v>2662</v>
      </c>
      <c r="E620" s="26">
        <v>0</v>
      </c>
      <c r="F620" s="26">
        <v>0</v>
      </c>
      <c r="G620" s="26">
        <v>0</v>
      </c>
      <c r="H620" s="26">
        <v>0</v>
      </c>
      <c r="I620" s="26">
        <v>0</v>
      </c>
      <c r="J620" s="26">
        <v>0</v>
      </c>
      <c r="K620" s="26">
        <v>0</v>
      </c>
      <c r="L620" s="27">
        <v>0</v>
      </c>
    </row>
    <row r="621" spans="1:12">
      <c r="A621" s="24" t="s">
        <v>110</v>
      </c>
      <c r="B621" s="24" t="s">
        <v>324</v>
      </c>
      <c r="C621" s="25">
        <v>45839</v>
      </c>
      <c r="D621" s="24" t="s">
        <v>2663</v>
      </c>
      <c r="E621" s="26">
        <v>0</v>
      </c>
      <c r="F621" s="26">
        <v>0</v>
      </c>
      <c r="G621" s="26">
        <v>0</v>
      </c>
      <c r="H621" s="26">
        <v>36313.370000000003</v>
      </c>
      <c r="I621" s="26">
        <v>-36313.370000000003</v>
      </c>
      <c r="J621" s="26">
        <v>0</v>
      </c>
      <c r="K621" s="26">
        <v>-36313.370000000003</v>
      </c>
      <c r="L621" s="27">
        <v>0</v>
      </c>
    </row>
    <row r="622" spans="1:12">
      <c r="A622" s="24" t="s">
        <v>110</v>
      </c>
      <c r="B622" s="24" t="s">
        <v>324</v>
      </c>
      <c r="C622" s="25">
        <v>45870</v>
      </c>
      <c r="D622" s="24" t="s">
        <v>2664</v>
      </c>
      <c r="E622" s="26">
        <v>0</v>
      </c>
      <c r="F622" s="26">
        <v>0</v>
      </c>
      <c r="G622" s="26">
        <v>0</v>
      </c>
      <c r="H622" s="26">
        <v>43207.05</v>
      </c>
      <c r="I622" s="26">
        <v>-43207.05</v>
      </c>
      <c r="J622" s="26">
        <v>0</v>
      </c>
      <c r="K622" s="26">
        <v>-43207.05</v>
      </c>
      <c r="L622" s="27">
        <v>0</v>
      </c>
    </row>
    <row r="623" spans="1:12">
      <c r="A623" s="24" t="s">
        <v>110</v>
      </c>
      <c r="B623" s="24" t="s">
        <v>324</v>
      </c>
      <c r="C623" s="25">
        <v>45901</v>
      </c>
      <c r="D623" s="24" t="s">
        <v>2665</v>
      </c>
      <c r="E623" s="26">
        <v>30609.439999999999</v>
      </c>
      <c r="F623" s="26">
        <v>0</v>
      </c>
      <c r="G623" s="26">
        <v>30609.439999999999</v>
      </c>
      <c r="H623" s="26">
        <v>0</v>
      </c>
      <c r="I623" s="26">
        <v>30609.439999999999</v>
      </c>
      <c r="J623" s="26">
        <v>0</v>
      </c>
      <c r="K623" s="26">
        <v>30609.439999999999</v>
      </c>
      <c r="L623" s="27">
        <v>1</v>
      </c>
    </row>
    <row r="624" spans="1:12">
      <c r="A624" s="24" t="s">
        <v>110</v>
      </c>
      <c r="B624" s="24" t="s">
        <v>324</v>
      </c>
      <c r="C624" s="25">
        <v>45931</v>
      </c>
      <c r="D624" s="24" t="s">
        <v>2666</v>
      </c>
      <c r="E624" s="26">
        <v>37875</v>
      </c>
      <c r="F624" s="26">
        <v>0</v>
      </c>
      <c r="G624" s="26">
        <v>37875</v>
      </c>
      <c r="H624" s="26">
        <v>0</v>
      </c>
      <c r="I624" s="26">
        <v>37875</v>
      </c>
      <c r="J624" s="26">
        <v>0</v>
      </c>
      <c r="K624" s="26">
        <v>37875</v>
      </c>
      <c r="L624" s="27">
        <v>1</v>
      </c>
    </row>
    <row r="625" spans="1:12">
      <c r="A625" s="24" t="s">
        <v>110</v>
      </c>
      <c r="B625" s="24" t="s">
        <v>324</v>
      </c>
      <c r="C625" s="25">
        <v>45962</v>
      </c>
      <c r="D625" s="24" t="s">
        <v>2667</v>
      </c>
      <c r="E625" s="26">
        <v>0</v>
      </c>
      <c r="F625" s="26">
        <v>0</v>
      </c>
      <c r="G625" s="26">
        <v>0</v>
      </c>
      <c r="H625" s="26">
        <v>0</v>
      </c>
      <c r="I625" s="26">
        <v>0</v>
      </c>
      <c r="J625" s="26">
        <v>0</v>
      </c>
      <c r="K625" s="26">
        <v>0</v>
      </c>
      <c r="L625" s="27">
        <v>0</v>
      </c>
    </row>
    <row r="626" spans="1:12">
      <c r="A626" s="24" t="s">
        <v>110</v>
      </c>
      <c r="B626" s="24" t="s">
        <v>324</v>
      </c>
      <c r="C626" s="25">
        <v>45992</v>
      </c>
      <c r="D626" s="24" t="s">
        <v>2668</v>
      </c>
      <c r="E626" s="26">
        <v>25428.53</v>
      </c>
      <c r="F626" s="26">
        <v>0</v>
      </c>
      <c r="G626" s="26">
        <v>25428.53</v>
      </c>
      <c r="H626" s="26">
        <v>1397.15</v>
      </c>
      <c r="I626" s="26">
        <v>24031.38</v>
      </c>
      <c r="J626" s="26">
        <v>0</v>
      </c>
      <c r="K626" s="26">
        <v>24031.38</v>
      </c>
      <c r="L626" s="27">
        <v>0.94505580936058819</v>
      </c>
    </row>
    <row r="627" spans="1:12">
      <c r="A627" s="24" t="s">
        <v>281</v>
      </c>
      <c r="B627" s="24" t="s">
        <v>324</v>
      </c>
      <c r="C627" s="25">
        <v>45658</v>
      </c>
      <c r="D627" s="24" t="s">
        <v>2657</v>
      </c>
      <c r="E627" s="26">
        <v>0</v>
      </c>
      <c r="F627" s="26">
        <v>0</v>
      </c>
      <c r="G627" s="26">
        <v>0</v>
      </c>
      <c r="H627" s="26">
        <v>0</v>
      </c>
      <c r="I627" s="26">
        <v>0</v>
      </c>
      <c r="J627" s="26">
        <v>0</v>
      </c>
      <c r="K627" s="26">
        <v>0</v>
      </c>
      <c r="L627" s="27">
        <v>0</v>
      </c>
    </row>
    <row r="628" spans="1:12">
      <c r="A628" s="24" t="s">
        <v>281</v>
      </c>
      <c r="B628" s="24" t="s">
        <v>324</v>
      </c>
      <c r="C628" s="25">
        <v>45689</v>
      </c>
      <c r="D628" s="24" t="s">
        <v>2658</v>
      </c>
      <c r="E628" s="26">
        <v>0</v>
      </c>
      <c r="F628" s="26">
        <v>0</v>
      </c>
      <c r="G628" s="26">
        <v>0</v>
      </c>
      <c r="H628" s="26">
        <v>0</v>
      </c>
      <c r="I628" s="26">
        <v>0</v>
      </c>
      <c r="J628" s="26">
        <v>0</v>
      </c>
      <c r="K628" s="26">
        <v>0</v>
      </c>
      <c r="L628" s="27">
        <v>0</v>
      </c>
    </row>
    <row r="629" spans="1:12">
      <c r="A629" s="24" t="s">
        <v>281</v>
      </c>
      <c r="B629" s="24" t="s">
        <v>324</v>
      </c>
      <c r="C629" s="25">
        <v>45717</v>
      </c>
      <c r="D629" s="24" t="s">
        <v>2659</v>
      </c>
      <c r="E629" s="26">
        <v>0</v>
      </c>
      <c r="F629" s="26">
        <v>0</v>
      </c>
      <c r="G629" s="26">
        <v>0</v>
      </c>
      <c r="H629" s="26">
        <v>0</v>
      </c>
      <c r="I629" s="26">
        <v>0</v>
      </c>
      <c r="J629" s="26">
        <v>0</v>
      </c>
      <c r="K629" s="26">
        <v>0</v>
      </c>
      <c r="L629" s="27">
        <v>0</v>
      </c>
    </row>
    <row r="630" spans="1:12">
      <c r="A630" s="24" t="s">
        <v>281</v>
      </c>
      <c r="B630" s="24" t="s">
        <v>324</v>
      </c>
      <c r="C630" s="25">
        <v>45748</v>
      </c>
      <c r="D630" s="24" t="s">
        <v>2660</v>
      </c>
      <c r="E630" s="26">
        <v>0</v>
      </c>
      <c r="F630" s="26">
        <v>0</v>
      </c>
      <c r="G630" s="26">
        <v>0</v>
      </c>
      <c r="H630" s="26">
        <v>0</v>
      </c>
      <c r="I630" s="26">
        <v>0</v>
      </c>
      <c r="J630" s="26">
        <v>0</v>
      </c>
      <c r="K630" s="26">
        <v>0</v>
      </c>
      <c r="L630" s="27">
        <v>0</v>
      </c>
    </row>
    <row r="631" spans="1:12">
      <c r="A631" s="24" t="s">
        <v>281</v>
      </c>
      <c r="B631" s="24" t="s">
        <v>324</v>
      </c>
      <c r="C631" s="25">
        <v>45778</v>
      </c>
      <c r="D631" s="24" t="s">
        <v>2661</v>
      </c>
      <c r="E631" s="26">
        <v>0</v>
      </c>
      <c r="F631" s="26">
        <v>0</v>
      </c>
      <c r="G631" s="26">
        <v>0</v>
      </c>
      <c r="H631" s="26">
        <v>0</v>
      </c>
      <c r="I631" s="26">
        <v>0</v>
      </c>
      <c r="J631" s="26">
        <v>0</v>
      </c>
      <c r="K631" s="26">
        <v>0</v>
      </c>
      <c r="L631" s="27">
        <v>0</v>
      </c>
    </row>
    <row r="632" spans="1:12">
      <c r="A632" s="24" t="s">
        <v>281</v>
      </c>
      <c r="B632" s="24" t="s">
        <v>324</v>
      </c>
      <c r="C632" s="25">
        <v>45809</v>
      </c>
      <c r="D632" s="24" t="s">
        <v>2662</v>
      </c>
      <c r="E632" s="26">
        <v>0</v>
      </c>
      <c r="F632" s="26">
        <v>0</v>
      </c>
      <c r="G632" s="26">
        <v>0</v>
      </c>
      <c r="H632" s="26">
        <v>0</v>
      </c>
      <c r="I632" s="26">
        <v>0</v>
      </c>
      <c r="J632" s="26">
        <v>0</v>
      </c>
      <c r="K632" s="26">
        <v>0</v>
      </c>
      <c r="L632" s="27">
        <v>0</v>
      </c>
    </row>
    <row r="633" spans="1:12">
      <c r="A633" s="24" t="s">
        <v>281</v>
      </c>
      <c r="B633" s="24" t="s">
        <v>324</v>
      </c>
      <c r="C633" s="25">
        <v>45839</v>
      </c>
      <c r="D633" s="24" t="s">
        <v>2663</v>
      </c>
      <c r="E633" s="26">
        <v>0</v>
      </c>
      <c r="F633" s="26">
        <v>0</v>
      </c>
      <c r="G633" s="26">
        <v>0</v>
      </c>
      <c r="H633" s="26">
        <v>0</v>
      </c>
      <c r="I633" s="26">
        <v>0</v>
      </c>
      <c r="J633" s="26">
        <v>0</v>
      </c>
      <c r="K633" s="26">
        <v>0</v>
      </c>
      <c r="L633" s="27">
        <v>0</v>
      </c>
    </row>
    <row r="634" spans="1:12">
      <c r="A634" s="24" t="s">
        <v>281</v>
      </c>
      <c r="B634" s="24" t="s">
        <v>324</v>
      </c>
      <c r="C634" s="25">
        <v>45870</v>
      </c>
      <c r="D634" s="24" t="s">
        <v>2664</v>
      </c>
      <c r="E634" s="26">
        <v>0</v>
      </c>
      <c r="F634" s="26">
        <v>0</v>
      </c>
      <c r="G634" s="26">
        <v>0</v>
      </c>
      <c r="H634" s="26">
        <v>0</v>
      </c>
      <c r="I634" s="26">
        <v>0</v>
      </c>
      <c r="J634" s="26">
        <v>0</v>
      </c>
      <c r="K634" s="26">
        <v>0</v>
      </c>
      <c r="L634" s="27">
        <v>0</v>
      </c>
    </row>
    <row r="635" spans="1:12">
      <c r="A635" s="24" t="s">
        <v>281</v>
      </c>
      <c r="B635" s="24" t="s">
        <v>324</v>
      </c>
      <c r="C635" s="25">
        <v>45901</v>
      </c>
      <c r="D635" s="24" t="s">
        <v>2665</v>
      </c>
      <c r="E635" s="26">
        <v>67852.97</v>
      </c>
      <c r="F635" s="26">
        <v>0</v>
      </c>
      <c r="G635" s="26">
        <v>67852.97</v>
      </c>
      <c r="H635" s="26">
        <v>0</v>
      </c>
      <c r="I635" s="26">
        <v>67852.97</v>
      </c>
      <c r="J635" s="26">
        <v>0</v>
      </c>
      <c r="K635" s="26">
        <v>67852.97</v>
      </c>
      <c r="L635" s="27">
        <v>1</v>
      </c>
    </row>
    <row r="636" spans="1:12">
      <c r="A636" s="24" t="s">
        <v>281</v>
      </c>
      <c r="B636" s="24" t="s">
        <v>324</v>
      </c>
      <c r="C636" s="25">
        <v>45931</v>
      </c>
      <c r="D636" s="24" t="s">
        <v>2666</v>
      </c>
      <c r="E636" s="26">
        <v>55613.93</v>
      </c>
      <c r="F636" s="26">
        <v>0</v>
      </c>
      <c r="G636" s="26">
        <v>55613.93</v>
      </c>
      <c r="H636" s="26">
        <v>0</v>
      </c>
      <c r="I636" s="26">
        <v>55613.93</v>
      </c>
      <c r="J636" s="26">
        <v>0</v>
      </c>
      <c r="K636" s="26">
        <v>55613.93</v>
      </c>
      <c r="L636" s="27">
        <v>1</v>
      </c>
    </row>
    <row r="637" spans="1:12">
      <c r="A637" s="24" t="s">
        <v>281</v>
      </c>
      <c r="B637" s="24" t="s">
        <v>324</v>
      </c>
      <c r="C637" s="25">
        <v>45962</v>
      </c>
      <c r="D637" s="24" t="s">
        <v>2667</v>
      </c>
      <c r="E637" s="26">
        <v>37076.86</v>
      </c>
      <c r="F637" s="26">
        <v>0</v>
      </c>
      <c r="G637" s="26">
        <v>37076.86</v>
      </c>
      <c r="H637" s="26">
        <v>0</v>
      </c>
      <c r="I637" s="26">
        <v>37076.86</v>
      </c>
      <c r="J637" s="26">
        <v>0</v>
      </c>
      <c r="K637" s="26">
        <v>37076.86</v>
      </c>
      <c r="L637" s="27">
        <v>1</v>
      </c>
    </row>
    <row r="638" spans="1:12">
      <c r="A638" s="24" t="s">
        <v>281</v>
      </c>
      <c r="B638" s="24" t="s">
        <v>324</v>
      </c>
      <c r="C638" s="25">
        <v>45992</v>
      </c>
      <c r="D638" s="24" t="s">
        <v>2668</v>
      </c>
      <c r="E638" s="26">
        <v>49530.07</v>
      </c>
      <c r="F638" s="26">
        <v>0</v>
      </c>
      <c r="G638" s="26">
        <v>49530.07</v>
      </c>
      <c r="H638" s="26">
        <v>17892.060000000001</v>
      </c>
      <c r="I638" s="26">
        <v>31638.01</v>
      </c>
      <c r="J638" s="26">
        <v>0</v>
      </c>
      <c r="K638" s="26">
        <v>31638.01</v>
      </c>
      <c r="L638" s="27">
        <v>0.63876368436386222</v>
      </c>
    </row>
    <row r="639" spans="1:12">
      <c r="A639" s="24" t="s">
        <v>247</v>
      </c>
      <c r="B639" s="24" t="s">
        <v>337</v>
      </c>
      <c r="C639" s="25">
        <v>45658</v>
      </c>
      <c r="D639" s="24" t="s">
        <v>2657</v>
      </c>
      <c r="E639" s="26">
        <v>0</v>
      </c>
      <c r="F639" s="26">
        <v>0</v>
      </c>
      <c r="G639" s="26">
        <v>0</v>
      </c>
      <c r="H639" s="26">
        <v>0</v>
      </c>
      <c r="I639" s="26">
        <v>0</v>
      </c>
      <c r="J639" s="26">
        <v>0</v>
      </c>
      <c r="K639" s="26">
        <v>0</v>
      </c>
      <c r="L639" s="27">
        <v>0</v>
      </c>
    </row>
    <row r="640" spans="1:12">
      <c r="A640" s="24" t="s">
        <v>247</v>
      </c>
      <c r="B640" s="24" t="s">
        <v>337</v>
      </c>
      <c r="C640" s="25">
        <v>45689</v>
      </c>
      <c r="D640" s="24" t="s">
        <v>2658</v>
      </c>
      <c r="E640" s="26">
        <v>0</v>
      </c>
      <c r="F640" s="26">
        <v>0</v>
      </c>
      <c r="G640" s="26">
        <v>0</v>
      </c>
      <c r="H640" s="26">
        <v>0</v>
      </c>
      <c r="I640" s="26">
        <v>0</v>
      </c>
      <c r="J640" s="26">
        <v>0</v>
      </c>
      <c r="K640" s="26">
        <v>0</v>
      </c>
      <c r="L640" s="27">
        <v>0</v>
      </c>
    </row>
    <row r="641" spans="1:12">
      <c r="A641" s="24" t="s">
        <v>247</v>
      </c>
      <c r="B641" s="24" t="s">
        <v>337</v>
      </c>
      <c r="C641" s="25">
        <v>45717</v>
      </c>
      <c r="D641" s="24" t="s">
        <v>2659</v>
      </c>
      <c r="E641" s="26">
        <v>0</v>
      </c>
      <c r="F641" s="26">
        <v>0</v>
      </c>
      <c r="G641" s="26">
        <v>0</v>
      </c>
      <c r="H641" s="26">
        <v>0</v>
      </c>
      <c r="I641" s="26">
        <v>0</v>
      </c>
      <c r="J641" s="26">
        <v>0</v>
      </c>
      <c r="K641" s="26">
        <v>0</v>
      </c>
      <c r="L641" s="27">
        <v>0</v>
      </c>
    </row>
    <row r="642" spans="1:12">
      <c r="A642" s="24" t="s">
        <v>247</v>
      </c>
      <c r="B642" s="24" t="s">
        <v>337</v>
      </c>
      <c r="C642" s="25">
        <v>45748</v>
      </c>
      <c r="D642" s="24" t="s">
        <v>2660</v>
      </c>
      <c r="E642" s="26">
        <v>0</v>
      </c>
      <c r="F642" s="26">
        <v>0</v>
      </c>
      <c r="G642" s="26">
        <v>0</v>
      </c>
      <c r="H642" s="26">
        <v>0</v>
      </c>
      <c r="I642" s="26">
        <v>0</v>
      </c>
      <c r="J642" s="26">
        <v>0</v>
      </c>
      <c r="K642" s="26">
        <v>0</v>
      </c>
      <c r="L642" s="27">
        <v>0</v>
      </c>
    </row>
    <row r="643" spans="1:12">
      <c r="A643" s="24" t="s">
        <v>247</v>
      </c>
      <c r="B643" s="24" t="s">
        <v>337</v>
      </c>
      <c r="C643" s="25">
        <v>45778</v>
      </c>
      <c r="D643" s="24" t="s">
        <v>2661</v>
      </c>
      <c r="E643" s="26">
        <v>0</v>
      </c>
      <c r="F643" s="26">
        <v>0</v>
      </c>
      <c r="G643" s="26">
        <v>0</v>
      </c>
      <c r="H643" s="26">
        <v>0</v>
      </c>
      <c r="I643" s="26">
        <v>0</v>
      </c>
      <c r="J643" s="26">
        <v>0</v>
      </c>
      <c r="K643" s="26">
        <v>0</v>
      </c>
      <c r="L643" s="27">
        <v>0</v>
      </c>
    </row>
    <row r="644" spans="1:12">
      <c r="A644" s="24" t="s">
        <v>247</v>
      </c>
      <c r="B644" s="24" t="s">
        <v>337</v>
      </c>
      <c r="C644" s="25">
        <v>45809</v>
      </c>
      <c r="D644" s="24" t="s">
        <v>2662</v>
      </c>
      <c r="E644" s="26">
        <v>0</v>
      </c>
      <c r="F644" s="26">
        <v>0</v>
      </c>
      <c r="G644" s="26">
        <v>0</v>
      </c>
      <c r="H644" s="26">
        <v>0</v>
      </c>
      <c r="I644" s="26">
        <v>0</v>
      </c>
      <c r="J644" s="26">
        <v>0</v>
      </c>
      <c r="K644" s="26">
        <v>0</v>
      </c>
      <c r="L644" s="27">
        <v>0</v>
      </c>
    </row>
    <row r="645" spans="1:12">
      <c r="A645" s="24" t="s">
        <v>247</v>
      </c>
      <c r="B645" s="24" t="s">
        <v>337</v>
      </c>
      <c r="C645" s="25">
        <v>45839</v>
      </c>
      <c r="D645" s="24" t="s">
        <v>2663</v>
      </c>
      <c r="E645" s="26">
        <v>0</v>
      </c>
      <c r="F645" s="26">
        <v>0</v>
      </c>
      <c r="G645" s="26">
        <v>0</v>
      </c>
      <c r="H645" s="26">
        <v>0</v>
      </c>
      <c r="I645" s="26">
        <v>0</v>
      </c>
      <c r="J645" s="26">
        <v>0</v>
      </c>
      <c r="K645" s="26">
        <v>0</v>
      </c>
      <c r="L645" s="27">
        <v>0</v>
      </c>
    </row>
    <row r="646" spans="1:12">
      <c r="A646" s="24" t="s">
        <v>247</v>
      </c>
      <c r="B646" s="24" t="s">
        <v>337</v>
      </c>
      <c r="C646" s="25">
        <v>45870</v>
      </c>
      <c r="D646" s="24" t="s">
        <v>2664</v>
      </c>
      <c r="E646" s="26">
        <v>41347.599999999999</v>
      </c>
      <c r="F646" s="26">
        <v>0</v>
      </c>
      <c r="G646" s="26">
        <v>41347.599999999999</v>
      </c>
      <c r="H646" s="26">
        <v>0</v>
      </c>
      <c r="I646" s="26">
        <v>41347.599999999999</v>
      </c>
      <c r="J646" s="26">
        <v>0</v>
      </c>
      <c r="K646" s="26">
        <v>41347.599999999999</v>
      </c>
      <c r="L646" s="27">
        <v>1</v>
      </c>
    </row>
    <row r="647" spans="1:12">
      <c r="A647" s="24" t="s">
        <v>247</v>
      </c>
      <c r="B647" s="24" t="s">
        <v>337</v>
      </c>
      <c r="C647" s="25">
        <v>45901</v>
      </c>
      <c r="D647" s="24" t="s">
        <v>2665</v>
      </c>
      <c r="E647" s="26">
        <v>0</v>
      </c>
      <c r="F647" s="26">
        <v>0</v>
      </c>
      <c r="G647" s="26">
        <v>0</v>
      </c>
      <c r="H647" s="26">
        <v>7669.71</v>
      </c>
      <c r="I647" s="26">
        <v>-7669.71</v>
      </c>
      <c r="J647" s="26">
        <v>0</v>
      </c>
      <c r="K647" s="26">
        <v>-7669.71</v>
      </c>
      <c r="L647" s="27">
        <v>0</v>
      </c>
    </row>
    <row r="648" spans="1:12">
      <c r="A648" s="24" t="s">
        <v>247</v>
      </c>
      <c r="B648" s="24" t="s">
        <v>337</v>
      </c>
      <c r="C648" s="25">
        <v>45931</v>
      </c>
      <c r="D648" s="24" t="s">
        <v>2666</v>
      </c>
      <c r="E648" s="26">
        <v>60394.47</v>
      </c>
      <c r="F648" s="26">
        <v>0</v>
      </c>
      <c r="G648" s="26">
        <v>60394.47</v>
      </c>
      <c r="H648" s="26">
        <v>26028.97</v>
      </c>
      <c r="I648" s="26">
        <v>34365.5</v>
      </c>
      <c r="J648" s="26">
        <v>0</v>
      </c>
      <c r="K648" s="26">
        <v>34365.5</v>
      </c>
      <c r="L648" s="27">
        <v>0.569017328904451</v>
      </c>
    </row>
    <row r="649" spans="1:12">
      <c r="A649" s="24" t="s">
        <v>247</v>
      </c>
      <c r="B649" s="24" t="s">
        <v>337</v>
      </c>
      <c r="C649" s="25">
        <v>45962</v>
      </c>
      <c r="D649" s="24" t="s">
        <v>2667</v>
      </c>
      <c r="E649" s="26">
        <v>59579.28</v>
      </c>
      <c r="F649" s="26">
        <v>0</v>
      </c>
      <c r="G649" s="26">
        <v>59579.28</v>
      </c>
      <c r="H649" s="26">
        <v>0</v>
      </c>
      <c r="I649" s="26">
        <v>59579.28</v>
      </c>
      <c r="J649" s="26">
        <v>0</v>
      </c>
      <c r="K649" s="26">
        <v>59579.28</v>
      </c>
      <c r="L649" s="27">
        <v>1</v>
      </c>
    </row>
    <row r="650" spans="1:12">
      <c r="A650" s="24" t="s">
        <v>247</v>
      </c>
      <c r="B650" s="24" t="s">
        <v>337</v>
      </c>
      <c r="C650" s="25">
        <v>45992</v>
      </c>
      <c r="D650" s="24" t="s">
        <v>2668</v>
      </c>
      <c r="E650" s="26">
        <v>40584.54</v>
      </c>
      <c r="F650" s="26">
        <v>0</v>
      </c>
      <c r="G650" s="26">
        <v>40584.54</v>
      </c>
      <c r="H650" s="26">
        <v>0</v>
      </c>
      <c r="I650" s="26">
        <v>40584.54</v>
      </c>
      <c r="J650" s="26">
        <v>0</v>
      </c>
      <c r="K650" s="26">
        <v>40584.54</v>
      </c>
      <c r="L650" s="27">
        <v>1</v>
      </c>
    </row>
    <row r="651" spans="1:12">
      <c r="A651" s="24" t="s">
        <v>208</v>
      </c>
      <c r="B651" s="24" t="s">
        <v>337</v>
      </c>
      <c r="C651" s="25">
        <v>45658</v>
      </c>
      <c r="D651" s="24" t="s">
        <v>2657</v>
      </c>
      <c r="E651" s="26">
        <v>0</v>
      </c>
      <c r="F651" s="26">
        <v>0</v>
      </c>
      <c r="G651" s="26">
        <v>0</v>
      </c>
      <c r="H651" s="26">
        <v>0</v>
      </c>
      <c r="I651" s="26">
        <v>0</v>
      </c>
      <c r="J651" s="26">
        <v>0</v>
      </c>
      <c r="K651" s="26">
        <v>0</v>
      </c>
      <c r="L651" s="27">
        <v>0</v>
      </c>
    </row>
    <row r="652" spans="1:12">
      <c r="A652" s="24" t="s">
        <v>208</v>
      </c>
      <c r="B652" s="24" t="s">
        <v>337</v>
      </c>
      <c r="C652" s="25">
        <v>45689</v>
      </c>
      <c r="D652" s="24" t="s">
        <v>2658</v>
      </c>
      <c r="E652" s="26">
        <v>0</v>
      </c>
      <c r="F652" s="26">
        <v>0</v>
      </c>
      <c r="G652" s="26">
        <v>0</v>
      </c>
      <c r="H652" s="26">
        <v>0</v>
      </c>
      <c r="I652" s="26">
        <v>0</v>
      </c>
      <c r="J652" s="26">
        <v>0</v>
      </c>
      <c r="K652" s="26">
        <v>0</v>
      </c>
      <c r="L652" s="27">
        <v>0</v>
      </c>
    </row>
    <row r="653" spans="1:12">
      <c r="A653" s="24" t="s">
        <v>208</v>
      </c>
      <c r="B653" s="24" t="s">
        <v>337</v>
      </c>
      <c r="C653" s="25">
        <v>45717</v>
      </c>
      <c r="D653" s="24" t="s">
        <v>2659</v>
      </c>
      <c r="E653" s="26">
        <v>0</v>
      </c>
      <c r="F653" s="26">
        <v>0</v>
      </c>
      <c r="G653" s="26">
        <v>0</v>
      </c>
      <c r="H653" s="26">
        <v>0</v>
      </c>
      <c r="I653" s="26">
        <v>0</v>
      </c>
      <c r="J653" s="26">
        <v>0</v>
      </c>
      <c r="K653" s="26">
        <v>0</v>
      </c>
      <c r="L653" s="27">
        <v>0</v>
      </c>
    </row>
    <row r="654" spans="1:12">
      <c r="A654" s="24" t="s">
        <v>208</v>
      </c>
      <c r="B654" s="24" t="s">
        <v>337</v>
      </c>
      <c r="C654" s="25">
        <v>45748</v>
      </c>
      <c r="D654" s="24" t="s">
        <v>2660</v>
      </c>
      <c r="E654" s="26">
        <v>0</v>
      </c>
      <c r="F654" s="26">
        <v>0</v>
      </c>
      <c r="G654" s="26">
        <v>0</v>
      </c>
      <c r="H654" s="26">
        <v>0</v>
      </c>
      <c r="I654" s="26">
        <v>0</v>
      </c>
      <c r="J654" s="26">
        <v>0</v>
      </c>
      <c r="K654" s="26">
        <v>0</v>
      </c>
      <c r="L654" s="27">
        <v>0</v>
      </c>
    </row>
    <row r="655" spans="1:12">
      <c r="A655" s="24" t="s">
        <v>208</v>
      </c>
      <c r="B655" s="24" t="s">
        <v>337</v>
      </c>
      <c r="C655" s="25">
        <v>45778</v>
      </c>
      <c r="D655" s="24" t="s">
        <v>2661</v>
      </c>
      <c r="E655" s="26">
        <v>0</v>
      </c>
      <c r="F655" s="26">
        <v>0</v>
      </c>
      <c r="G655" s="26">
        <v>0</v>
      </c>
      <c r="H655" s="26">
        <v>0</v>
      </c>
      <c r="I655" s="26">
        <v>0</v>
      </c>
      <c r="J655" s="26">
        <v>0</v>
      </c>
      <c r="K655" s="26">
        <v>0</v>
      </c>
      <c r="L655" s="27">
        <v>0</v>
      </c>
    </row>
    <row r="656" spans="1:12">
      <c r="A656" s="24" t="s">
        <v>208</v>
      </c>
      <c r="B656" s="24" t="s">
        <v>337</v>
      </c>
      <c r="C656" s="25">
        <v>45809</v>
      </c>
      <c r="D656" s="24" t="s">
        <v>2662</v>
      </c>
      <c r="E656" s="26">
        <v>0</v>
      </c>
      <c r="F656" s="26">
        <v>0</v>
      </c>
      <c r="G656" s="26">
        <v>0</v>
      </c>
      <c r="H656" s="26">
        <v>0</v>
      </c>
      <c r="I656" s="26">
        <v>0</v>
      </c>
      <c r="J656" s="26">
        <v>0</v>
      </c>
      <c r="K656" s="26">
        <v>0</v>
      </c>
      <c r="L656" s="27">
        <v>0</v>
      </c>
    </row>
    <row r="657" spans="1:12">
      <c r="A657" s="24" t="s">
        <v>208</v>
      </c>
      <c r="B657" s="24" t="s">
        <v>337</v>
      </c>
      <c r="C657" s="25">
        <v>45839</v>
      </c>
      <c r="D657" s="24" t="s">
        <v>2663</v>
      </c>
      <c r="E657" s="26">
        <v>41860.620000000003</v>
      </c>
      <c r="F657" s="26">
        <v>0</v>
      </c>
      <c r="G657" s="26">
        <v>41860.620000000003</v>
      </c>
      <c r="H657" s="26">
        <v>0</v>
      </c>
      <c r="I657" s="26">
        <v>41860.620000000003</v>
      </c>
      <c r="J657" s="26">
        <v>0</v>
      </c>
      <c r="K657" s="26">
        <v>41860.620000000003</v>
      </c>
      <c r="L657" s="27">
        <v>1</v>
      </c>
    </row>
    <row r="658" spans="1:12">
      <c r="A658" s="24" t="s">
        <v>208</v>
      </c>
      <c r="B658" s="24" t="s">
        <v>337</v>
      </c>
      <c r="C658" s="25">
        <v>45870</v>
      </c>
      <c r="D658" s="24" t="s">
        <v>2664</v>
      </c>
      <c r="E658" s="26">
        <v>0</v>
      </c>
      <c r="F658" s="26">
        <v>0</v>
      </c>
      <c r="G658" s="26">
        <v>0</v>
      </c>
      <c r="H658" s="26">
        <v>0</v>
      </c>
      <c r="I658" s="26">
        <v>0</v>
      </c>
      <c r="J658" s="26">
        <v>0</v>
      </c>
      <c r="K658" s="26">
        <v>0</v>
      </c>
      <c r="L658" s="27">
        <v>0</v>
      </c>
    </row>
    <row r="659" spans="1:12">
      <c r="A659" s="24" t="s">
        <v>208</v>
      </c>
      <c r="B659" s="24" t="s">
        <v>337</v>
      </c>
      <c r="C659" s="25">
        <v>45901</v>
      </c>
      <c r="D659" s="24" t="s">
        <v>2665</v>
      </c>
      <c r="E659" s="26">
        <v>20630.53</v>
      </c>
      <c r="F659" s="26">
        <v>0</v>
      </c>
      <c r="G659" s="26">
        <v>20630.53</v>
      </c>
      <c r="H659" s="26">
        <v>0</v>
      </c>
      <c r="I659" s="26">
        <v>20630.53</v>
      </c>
      <c r="J659" s="26">
        <v>0</v>
      </c>
      <c r="K659" s="26">
        <v>20630.53</v>
      </c>
      <c r="L659" s="27">
        <v>1</v>
      </c>
    </row>
    <row r="660" spans="1:12">
      <c r="A660" s="24" t="s">
        <v>208</v>
      </c>
      <c r="B660" s="24" t="s">
        <v>337</v>
      </c>
      <c r="C660" s="25">
        <v>45931</v>
      </c>
      <c r="D660" s="24" t="s">
        <v>2666</v>
      </c>
      <c r="E660" s="26">
        <v>34909.199999999997</v>
      </c>
      <c r="F660" s="26">
        <v>0</v>
      </c>
      <c r="G660" s="26">
        <v>34909.199999999997</v>
      </c>
      <c r="H660" s="26">
        <v>0</v>
      </c>
      <c r="I660" s="26">
        <v>34909.199999999997</v>
      </c>
      <c r="J660" s="26">
        <v>0</v>
      </c>
      <c r="K660" s="26">
        <v>34909.199999999997</v>
      </c>
      <c r="L660" s="27">
        <v>1</v>
      </c>
    </row>
    <row r="661" spans="1:12">
      <c r="A661" s="24" t="s">
        <v>208</v>
      </c>
      <c r="B661" s="24" t="s">
        <v>337</v>
      </c>
      <c r="C661" s="25">
        <v>45962</v>
      </c>
      <c r="D661" s="24" t="s">
        <v>2667</v>
      </c>
      <c r="E661" s="26">
        <v>0</v>
      </c>
      <c r="F661" s="26">
        <v>0</v>
      </c>
      <c r="G661" s="26">
        <v>0</v>
      </c>
      <c r="H661" s="26">
        <v>0</v>
      </c>
      <c r="I661" s="26">
        <v>0</v>
      </c>
      <c r="J661" s="26">
        <v>0</v>
      </c>
      <c r="K661" s="26">
        <v>0</v>
      </c>
      <c r="L661" s="27">
        <v>0</v>
      </c>
    </row>
    <row r="662" spans="1:12">
      <c r="A662" s="24" t="s">
        <v>208</v>
      </c>
      <c r="B662" s="24" t="s">
        <v>337</v>
      </c>
      <c r="C662" s="25">
        <v>45992</v>
      </c>
      <c r="D662" s="24" t="s">
        <v>2668</v>
      </c>
      <c r="E662" s="26">
        <v>0</v>
      </c>
      <c r="F662" s="26">
        <v>0</v>
      </c>
      <c r="G662" s="26">
        <v>0</v>
      </c>
      <c r="H662" s="26">
        <v>0</v>
      </c>
      <c r="I662" s="26">
        <v>0</v>
      </c>
      <c r="J662" s="26">
        <v>0</v>
      </c>
      <c r="K662" s="26">
        <v>0</v>
      </c>
      <c r="L662" s="27">
        <v>0</v>
      </c>
    </row>
    <row r="663" spans="1:12">
      <c r="A663" s="24" t="s">
        <v>286</v>
      </c>
      <c r="B663" s="24" t="s">
        <v>345</v>
      </c>
      <c r="C663" s="25">
        <v>45658</v>
      </c>
      <c r="D663" s="24" t="s">
        <v>2657</v>
      </c>
      <c r="E663" s="26">
        <v>0</v>
      </c>
      <c r="F663" s="26">
        <v>0</v>
      </c>
      <c r="G663" s="26">
        <v>0</v>
      </c>
      <c r="H663" s="26">
        <v>0</v>
      </c>
      <c r="I663" s="26">
        <v>0</v>
      </c>
      <c r="J663" s="26">
        <v>0</v>
      </c>
      <c r="K663" s="26">
        <v>0</v>
      </c>
      <c r="L663" s="27">
        <v>0</v>
      </c>
    </row>
    <row r="664" spans="1:12">
      <c r="A664" s="24" t="s">
        <v>286</v>
      </c>
      <c r="B664" s="24" t="s">
        <v>345</v>
      </c>
      <c r="C664" s="25">
        <v>45689</v>
      </c>
      <c r="D664" s="24" t="s">
        <v>2658</v>
      </c>
      <c r="E664" s="26">
        <v>0</v>
      </c>
      <c r="F664" s="26">
        <v>0</v>
      </c>
      <c r="G664" s="26">
        <v>0</v>
      </c>
      <c r="H664" s="26">
        <v>0</v>
      </c>
      <c r="I664" s="26">
        <v>0</v>
      </c>
      <c r="J664" s="26">
        <v>0</v>
      </c>
      <c r="K664" s="26">
        <v>0</v>
      </c>
      <c r="L664" s="27">
        <v>0</v>
      </c>
    </row>
    <row r="665" spans="1:12">
      <c r="A665" s="24" t="s">
        <v>286</v>
      </c>
      <c r="B665" s="24" t="s">
        <v>345</v>
      </c>
      <c r="C665" s="25">
        <v>45717</v>
      </c>
      <c r="D665" s="24" t="s">
        <v>2659</v>
      </c>
      <c r="E665" s="26">
        <v>0</v>
      </c>
      <c r="F665" s="26">
        <v>0</v>
      </c>
      <c r="G665" s="26">
        <v>0</v>
      </c>
      <c r="H665" s="26">
        <v>0</v>
      </c>
      <c r="I665" s="26">
        <v>0</v>
      </c>
      <c r="J665" s="26">
        <v>0</v>
      </c>
      <c r="K665" s="26">
        <v>0</v>
      </c>
      <c r="L665" s="27">
        <v>0</v>
      </c>
    </row>
    <row r="666" spans="1:12">
      <c r="A666" s="24" t="s">
        <v>286</v>
      </c>
      <c r="B666" s="24" t="s">
        <v>345</v>
      </c>
      <c r="C666" s="25">
        <v>45748</v>
      </c>
      <c r="D666" s="24" t="s">
        <v>2660</v>
      </c>
      <c r="E666" s="26">
        <v>0</v>
      </c>
      <c r="F666" s="26">
        <v>0</v>
      </c>
      <c r="G666" s="26">
        <v>0</v>
      </c>
      <c r="H666" s="26">
        <v>0</v>
      </c>
      <c r="I666" s="26">
        <v>0</v>
      </c>
      <c r="J666" s="26">
        <v>0</v>
      </c>
      <c r="K666" s="26">
        <v>0</v>
      </c>
      <c r="L666" s="27">
        <v>0</v>
      </c>
    </row>
    <row r="667" spans="1:12">
      <c r="A667" s="24" t="s">
        <v>286</v>
      </c>
      <c r="B667" s="24" t="s">
        <v>345</v>
      </c>
      <c r="C667" s="25">
        <v>45778</v>
      </c>
      <c r="D667" s="24" t="s">
        <v>2661</v>
      </c>
      <c r="E667" s="26">
        <v>0</v>
      </c>
      <c r="F667" s="26">
        <v>0</v>
      </c>
      <c r="G667" s="26">
        <v>0</v>
      </c>
      <c r="H667" s="26">
        <v>0</v>
      </c>
      <c r="I667" s="26">
        <v>0</v>
      </c>
      <c r="J667" s="26">
        <v>0</v>
      </c>
      <c r="K667" s="26">
        <v>0</v>
      </c>
      <c r="L667" s="27">
        <v>0</v>
      </c>
    </row>
    <row r="668" spans="1:12">
      <c r="A668" s="24" t="s">
        <v>286</v>
      </c>
      <c r="B668" s="24" t="s">
        <v>345</v>
      </c>
      <c r="C668" s="25">
        <v>45809</v>
      </c>
      <c r="D668" s="24" t="s">
        <v>2662</v>
      </c>
      <c r="E668" s="26">
        <v>0</v>
      </c>
      <c r="F668" s="26">
        <v>0</v>
      </c>
      <c r="G668" s="26">
        <v>0</v>
      </c>
      <c r="H668" s="26">
        <v>0</v>
      </c>
      <c r="I668" s="26">
        <v>0</v>
      </c>
      <c r="J668" s="26">
        <v>0</v>
      </c>
      <c r="K668" s="26">
        <v>0</v>
      </c>
      <c r="L668" s="27">
        <v>0</v>
      </c>
    </row>
    <row r="669" spans="1:12">
      <c r="A669" s="24" t="s">
        <v>286</v>
      </c>
      <c r="B669" s="24" t="s">
        <v>345</v>
      </c>
      <c r="C669" s="25">
        <v>45839</v>
      </c>
      <c r="D669" s="24" t="s">
        <v>2663</v>
      </c>
      <c r="E669" s="26">
        <v>42730.27</v>
      </c>
      <c r="F669" s="26">
        <v>0</v>
      </c>
      <c r="G669" s="26">
        <v>42730.27</v>
      </c>
      <c r="H669" s="26">
        <v>0</v>
      </c>
      <c r="I669" s="26">
        <v>42730.27</v>
      </c>
      <c r="J669" s="26">
        <v>0</v>
      </c>
      <c r="K669" s="26">
        <v>42730.27</v>
      </c>
      <c r="L669" s="27">
        <v>1</v>
      </c>
    </row>
    <row r="670" spans="1:12">
      <c r="A670" s="24" t="s">
        <v>286</v>
      </c>
      <c r="B670" s="24" t="s">
        <v>345</v>
      </c>
      <c r="C670" s="25">
        <v>45870</v>
      </c>
      <c r="D670" s="24" t="s">
        <v>2664</v>
      </c>
      <c r="E670" s="26">
        <v>52312.61</v>
      </c>
      <c r="F670" s="26">
        <v>0</v>
      </c>
      <c r="G670" s="26">
        <v>52312.61</v>
      </c>
      <c r="H670" s="26">
        <v>56306.82</v>
      </c>
      <c r="I670" s="26">
        <v>-3994.2099999999991</v>
      </c>
      <c r="J670" s="26">
        <v>0</v>
      </c>
      <c r="K670" s="26">
        <v>-3994.2099999999991</v>
      </c>
      <c r="L670" s="27">
        <v>-7.6352718780424059E-2</v>
      </c>
    </row>
    <row r="671" spans="1:12">
      <c r="A671" s="24" t="s">
        <v>286</v>
      </c>
      <c r="B671" s="24" t="s">
        <v>345</v>
      </c>
      <c r="C671" s="25">
        <v>45901</v>
      </c>
      <c r="D671" s="24" t="s">
        <v>2665</v>
      </c>
      <c r="E671" s="26">
        <v>94845.98</v>
      </c>
      <c r="F671" s="26">
        <v>0</v>
      </c>
      <c r="G671" s="26">
        <v>94845.98</v>
      </c>
      <c r="H671" s="26">
        <v>0</v>
      </c>
      <c r="I671" s="26">
        <v>94845.98</v>
      </c>
      <c r="J671" s="26">
        <v>0</v>
      </c>
      <c r="K671" s="26">
        <v>94845.98</v>
      </c>
      <c r="L671" s="27">
        <v>1</v>
      </c>
    </row>
    <row r="672" spans="1:12">
      <c r="A672" s="24" t="s">
        <v>286</v>
      </c>
      <c r="B672" s="24" t="s">
        <v>345</v>
      </c>
      <c r="C672" s="25">
        <v>45931</v>
      </c>
      <c r="D672" s="24" t="s">
        <v>2666</v>
      </c>
      <c r="E672" s="26">
        <v>70279.53</v>
      </c>
      <c r="F672" s="26">
        <v>0</v>
      </c>
      <c r="G672" s="26">
        <v>70279.53</v>
      </c>
      <c r="H672" s="26">
        <v>0</v>
      </c>
      <c r="I672" s="26">
        <v>70279.53</v>
      </c>
      <c r="J672" s="26">
        <v>0</v>
      </c>
      <c r="K672" s="26">
        <v>70279.53</v>
      </c>
      <c r="L672" s="27">
        <v>1</v>
      </c>
    </row>
    <row r="673" spans="1:12">
      <c r="A673" s="24" t="s">
        <v>286</v>
      </c>
      <c r="B673" s="24" t="s">
        <v>345</v>
      </c>
      <c r="C673" s="25">
        <v>45962</v>
      </c>
      <c r="D673" s="24" t="s">
        <v>2667</v>
      </c>
      <c r="E673" s="26">
        <v>78830.789999999994</v>
      </c>
      <c r="F673" s="26">
        <v>0</v>
      </c>
      <c r="G673" s="26">
        <v>78830.789999999994</v>
      </c>
      <c r="H673" s="26">
        <v>0</v>
      </c>
      <c r="I673" s="26">
        <v>78830.789999999994</v>
      </c>
      <c r="J673" s="26">
        <v>0</v>
      </c>
      <c r="K673" s="26">
        <v>78830.789999999994</v>
      </c>
      <c r="L673" s="27">
        <v>1</v>
      </c>
    </row>
    <row r="674" spans="1:12">
      <c r="A674" s="24" t="s">
        <v>286</v>
      </c>
      <c r="B674" s="24" t="s">
        <v>345</v>
      </c>
      <c r="C674" s="25">
        <v>45992</v>
      </c>
      <c r="D674" s="24" t="s">
        <v>2668</v>
      </c>
      <c r="E674" s="26">
        <v>0</v>
      </c>
      <c r="F674" s="26">
        <v>0</v>
      </c>
      <c r="G674" s="26">
        <v>0</v>
      </c>
      <c r="H674" s="26">
        <v>0</v>
      </c>
      <c r="I674" s="26">
        <v>0</v>
      </c>
      <c r="J674" s="26">
        <v>0</v>
      </c>
      <c r="K674" s="26">
        <v>0</v>
      </c>
      <c r="L674" s="27">
        <v>0</v>
      </c>
    </row>
    <row r="675" spans="1:12">
      <c r="A675" s="24" t="s">
        <v>142</v>
      </c>
      <c r="B675" s="24" t="s">
        <v>329</v>
      </c>
      <c r="C675" s="25">
        <v>45658</v>
      </c>
      <c r="D675" s="24" t="s">
        <v>2657</v>
      </c>
      <c r="E675" s="26">
        <v>0</v>
      </c>
      <c r="F675" s="26">
        <v>0</v>
      </c>
      <c r="G675" s="26">
        <v>0</v>
      </c>
      <c r="H675" s="26">
        <v>0</v>
      </c>
      <c r="I675" s="26">
        <v>0</v>
      </c>
      <c r="J675" s="26">
        <v>0</v>
      </c>
      <c r="K675" s="26">
        <v>0</v>
      </c>
      <c r="L675" s="27">
        <v>0</v>
      </c>
    </row>
    <row r="676" spans="1:12">
      <c r="A676" s="24" t="s">
        <v>142</v>
      </c>
      <c r="B676" s="24" t="s">
        <v>329</v>
      </c>
      <c r="C676" s="25">
        <v>45689</v>
      </c>
      <c r="D676" s="24" t="s">
        <v>2658</v>
      </c>
      <c r="E676" s="26">
        <v>0</v>
      </c>
      <c r="F676" s="26">
        <v>0</v>
      </c>
      <c r="G676" s="26">
        <v>0</v>
      </c>
      <c r="H676" s="26">
        <v>0</v>
      </c>
      <c r="I676" s="26">
        <v>0</v>
      </c>
      <c r="J676" s="26">
        <v>0</v>
      </c>
      <c r="K676" s="26">
        <v>0</v>
      </c>
      <c r="L676" s="27">
        <v>0</v>
      </c>
    </row>
    <row r="677" spans="1:12">
      <c r="A677" s="24" t="s">
        <v>142</v>
      </c>
      <c r="B677" s="24" t="s">
        <v>329</v>
      </c>
      <c r="C677" s="25">
        <v>45717</v>
      </c>
      <c r="D677" s="24" t="s">
        <v>2659</v>
      </c>
      <c r="E677" s="26">
        <v>0</v>
      </c>
      <c r="F677" s="26">
        <v>0</v>
      </c>
      <c r="G677" s="26">
        <v>0</v>
      </c>
      <c r="H677" s="26">
        <v>0</v>
      </c>
      <c r="I677" s="26">
        <v>0</v>
      </c>
      <c r="J677" s="26">
        <v>0</v>
      </c>
      <c r="K677" s="26">
        <v>0</v>
      </c>
      <c r="L677" s="27">
        <v>0</v>
      </c>
    </row>
    <row r="678" spans="1:12">
      <c r="A678" s="24" t="s">
        <v>142</v>
      </c>
      <c r="B678" s="24" t="s">
        <v>329</v>
      </c>
      <c r="C678" s="25">
        <v>45748</v>
      </c>
      <c r="D678" s="24" t="s">
        <v>2660</v>
      </c>
      <c r="E678" s="26">
        <v>0</v>
      </c>
      <c r="F678" s="26">
        <v>0</v>
      </c>
      <c r="G678" s="26">
        <v>0</v>
      </c>
      <c r="H678" s="26">
        <v>0</v>
      </c>
      <c r="I678" s="26">
        <v>0</v>
      </c>
      <c r="J678" s="26">
        <v>0</v>
      </c>
      <c r="K678" s="26">
        <v>0</v>
      </c>
      <c r="L678" s="27">
        <v>0</v>
      </c>
    </row>
    <row r="679" spans="1:12">
      <c r="A679" s="24" t="s">
        <v>142</v>
      </c>
      <c r="B679" s="24" t="s">
        <v>329</v>
      </c>
      <c r="C679" s="25">
        <v>45778</v>
      </c>
      <c r="D679" s="24" t="s">
        <v>2661</v>
      </c>
      <c r="E679" s="26">
        <v>0</v>
      </c>
      <c r="F679" s="26">
        <v>0</v>
      </c>
      <c r="G679" s="26">
        <v>0</v>
      </c>
      <c r="H679" s="26">
        <v>0</v>
      </c>
      <c r="I679" s="26">
        <v>0</v>
      </c>
      <c r="J679" s="26">
        <v>0</v>
      </c>
      <c r="K679" s="26">
        <v>0</v>
      </c>
      <c r="L679" s="27">
        <v>0</v>
      </c>
    </row>
    <row r="680" spans="1:12">
      <c r="A680" s="24" t="s">
        <v>142</v>
      </c>
      <c r="B680" s="24" t="s">
        <v>329</v>
      </c>
      <c r="C680" s="25">
        <v>45809</v>
      </c>
      <c r="D680" s="24" t="s">
        <v>2662</v>
      </c>
      <c r="E680" s="26">
        <v>0</v>
      </c>
      <c r="F680" s="26">
        <v>0</v>
      </c>
      <c r="G680" s="26">
        <v>0</v>
      </c>
      <c r="H680" s="26">
        <v>0</v>
      </c>
      <c r="I680" s="26">
        <v>0</v>
      </c>
      <c r="J680" s="26">
        <v>0</v>
      </c>
      <c r="K680" s="26">
        <v>0</v>
      </c>
      <c r="L680" s="27">
        <v>0</v>
      </c>
    </row>
    <row r="681" spans="1:12">
      <c r="A681" s="24" t="s">
        <v>142</v>
      </c>
      <c r="B681" s="24" t="s">
        <v>329</v>
      </c>
      <c r="C681" s="25">
        <v>45839</v>
      </c>
      <c r="D681" s="24" t="s">
        <v>2663</v>
      </c>
      <c r="E681" s="26">
        <v>36223.199999999997</v>
      </c>
      <c r="F681" s="26">
        <v>0</v>
      </c>
      <c r="G681" s="26">
        <v>36223.199999999997</v>
      </c>
      <c r="H681" s="26">
        <v>30262.53</v>
      </c>
      <c r="I681" s="26">
        <v>5960.6699999999983</v>
      </c>
      <c r="J681" s="26">
        <v>0</v>
      </c>
      <c r="K681" s="26">
        <v>5960.6699999999983</v>
      </c>
      <c r="L681" s="27">
        <v>0.1645539322864904</v>
      </c>
    </row>
    <row r="682" spans="1:12">
      <c r="A682" s="24" t="s">
        <v>142</v>
      </c>
      <c r="B682" s="24" t="s">
        <v>329</v>
      </c>
      <c r="C682" s="25">
        <v>45870</v>
      </c>
      <c r="D682" s="24" t="s">
        <v>2664</v>
      </c>
      <c r="E682" s="26">
        <v>0</v>
      </c>
      <c r="F682" s="26">
        <v>0</v>
      </c>
      <c r="G682" s="26">
        <v>0</v>
      </c>
      <c r="H682" s="26">
        <v>0</v>
      </c>
      <c r="I682" s="26">
        <v>0</v>
      </c>
      <c r="J682" s="26">
        <v>0</v>
      </c>
      <c r="K682" s="26">
        <v>0</v>
      </c>
      <c r="L682" s="27">
        <v>0</v>
      </c>
    </row>
    <row r="683" spans="1:12">
      <c r="A683" s="24" t="s">
        <v>142</v>
      </c>
      <c r="B683" s="24" t="s">
        <v>329</v>
      </c>
      <c r="C683" s="25">
        <v>45901</v>
      </c>
      <c r="D683" s="24" t="s">
        <v>2665</v>
      </c>
      <c r="E683" s="26">
        <v>22899.95</v>
      </c>
      <c r="F683" s="26">
        <v>0</v>
      </c>
      <c r="G683" s="26">
        <v>22899.95</v>
      </c>
      <c r="H683" s="26">
        <v>80996.33</v>
      </c>
      <c r="I683" s="26">
        <v>-58096.38</v>
      </c>
      <c r="J683" s="26">
        <v>0</v>
      </c>
      <c r="K683" s="26">
        <v>-58096.38</v>
      </c>
      <c r="L683" s="27">
        <v>-2.5369653645531982</v>
      </c>
    </row>
    <row r="684" spans="1:12">
      <c r="A684" s="24" t="s">
        <v>142</v>
      </c>
      <c r="B684" s="24" t="s">
        <v>329</v>
      </c>
      <c r="C684" s="25">
        <v>45931</v>
      </c>
      <c r="D684" s="24" t="s">
        <v>2666</v>
      </c>
      <c r="E684" s="26">
        <v>24139.74</v>
      </c>
      <c r="F684" s="26">
        <v>0</v>
      </c>
      <c r="G684" s="26">
        <v>24139.74</v>
      </c>
      <c r="H684" s="26">
        <v>18299.830000000002</v>
      </c>
      <c r="I684" s="26">
        <v>5839.91</v>
      </c>
      <c r="J684" s="26">
        <v>0</v>
      </c>
      <c r="K684" s="26">
        <v>5839.91</v>
      </c>
      <c r="L684" s="27">
        <v>0.24192099832061159</v>
      </c>
    </row>
    <row r="685" spans="1:12">
      <c r="A685" s="24" t="s">
        <v>142</v>
      </c>
      <c r="B685" s="24" t="s">
        <v>329</v>
      </c>
      <c r="C685" s="25">
        <v>45962</v>
      </c>
      <c r="D685" s="24" t="s">
        <v>2667</v>
      </c>
      <c r="E685" s="26">
        <v>0</v>
      </c>
      <c r="F685" s="26">
        <v>122203.3</v>
      </c>
      <c r="G685" s="26">
        <v>-122203.3</v>
      </c>
      <c r="H685" s="26">
        <v>0</v>
      </c>
      <c r="I685" s="26">
        <v>-122203.3</v>
      </c>
      <c r="J685" s="26">
        <v>0</v>
      </c>
      <c r="K685" s="26">
        <v>-122203.3</v>
      </c>
      <c r="L685" s="27">
        <v>1</v>
      </c>
    </row>
    <row r="686" spans="1:12">
      <c r="A686" s="24" t="s">
        <v>142</v>
      </c>
      <c r="B686" s="24" t="s">
        <v>329</v>
      </c>
      <c r="C686" s="25">
        <v>45992</v>
      </c>
      <c r="D686" s="24" t="s">
        <v>2668</v>
      </c>
      <c r="E686" s="26">
        <v>0</v>
      </c>
      <c r="F686" s="26">
        <v>0</v>
      </c>
      <c r="G686" s="26">
        <v>0</v>
      </c>
      <c r="H686" s="26">
        <v>14212.66</v>
      </c>
      <c r="I686" s="26">
        <v>-14212.66</v>
      </c>
      <c r="J686" s="26">
        <v>0</v>
      </c>
      <c r="K686" s="26">
        <v>-14212.66</v>
      </c>
      <c r="L686" s="27">
        <v>0</v>
      </c>
    </row>
    <row r="687" spans="1:12">
      <c r="A687" s="24" t="s">
        <v>103</v>
      </c>
      <c r="B687" s="24" t="s">
        <v>318</v>
      </c>
      <c r="C687" s="25">
        <v>45658</v>
      </c>
      <c r="D687" s="24" t="s">
        <v>2657</v>
      </c>
      <c r="E687" s="26">
        <v>0</v>
      </c>
      <c r="F687" s="26">
        <v>0</v>
      </c>
      <c r="G687" s="26">
        <v>0</v>
      </c>
      <c r="H687" s="26">
        <v>0</v>
      </c>
      <c r="I687" s="26">
        <v>0</v>
      </c>
      <c r="J687" s="26">
        <v>0</v>
      </c>
      <c r="K687" s="26">
        <v>0</v>
      </c>
      <c r="L687" s="27">
        <v>0</v>
      </c>
    </row>
    <row r="688" spans="1:12">
      <c r="A688" s="24" t="s">
        <v>103</v>
      </c>
      <c r="B688" s="24" t="s">
        <v>318</v>
      </c>
      <c r="C688" s="25">
        <v>45689</v>
      </c>
      <c r="D688" s="24" t="s">
        <v>2658</v>
      </c>
      <c r="E688" s="26">
        <v>0</v>
      </c>
      <c r="F688" s="26">
        <v>0</v>
      </c>
      <c r="G688" s="26">
        <v>0</v>
      </c>
      <c r="H688" s="26">
        <v>0</v>
      </c>
      <c r="I688" s="26">
        <v>0</v>
      </c>
      <c r="J688" s="26">
        <v>0</v>
      </c>
      <c r="K688" s="26">
        <v>0</v>
      </c>
      <c r="L688" s="27">
        <v>0</v>
      </c>
    </row>
    <row r="689" spans="1:12">
      <c r="A689" s="24" t="s">
        <v>103</v>
      </c>
      <c r="B689" s="24" t="s">
        <v>318</v>
      </c>
      <c r="C689" s="25">
        <v>45717</v>
      </c>
      <c r="D689" s="24" t="s">
        <v>2659</v>
      </c>
      <c r="E689" s="26">
        <v>0</v>
      </c>
      <c r="F689" s="26">
        <v>0</v>
      </c>
      <c r="G689" s="26">
        <v>0</v>
      </c>
      <c r="H689" s="26">
        <v>0</v>
      </c>
      <c r="I689" s="26">
        <v>0</v>
      </c>
      <c r="J689" s="26">
        <v>0</v>
      </c>
      <c r="K689" s="26">
        <v>0</v>
      </c>
      <c r="L689" s="27">
        <v>0</v>
      </c>
    </row>
    <row r="690" spans="1:12">
      <c r="A690" s="24" t="s">
        <v>103</v>
      </c>
      <c r="B690" s="24" t="s">
        <v>318</v>
      </c>
      <c r="C690" s="25">
        <v>45748</v>
      </c>
      <c r="D690" s="24" t="s">
        <v>2660</v>
      </c>
      <c r="E690" s="26">
        <v>0</v>
      </c>
      <c r="F690" s="26">
        <v>0</v>
      </c>
      <c r="G690" s="26">
        <v>0</v>
      </c>
      <c r="H690" s="26">
        <v>0</v>
      </c>
      <c r="I690" s="26">
        <v>0</v>
      </c>
      <c r="J690" s="26">
        <v>0</v>
      </c>
      <c r="K690" s="26">
        <v>0</v>
      </c>
      <c r="L690" s="27">
        <v>0</v>
      </c>
    </row>
    <row r="691" spans="1:12">
      <c r="A691" s="24" t="s">
        <v>103</v>
      </c>
      <c r="B691" s="24" t="s">
        <v>318</v>
      </c>
      <c r="C691" s="25">
        <v>45778</v>
      </c>
      <c r="D691" s="24" t="s">
        <v>2661</v>
      </c>
      <c r="E691" s="26">
        <v>0</v>
      </c>
      <c r="F691" s="26">
        <v>0</v>
      </c>
      <c r="G691" s="26">
        <v>0</v>
      </c>
      <c r="H691" s="26">
        <v>0</v>
      </c>
      <c r="I691" s="26">
        <v>0</v>
      </c>
      <c r="J691" s="26">
        <v>0</v>
      </c>
      <c r="K691" s="26">
        <v>0</v>
      </c>
      <c r="L691" s="27">
        <v>0</v>
      </c>
    </row>
    <row r="692" spans="1:12">
      <c r="A692" s="24" t="s">
        <v>103</v>
      </c>
      <c r="B692" s="24" t="s">
        <v>318</v>
      </c>
      <c r="C692" s="25">
        <v>45809</v>
      </c>
      <c r="D692" s="24" t="s">
        <v>2662</v>
      </c>
      <c r="E692" s="26">
        <v>0</v>
      </c>
      <c r="F692" s="26">
        <v>0</v>
      </c>
      <c r="G692" s="26">
        <v>0</v>
      </c>
      <c r="H692" s="26">
        <v>0</v>
      </c>
      <c r="I692" s="26">
        <v>0</v>
      </c>
      <c r="J692" s="26">
        <v>0</v>
      </c>
      <c r="K692" s="26">
        <v>0</v>
      </c>
      <c r="L692" s="27">
        <v>0</v>
      </c>
    </row>
    <row r="693" spans="1:12">
      <c r="A693" s="24" t="s">
        <v>103</v>
      </c>
      <c r="B693" s="24" t="s">
        <v>318</v>
      </c>
      <c r="C693" s="25">
        <v>45839</v>
      </c>
      <c r="D693" s="24" t="s">
        <v>2663</v>
      </c>
      <c r="E693" s="26">
        <v>0</v>
      </c>
      <c r="F693" s="26">
        <v>0</v>
      </c>
      <c r="G693" s="26">
        <v>0</v>
      </c>
      <c r="H693" s="26">
        <v>0</v>
      </c>
      <c r="I693" s="26">
        <v>0</v>
      </c>
      <c r="J693" s="26">
        <v>0</v>
      </c>
      <c r="K693" s="26">
        <v>0</v>
      </c>
      <c r="L693" s="27">
        <v>0</v>
      </c>
    </row>
    <row r="694" spans="1:12">
      <c r="A694" s="24" t="s">
        <v>103</v>
      </c>
      <c r="B694" s="24" t="s">
        <v>318</v>
      </c>
      <c r="C694" s="25">
        <v>45870</v>
      </c>
      <c r="D694" s="24" t="s">
        <v>2664</v>
      </c>
      <c r="E694" s="26">
        <v>0</v>
      </c>
      <c r="F694" s="26">
        <v>0</v>
      </c>
      <c r="G694" s="26">
        <v>0</v>
      </c>
      <c r="H694" s="26">
        <v>102957.19</v>
      </c>
      <c r="I694" s="26">
        <v>-102957.19</v>
      </c>
      <c r="J694" s="26">
        <v>0</v>
      </c>
      <c r="K694" s="26">
        <v>-102957.19</v>
      </c>
      <c r="L694" s="27">
        <v>0</v>
      </c>
    </row>
    <row r="695" spans="1:12">
      <c r="A695" s="24" t="s">
        <v>103</v>
      </c>
      <c r="B695" s="24" t="s">
        <v>318</v>
      </c>
      <c r="C695" s="25">
        <v>45901</v>
      </c>
      <c r="D695" s="24" t="s">
        <v>2665</v>
      </c>
      <c r="E695" s="26">
        <v>0</v>
      </c>
      <c r="F695" s="26">
        <v>0</v>
      </c>
      <c r="G695" s="26">
        <v>0</v>
      </c>
      <c r="H695" s="26">
        <v>78402.8</v>
      </c>
      <c r="I695" s="26">
        <v>-78402.8</v>
      </c>
      <c r="J695" s="26">
        <v>0</v>
      </c>
      <c r="K695" s="26">
        <v>-78402.8</v>
      </c>
      <c r="L695" s="27">
        <v>0</v>
      </c>
    </row>
    <row r="696" spans="1:12">
      <c r="A696" s="24" t="s">
        <v>103</v>
      </c>
      <c r="B696" s="24" t="s">
        <v>318</v>
      </c>
      <c r="C696" s="25">
        <v>45931</v>
      </c>
      <c r="D696" s="24" t="s">
        <v>2666</v>
      </c>
      <c r="E696" s="26">
        <v>0</v>
      </c>
      <c r="F696" s="26">
        <v>0</v>
      </c>
      <c r="G696" s="26">
        <v>0</v>
      </c>
      <c r="H696" s="26">
        <v>54930.04</v>
      </c>
      <c r="I696" s="26">
        <v>-54930.04</v>
      </c>
      <c r="J696" s="26">
        <v>0</v>
      </c>
      <c r="K696" s="26">
        <v>-54930.04</v>
      </c>
      <c r="L696" s="27">
        <v>0</v>
      </c>
    </row>
    <row r="697" spans="1:12">
      <c r="A697" s="24" t="s">
        <v>103</v>
      </c>
      <c r="B697" s="24" t="s">
        <v>318</v>
      </c>
      <c r="C697" s="25">
        <v>45962</v>
      </c>
      <c r="D697" s="24" t="s">
        <v>2667</v>
      </c>
      <c r="E697" s="26">
        <v>0</v>
      </c>
      <c r="F697" s="26">
        <v>0</v>
      </c>
      <c r="G697" s="26">
        <v>0</v>
      </c>
      <c r="H697" s="26">
        <v>0</v>
      </c>
      <c r="I697" s="26">
        <v>0</v>
      </c>
      <c r="J697" s="26">
        <v>0</v>
      </c>
      <c r="K697" s="26">
        <v>0</v>
      </c>
      <c r="L697" s="27">
        <v>0</v>
      </c>
    </row>
    <row r="698" spans="1:12">
      <c r="A698" s="24" t="s">
        <v>103</v>
      </c>
      <c r="B698" s="24" t="s">
        <v>318</v>
      </c>
      <c r="C698" s="25">
        <v>45992</v>
      </c>
      <c r="D698" s="24" t="s">
        <v>2668</v>
      </c>
      <c r="E698" s="26">
        <v>3080.58</v>
      </c>
      <c r="F698" s="26">
        <v>0</v>
      </c>
      <c r="G698" s="26">
        <v>3080.58</v>
      </c>
      <c r="H698" s="26">
        <v>0</v>
      </c>
      <c r="I698" s="26">
        <v>3080.58</v>
      </c>
      <c r="J698" s="26">
        <v>0</v>
      </c>
      <c r="K698" s="26">
        <v>3080.58</v>
      </c>
      <c r="L698" s="27">
        <v>1</v>
      </c>
    </row>
    <row r="699" spans="1:12">
      <c r="A699" s="24" t="s">
        <v>49</v>
      </c>
      <c r="B699" s="24" t="s">
        <v>329</v>
      </c>
      <c r="C699" s="25">
        <v>45658</v>
      </c>
      <c r="D699" s="24" t="s">
        <v>2657</v>
      </c>
      <c r="E699" s="26">
        <v>0</v>
      </c>
      <c r="F699" s="26">
        <v>0</v>
      </c>
      <c r="G699" s="26">
        <v>0</v>
      </c>
      <c r="H699" s="26">
        <v>0</v>
      </c>
      <c r="I699" s="26">
        <v>0</v>
      </c>
      <c r="J699" s="26">
        <v>0</v>
      </c>
      <c r="K699" s="26">
        <v>0</v>
      </c>
      <c r="L699" s="27">
        <v>0</v>
      </c>
    </row>
    <row r="700" spans="1:12">
      <c r="A700" s="24" t="s">
        <v>49</v>
      </c>
      <c r="B700" s="24" t="s">
        <v>329</v>
      </c>
      <c r="C700" s="25">
        <v>45689</v>
      </c>
      <c r="D700" s="24" t="s">
        <v>2658</v>
      </c>
      <c r="E700" s="26">
        <v>0</v>
      </c>
      <c r="F700" s="26">
        <v>0</v>
      </c>
      <c r="G700" s="26">
        <v>0</v>
      </c>
      <c r="H700" s="26">
        <v>0</v>
      </c>
      <c r="I700" s="26">
        <v>0</v>
      </c>
      <c r="J700" s="26">
        <v>0</v>
      </c>
      <c r="K700" s="26">
        <v>0</v>
      </c>
      <c r="L700" s="27">
        <v>0</v>
      </c>
    </row>
    <row r="701" spans="1:12">
      <c r="A701" s="24" t="s">
        <v>49</v>
      </c>
      <c r="B701" s="24" t="s">
        <v>329</v>
      </c>
      <c r="C701" s="25">
        <v>45717</v>
      </c>
      <c r="D701" s="24" t="s">
        <v>2659</v>
      </c>
      <c r="E701" s="26">
        <v>0</v>
      </c>
      <c r="F701" s="26">
        <v>0</v>
      </c>
      <c r="G701" s="26">
        <v>0</v>
      </c>
      <c r="H701" s="26">
        <v>0</v>
      </c>
      <c r="I701" s="26">
        <v>0</v>
      </c>
      <c r="J701" s="26">
        <v>0</v>
      </c>
      <c r="K701" s="26">
        <v>0</v>
      </c>
      <c r="L701" s="27">
        <v>0</v>
      </c>
    </row>
    <row r="702" spans="1:12">
      <c r="A702" s="24" t="s">
        <v>49</v>
      </c>
      <c r="B702" s="24" t="s">
        <v>329</v>
      </c>
      <c r="C702" s="25">
        <v>45748</v>
      </c>
      <c r="D702" s="24" t="s">
        <v>2660</v>
      </c>
      <c r="E702" s="26">
        <v>0</v>
      </c>
      <c r="F702" s="26">
        <v>0</v>
      </c>
      <c r="G702" s="26">
        <v>0</v>
      </c>
      <c r="H702" s="26">
        <v>0</v>
      </c>
      <c r="I702" s="26">
        <v>0</v>
      </c>
      <c r="J702" s="26">
        <v>0</v>
      </c>
      <c r="K702" s="26">
        <v>0</v>
      </c>
      <c r="L702" s="27">
        <v>0</v>
      </c>
    </row>
    <row r="703" spans="1:12">
      <c r="A703" s="24" t="s">
        <v>49</v>
      </c>
      <c r="B703" s="24" t="s">
        <v>329</v>
      </c>
      <c r="C703" s="25">
        <v>45778</v>
      </c>
      <c r="D703" s="24" t="s">
        <v>2661</v>
      </c>
      <c r="E703" s="26">
        <v>0</v>
      </c>
      <c r="F703" s="26">
        <v>0</v>
      </c>
      <c r="G703" s="26">
        <v>0</v>
      </c>
      <c r="H703" s="26">
        <v>0</v>
      </c>
      <c r="I703" s="26">
        <v>0</v>
      </c>
      <c r="J703" s="26">
        <v>0</v>
      </c>
      <c r="K703" s="26">
        <v>0</v>
      </c>
      <c r="L703" s="27">
        <v>0</v>
      </c>
    </row>
    <row r="704" spans="1:12">
      <c r="A704" s="24" t="s">
        <v>49</v>
      </c>
      <c r="B704" s="24" t="s">
        <v>329</v>
      </c>
      <c r="C704" s="25">
        <v>45809</v>
      </c>
      <c r="D704" s="24" t="s">
        <v>2662</v>
      </c>
      <c r="E704" s="26">
        <v>0</v>
      </c>
      <c r="F704" s="26">
        <v>0</v>
      </c>
      <c r="G704" s="26">
        <v>0</v>
      </c>
      <c r="H704" s="26">
        <v>0</v>
      </c>
      <c r="I704" s="26">
        <v>0</v>
      </c>
      <c r="J704" s="26">
        <v>0</v>
      </c>
      <c r="K704" s="26">
        <v>0</v>
      </c>
      <c r="L704" s="27">
        <v>0</v>
      </c>
    </row>
    <row r="705" spans="1:12">
      <c r="A705" s="24" t="s">
        <v>49</v>
      </c>
      <c r="B705" s="24" t="s">
        <v>329</v>
      </c>
      <c r="C705" s="25">
        <v>45839</v>
      </c>
      <c r="D705" s="24" t="s">
        <v>2663</v>
      </c>
      <c r="E705" s="26">
        <v>0</v>
      </c>
      <c r="F705" s="26">
        <v>0</v>
      </c>
      <c r="G705" s="26">
        <v>0</v>
      </c>
      <c r="H705" s="26">
        <v>0</v>
      </c>
      <c r="I705" s="26">
        <v>0</v>
      </c>
      <c r="J705" s="26">
        <v>0</v>
      </c>
      <c r="K705" s="26">
        <v>0</v>
      </c>
      <c r="L705" s="27">
        <v>0</v>
      </c>
    </row>
    <row r="706" spans="1:12">
      <c r="A706" s="24" t="s">
        <v>49</v>
      </c>
      <c r="B706" s="24" t="s">
        <v>329</v>
      </c>
      <c r="C706" s="25">
        <v>45870</v>
      </c>
      <c r="D706" s="24" t="s">
        <v>2664</v>
      </c>
      <c r="E706" s="26">
        <v>0</v>
      </c>
      <c r="F706" s="26">
        <v>0</v>
      </c>
      <c r="G706" s="26">
        <v>0</v>
      </c>
      <c r="H706" s="26">
        <v>0</v>
      </c>
      <c r="I706" s="26">
        <v>0</v>
      </c>
      <c r="J706" s="26">
        <v>0</v>
      </c>
      <c r="K706" s="26">
        <v>0</v>
      </c>
      <c r="L706" s="27">
        <v>0</v>
      </c>
    </row>
    <row r="707" spans="1:12">
      <c r="A707" s="24" t="s">
        <v>49</v>
      </c>
      <c r="B707" s="24" t="s">
        <v>329</v>
      </c>
      <c r="C707" s="25">
        <v>45901</v>
      </c>
      <c r="D707" s="24" t="s">
        <v>2665</v>
      </c>
      <c r="E707" s="26">
        <v>11245.04</v>
      </c>
      <c r="F707" s="26">
        <v>0</v>
      </c>
      <c r="G707" s="26">
        <v>11245.04</v>
      </c>
      <c r="H707" s="26">
        <v>0</v>
      </c>
      <c r="I707" s="26">
        <v>11245.04</v>
      </c>
      <c r="J707" s="26">
        <v>0</v>
      </c>
      <c r="K707" s="26">
        <v>11245.04</v>
      </c>
      <c r="L707" s="27">
        <v>1</v>
      </c>
    </row>
    <row r="708" spans="1:12">
      <c r="A708" s="24" t="s">
        <v>49</v>
      </c>
      <c r="B708" s="24" t="s">
        <v>329</v>
      </c>
      <c r="C708" s="25">
        <v>45931</v>
      </c>
      <c r="D708" s="24" t="s">
        <v>2666</v>
      </c>
      <c r="E708" s="26">
        <v>0</v>
      </c>
      <c r="F708" s="26">
        <v>0</v>
      </c>
      <c r="G708" s="26">
        <v>0</v>
      </c>
      <c r="H708" s="26">
        <v>0</v>
      </c>
      <c r="I708" s="26">
        <v>0</v>
      </c>
      <c r="J708" s="26">
        <v>0</v>
      </c>
      <c r="K708" s="26">
        <v>0</v>
      </c>
      <c r="L708" s="27">
        <v>0</v>
      </c>
    </row>
    <row r="709" spans="1:12">
      <c r="A709" s="24" t="s">
        <v>49</v>
      </c>
      <c r="B709" s="24" t="s">
        <v>329</v>
      </c>
      <c r="C709" s="25">
        <v>45962</v>
      </c>
      <c r="D709" s="24" t="s">
        <v>2667</v>
      </c>
      <c r="E709" s="26">
        <v>0</v>
      </c>
      <c r="F709" s="26">
        <v>0</v>
      </c>
      <c r="G709" s="26">
        <v>0</v>
      </c>
      <c r="H709" s="26">
        <v>0</v>
      </c>
      <c r="I709" s="26">
        <v>0</v>
      </c>
      <c r="J709" s="26">
        <v>0</v>
      </c>
      <c r="K709" s="26">
        <v>0</v>
      </c>
      <c r="L709" s="27">
        <v>0</v>
      </c>
    </row>
    <row r="710" spans="1:12">
      <c r="A710" s="24" t="s">
        <v>49</v>
      </c>
      <c r="B710" s="24" t="s">
        <v>329</v>
      </c>
      <c r="C710" s="25">
        <v>45992</v>
      </c>
      <c r="D710" s="24" t="s">
        <v>2668</v>
      </c>
      <c r="E710" s="26">
        <v>8875.83</v>
      </c>
      <c r="F710" s="26">
        <v>0</v>
      </c>
      <c r="G710" s="26">
        <v>8875.83</v>
      </c>
      <c r="H710" s="26">
        <v>0</v>
      </c>
      <c r="I710" s="26">
        <v>8875.83</v>
      </c>
      <c r="J710" s="26">
        <v>0</v>
      </c>
      <c r="K710" s="26">
        <v>8875.83</v>
      </c>
      <c r="L710" s="27">
        <v>1</v>
      </c>
    </row>
    <row r="711" spans="1:12">
      <c r="A711" s="24" t="s">
        <v>223</v>
      </c>
      <c r="B711" s="24" t="s">
        <v>324</v>
      </c>
      <c r="C711" s="25">
        <v>45658</v>
      </c>
      <c r="D711" s="24" t="s">
        <v>2657</v>
      </c>
      <c r="E711" s="26">
        <v>0</v>
      </c>
      <c r="F711" s="26">
        <v>0</v>
      </c>
      <c r="G711" s="26">
        <v>0</v>
      </c>
      <c r="H711" s="26">
        <v>0</v>
      </c>
      <c r="I711" s="26">
        <v>0</v>
      </c>
      <c r="J711" s="26">
        <v>0</v>
      </c>
      <c r="K711" s="26">
        <v>0</v>
      </c>
      <c r="L711" s="27">
        <v>0</v>
      </c>
    </row>
    <row r="712" spans="1:12">
      <c r="A712" s="24" t="s">
        <v>223</v>
      </c>
      <c r="B712" s="24" t="s">
        <v>324</v>
      </c>
      <c r="C712" s="25">
        <v>45689</v>
      </c>
      <c r="D712" s="24" t="s">
        <v>2658</v>
      </c>
      <c r="E712" s="26">
        <v>0</v>
      </c>
      <c r="F712" s="26">
        <v>0</v>
      </c>
      <c r="G712" s="26">
        <v>0</v>
      </c>
      <c r="H712" s="26">
        <v>0</v>
      </c>
      <c r="I712" s="26">
        <v>0</v>
      </c>
      <c r="J712" s="26">
        <v>0</v>
      </c>
      <c r="K712" s="26">
        <v>0</v>
      </c>
      <c r="L712" s="27">
        <v>0</v>
      </c>
    </row>
    <row r="713" spans="1:12">
      <c r="A713" s="24" t="s">
        <v>223</v>
      </c>
      <c r="B713" s="24" t="s">
        <v>324</v>
      </c>
      <c r="C713" s="25">
        <v>45717</v>
      </c>
      <c r="D713" s="24" t="s">
        <v>2659</v>
      </c>
      <c r="E713" s="26">
        <v>0</v>
      </c>
      <c r="F713" s="26">
        <v>0</v>
      </c>
      <c r="G713" s="26">
        <v>0</v>
      </c>
      <c r="H713" s="26">
        <v>0</v>
      </c>
      <c r="I713" s="26">
        <v>0</v>
      </c>
      <c r="J713" s="26">
        <v>0</v>
      </c>
      <c r="K713" s="26">
        <v>0</v>
      </c>
      <c r="L713" s="27">
        <v>0</v>
      </c>
    </row>
    <row r="714" spans="1:12">
      <c r="A714" s="24" t="s">
        <v>223</v>
      </c>
      <c r="B714" s="24" t="s">
        <v>324</v>
      </c>
      <c r="C714" s="25">
        <v>45748</v>
      </c>
      <c r="D714" s="24" t="s">
        <v>2660</v>
      </c>
      <c r="E714" s="26">
        <v>0</v>
      </c>
      <c r="F714" s="26">
        <v>0</v>
      </c>
      <c r="G714" s="26">
        <v>0</v>
      </c>
      <c r="H714" s="26">
        <v>0</v>
      </c>
      <c r="I714" s="26">
        <v>0</v>
      </c>
      <c r="J714" s="26">
        <v>0</v>
      </c>
      <c r="K714" s="26">
        <v>0</v>
      </c>
      <c r="L714" s="27">
        <v>0</v>
      </c>
    </row>
    <row r="715" spans="1:12">
      <c r="A715" s="24" t="s">
        <v>223</v>
      </c>
      <c r="B715" s="24" t="s">
        <v>324</v>
      </c>
      <c r="C715" s="25">
        <v>45778</v>
      </c>
      <c r="D715" s="24" t="s">
        <v>2661</v>
      </c>
      <c r="E715" s="26">
        <v>0</v>
      </c>
      <c r="F715" s="26">
        <v>0</v>
      </c>
      <c r="G715" s="26">
        <v>0</v>
      </c>
      <c r="H715" s="26">
        <v>0</v>
      </c>
      <c r="I715" s="26">
        <v>0</v>
      </c>
      <c r="J715" s="26">
        <v>0</v>
      </c>
      <c r="K715" s="26">
        <v>0</v>
      </c>
      <c r="L715" s="27">
        <v>0</v>
      </c>
    </row>
    <row r="716" spans="1:12">
      <c r="A716" s="24" t="s">
        <v>223</v>
      </c>
      <c r="B716" s="24" t="s">
        <v>324</v>
      </c>
      <c r="C716" s="25">
        <v>45809</v>
      </c>
      <c r="D716" s="24" t="s">
        <v>2662</v>
      </c>
      <c r="E716" s="26">
        <v>0</v>
      </c>
      <c r="F716" s="26">
        <v>0</v>
      </c>
      <c r="G716" s="26">
        <v>0</v>
      </c>
      <c r="H716" s="26">
        <v>0</v>
      </c>
      <c r="I716" s="26">
        <v>0</v>
      </c>
      <c r="J716" s="26">
        <v>0</v>
      </c>
      <c r="K716" s="26">
        <v>0</v>
      </c>
      <c r="L716" s="27">
        <v>0</v>
      </c>
    </row>
    <row r="717" spans="1:12">
      <c r="A717" s="24" t="s">
        <v>223</v>
      </c>
      <c r="B717" s="24" t="s">
        <v>324</v>
      </c>
      <c r="C717" s="25">
        <v>45839</v>
      </c>
      <c r="D717" s="24" t="s">
        <v>2663</v>
      </c>
      <c r="E717" s="26">
        <v>0</v>
      </c>
      <c r="F717" s="26">
        <v>0</v>
      </c>
      <c r="G717" s="26">
        <v>0</v>
      </c>
      <c r="H717" s="26">
        <v>0</v>
      </c>
      <c r="I717" s="26">
        <v>0</v>
      </c>
      <c r="J717" s="26">
        <v>0</v>
      </c>
      <c r="K717" s="26">
        <v>0</v>
      </c>
      <c r="L717" s="27">
        <v>0</v>
      </c>
    </row>
    <row r="718" spans="1:12">
      <c r="A718" s="24" t="s">
        <v>223</v>
      </c>
      <c r="B718" s="24" t="s">
        <v>324</v>
      </c>
      <c r="C718" s="25">
        <v>45870</v>
      </c>
      <c r="D718" s="24" t="s">
        <v>2664</v>
      </c>
      <c r="E718" s="26">
        <v>87555.7</v>
      </c>
      <c r="F718" s="26">
        <v>0</v>
      </c>
      <c r="G718" s="26">
        <v>87555.7</v>
      </c>
      <c r="H718" s="26">
        <v>42208.14</v>
      </c>
      <c r="I718" s="26">
        <v>45347.56</v>
      </c>
      <c r="J718" s="26">
        <v>0</v>
      </c>
      <c r="K718" s="26">
        <v>45347.56</v>
      </c>
      <c r="L718" s="27">
        <v>0.51792813032161245</v>
      </c>
    </row>
    <row r="719" spans="1:12">
      <c r="A719" s="24" t="s">
        <v>223</v>
      </c>
      <c r="B719" s="24" t="s">
        <v>324</v>
      </c>
      <c r="C719" s="25">
        <v>45901</v>
      </c>
      <c r="D719" s="24" t="s">
        <v>2665</v>
      </c>
      <c r="E719" s="26">
        <v>0</v>
      </c>
      <c r="F719" s="26">
        <v>0</v>
      </c>
      <c r="G719" s="26">
        <v>0</v>
      </c>
      <c r="H719" s="26">
        <v>0</v>
      </c>
      <c r="I719" s="26">
        <v>0</v>
      </c>
      <c r="J719" s="26">
        <v>0</v>
      </c>
      <c r="K719" s="26">
        <v>0</v>
      </c>
      <c r="L719" s="27">
        <v>0</v>
      </c>
    </row>
    <row r="720" spans="1:12">
      <c r="A720" s="24" t="s">
        <v>223</v>
      </c>
      <c r="B720" s="24" t="s">
        <v>324</v>
      </c>
      <c r="C720" s="25">
        <v>45931</v>
      </c>
      <c r="D720" s="24" t="s">
        <v>2666</v>
      </c>
      <c r="E720" s="26">
        <v>0</v>
      </c>
      <c r="F720" s="26">
        <v>0</v>
      </c>
      <c r="G720" s="26">
        <v>0</v>
      </c>
      <c r="H720" s="26">
        <v>0</v>
      </c>
      <c r="I720" s="26">
        <v>0</v>
      </c>
      <c r="J720" s="26">
        <v>0</v>
      </c>
      <c r="K720" s="26">
        <v>0</v>
      </c>
      <c r="L720" s="27">
        <v>0</v>
      </c>
    </row>
    <row r="721" spans="1:12">
      <c r="A721" s="24" t="s">
        <v>223</v>
      </c>
      <c r="B721" s="24" t="s">
        <v>324</v>
      </c>
      <c r="C721" s="25">
        <v>45962</v>
      </c>
      <c r="D721" s="24" t="s">
        <v>2667</v>
      </c>
      <c r="E721" s="26">
        <v>0</v>
      </c>
      <c r="F721" s="26">
        <v>0</v>
      </c>
      <c r="G721" s="26">
        <v>0</v>
      </c>
      <c r="H721" s="26">
        <v>55835.64</v>
      </c>
      <c r="I721" s="26">
        <v>-55835.64</v>
      </c>
      <c r="J721" s="26">
        <v>0</v>
      </c>
      <c r="K721" s="26">
        <v>-55835.64</v>
      </c>
      <c r="L721" s="27">
        <v>0</v>
      </c>
    </row>
    <row r="722" spans="1:12">
      <c r="A722" s="24" t="s">
        <v>223</v>
      </c>
      <c r="B722" s="24" t="s">
        <v>324</v>
      </c>
      <c r="C722" s="25">
        <v>45992</v>
      </c>
      <c r="D722" s="24" t="s">
        <v>2668</v>
      </c>
      <c r="E722" s="26">
        <v>0</v>
      </c>
      <c r="F722" s="26">
        <v>0</v>
      </c>
      <c r="G722" s="26">
        <v>0</v>
      </c>
      <c r="H722" s="26">
        <v>0</v>
      </c>
      <c r="I722" s="26">
        <v>0</v>
      </c>
      <c r="J722" s="26">
        <v>0</v>
      </c>
      <c r="K722" s="26">
        <v>0</v>
      </c>
      <c r="L722" s="27">
        <v>0</v>
      </c>
    </row>
    <row r="723" spans="1:12">
      <c r="A723" s="24" t="s">
        <v>45</v>
      </c>
      <c r="B723" s="24" t="s">
        <v>324</v>
      </c>
      <c r="C723" s="25">
        <v>45658</v>
      </c>
      <c r="D723" s="24" t="s">
        <v>2657</v>
      </c>
      <c r="E723" s="26">
        <v>0</v>
      </c>
      <c r="F723" s="26">
        <v>0</v>
      </c>
      <c r="G723" s="26">
        <v>0</v>
      </c>
      <c r="H723" s="26">
        <v>0</v>
      </c>
      <c r="I723" s="26">
        <v>0</v>
      </c>
      <c r="J723" s="26">
        <v>0</v>
      </c>
      <c r="K723" s="26">
        <v>0</v>
      </c>
      <c r="L723" s="27">
        <v>0</v>
      </c>
    </row>
    <row r="724" spans="1:12">
      <c r="A724" s="24" t="s">
        <v>45</v>
      </c>
      <c r="B724" s="24" t="s">
        <v>324</v>
      </c>
      <c r="C724" s="25">
        <v>45689</v>
      </c>
      <c r="D724" s="24" t="s">
        <v>2658</v>
      </c>
      <c r="E724" s="26">
        <v>0</v>
      </c>
      <c r="F724" s="26">
        <v>0</v>
      </c>
      <c r="G724" s="26">
        <v>0</v>
      </c>
      <c r="H724" s="26">
        <v>0</v>
      </c>
      <c r="I724" s="26">
        <v>0</v>
      </c>
      <c r="J724" s="26">
        <v>0</v>
      </c>
      <c r="K724" s="26">
        <v>0</v>
      </c>
      <c r="L724" s="27">
        <v>0</v>
      </c>
    </row>
    <row r="725" spans="1:12">
      <c r="A725" s="24" t="s">
        <v>45</v>
      </c>
      <c r="B725" s="24" t="s">
        <v>324</v>
      </c>
      <c r="C725" s="25">
        <v>45717</v>
      </c>
      <c r="D725" s="24" t="s">
        <v>2659</v>
      </c>
      <c r="E725" s="26">
        <v>0</v>
      </c>
      <c r="F725" s="26">
        <v>0</v>
      </c>
      <c r="G725" s="26">
        <v>0</v>
      </c>
      <c r="H725" s="26">
        <v>0</v>
      </c>
      <c r="I725" s="26">
        <v>0</v>
      </c>
      <c r="J725" s="26">
        <v>0</v>
      </c>
      <c r="K725" s="26">
        <v>0</v>
      </c>
      <c r="L725" s="27">
        <v>0</v>
      </c>
    </row>
    <row r="726" spans="1:12">
      <c r="A726" s="24" t="s">
        <v>45</v>
      </c>
      <c r="B726" s="24" t="s">
        <v>324</v>
      </c>
      <c r="C726" s="25">
        <v>45748</v>
      </c>
      <c r="D726" s="24" t="s">
        <v>2660</v>
      </c>
      <c r="E726" s="26">
        <v>0</v>
      </c>
      <c r="F726" s="26">
        <v>0</v>
      </c>
      <c r="G726" s="26">
        <v>0</v>
      </c>
      <c r="H726" s="26">
        <v>0</v>
      </c>
      <c r="I726" s="26">
        <v>0</v>
      </c>
      <c r="J726" s="26">
        <v>0</v>
      </c>
      <c r="K726" s="26">
        <v>0</v>
      </c>
      <c r="L726" s="27">
        <v>0</v>
      </c>
    </row>
    <row r="727" spans="1:12">
      <c r="A727" s="24" t="s">
        <v>45</v>
      </c>
      <c r="B727" s="24" t="s">
        <v>324</v>
      </c>
      <c r="C727" s="25">
        <v>45778</v>
      </c>
      <c r="D727" s="24" t="s">
        <v>2661</v>
      </c>
      <c r="E727" s="26">
        <v>0</v>
      </c>
      <c r="F727" s="26">
        <v>0</v>
      </c>
      <c r="G727" s="26">
        <v>0</v>
      </c>
      <c r="H727" s="26">
        <v>0</v>
      </c>
      <c r="I727" s="26">
        <v>0</v>
      </c>
      <c r="J727" s="26">
        <v>0</v>
      </c>
      <c r="K727" s="26">
        <v>0</v>
      </c>
      <c r="L727" s="27">
        <v>0</v>
      </c>
    </row>
    <row r="728" spans="1:12">
      <c r="A728" s="24" t="s">
        <v>45</v>
      </c>
      <c r="B728" s="24" t="s">
        <v>324</v>
      </c>
      <c r="C728" s="25">
        <v>45809</v>
      </c>
      <c r="D728" s="24" t="s">
        <v>2662</v>
      </c>
      <c r="E728" s="26">
        <v>0</v>
      </c>
      <c r="F728" s="26">
        <v>0</v>
      </c>
      <c r="G728" s="26">
        <v>0</v>
      </c>
      <c r="H728" s="26">
        <v>0</v>
      </c>
      <c r="I728" s="26">
        <v>0</v>
      </c>
      <c r="J728" s="26">
        <v>0</v>
      </c>
      <c r="K728" s="26">
        <v>0</v>
      </c>
      <c r="L728" s="27">
        <v>0</v>
      </c>
    </row>
    <row r="729" spans="1:12">
      <c r="A729" s="24" t="s">
        <v>45</v>
      </c>
      <c r="B729" s="24" t="s">
        <v>324</v>
      </c>
      <c r="C729" s="25">
        <v>45839</v>
      </c>
      <c r="D729" s="24" t="s">
        <v>2663</v>
      </c>
      <c r="E729" s="26">
        <v>33803.46</v>
      </c>
      <c r="F729" s="26">
        <v>0</v>
      </c>
      <c r="G729" s="26">
        <v>33803.46</v>
      </c>
      <c r="H729" s="26">
        <v>0</v>
      </c>
      <c r="I729" s="26">
        <v>33803.46</v>
      </c>
      <c r="J729" s="26">
        <v>0</v>
      </c>
      <c r="K729" s="26">
        <v>33803.46</v>
      </c>
      <c r="L729" s="27">
        <v>1</v>
      </c>
    </row>
    <row r="730" spans="1:12">
      <c r="A730" s="24" t="s">
        <v>45</v>
      </c>
      <c r="B730" s="24" t="s">
        <v>324</v>
      </c>
      <c r="C730" s="25">
        <v>45870</v>
      </c>
      <c r="D730" s="24" t="s">
        <v>2664</v>
      </c>
      <c r="E730" s="26">
        <v>33084.870000000003</v>
      </c>
      <c r="F730" s="26">
        <v>0</v>
      </c>
      <c r="G730" s="26">
        <v>33084.870000000003</v>
      </c>
      <c r="H730" s="26">
        <v>0</v>
      </c>
      <c r="I730" s="26">
        <v>33084.870000000003</v>
      </c>
      <c r="J730" s="26">
        <v>0</v>
      </c>
      <c r="K730" s="26">
        <v>33084.870000000003</v>
      </c>
      <c r="L730" s="27">
        <v>1</v>
      </c>
    </row>
    <row r="731" spans="1:12">
      <c r="A731" s="24" t="s">
        <v>45</v>
      </c>
      <c r="B731" s="24" t="s">
        <v>324</v>
      </c>
      <c r="C731" s="25">
        <v>45901</v>
      </c>
      <c r="D731" s="24" t="s">
        <v>2665</v>
      </c>
      <c r="E731" s="26">
        <v>0</v>
      </c>
      <c r="F731" s="26">
        <v>0</v>
      </c>
      <c r="G731" s="26">
        <v>0</v>
      </c>
      <c r="H731" s="26">
        <v>0</v>
      </c>
      <c r="I731" s="26">
        <v>0</v>
      </c>
      <c r="J731" s="26">
        <v>0</v>
      </c>
      <c r="K731" s="26">
        <v>0</v>
      </c>
      <c r="L731" s="27">
        <v>0</v>
      </c>
    </row>
    <row r="732" spans="1:12">
      <c r="A732" s="24" t="s">
        <v>45</v>
      </c>
      <c r="B732" s="24" t="s">
        <v>324</v>
      </c>
      <c r="C732" s="25">
        <v>45931</v>
      </c>
      <c r="D732" s="24" t="s">
        <v>2666</v>
      </c>
      <c r="E732" s="26">
        <v>0</v>
      </c>
      <c r="F732" s="26">
        <v>0</v>
      </c>
      <c r="G732" s="26">
        <v>0</v>
      </c>
      <c r="H732" s="26">
        <v>0</v>
      </c>
      <c r="I732" s="26">
        <v>0</v>
      </c>
      <c r="J732" s="26">
        <v>0</v>
      </c>
      <c r="K732" s="26">
        <v>0</v>
      </c>
      <c r="L732" s="27">
        <v>0</v>
      </c>
    </row>
    <row r="733" spans="1:12">
      <c r="A733" s="24" t="s">
        <v>45</v>
      </c>
      <c r="B733" s="24" t="s">
        <v>324</v>
      </c>
      <c r="C733" s="25">
        <v>45962</v>
      </c>
      <c r="D733" s="24" t="s">
        <v>2667</v>
      </c>
      <c r="E733" s="26">
        <v>0</v>
      </c>
      <c r="F733" s="26">
        <v>0</v>
      </c>
      <c r="G733" s="26">
        <v>0</v>
      </c>
      <c r="H733" s="26">
        <v>0</v>
      </c>
      <c r="I733" s="26">
        <v>0</v>
      </c>
      <c r="J733" s="26">
        <v>0</v>
      </c>
      <c r="K733" s="26">
        <v>0</v>
      </c>
      <c r="L733" s="27">
        <v>0</v>
      </c>
    </row>
    <row r="734" spans="1:12">
      <c r="A734" s="24" t="s">
        <v>45</v>
      </c>
      <c r="B734" s="24" t="s">
        <v>324</v>
      </c>
      <c r="C734" s="25">
        <v>45992</v>
      </c>
      <c r="D734" s="24" t="s">
        <v>2668</v>
      </c>
      <c r="E734" s="26">
        <v>0</v>
      </c>
      <c r="F734" s="26">
        <v>0</v>
      </c>
      <c r="G734" s="26">
        <v>0</v>
      </c>
      <c r="H734" s="26">
        <v>41063.949999999997</v>
      </c>
      <c r="I734" s="26">
        <v>-41063.949999999997</v>
      </c>
      <c r="J734" s="26">
        <v>0</v>
      </c>
      <c r="K734" s="26">
        <v>-41063.949999999997</v>
      </c>
      <c r="L734" s="27">
        <v>0</v>
      </c>
    </row>
    <row r="735" spans="1:12">
      <c r="A735" s="24" t="s">
        <v>212</v>
      </c>
      <c r="B735" s="24" t="s">
        <v>329</v>
      </c>
      <c r="C735" s="25">
        <v>45658</v>
      </c>
      <c r="D735" s="24" t="s">
        <v>2657</v>
      </c>
      <c r="E735" s="26">
        <v>0</v>
      </c>
      <c r="F735" s="26">
        <v>0</v>
      </c>
      <c r="G735" s="26">
        <v>0</v>
      </c>
      <c r="H735" s="26">
        <v>0</v>
      </c>
      <c r="I735" s="26">
        <v>0</v>
      </c>
      <c r="J735" s="26">
        <v>0</v>
      </c>
      <c r="K735" s="26">
        <v>0</v>
      </c>
      <c r="L735" s="27">
        <v>0</v>
      </c>
    </row>
    <row r="736" spans="1:12">
      <c r="A736" s="24" t="s">
        <v>212</v>
      </c>
      <c r="B736" s="24" t="s">
        <v>329</v>
      </c>
      <c r="C736" s="25">
        <v>45689</v>
      </c>
      <c r="D736" s="24" t="s">
        <v>2658</v>
      </c>
      <c r="E736" s="26">
        <v>0</v>
      </c>
      <c r="F736" s="26">
        <v>0</v>
      </c>
      <c r="G736" s="26">
        <v>0</v>
      </c>
      <c r="H736" s="26">
        <v>0</v>
      </c>
      <c r="I736" s="26">
        <v>0</v>
      </c>
      <c r="J736" s="26">
        <v>0</v>
      </c>
      <c r="K736" s="26">
        <v>0</v>
      </c>
      <c r="L736" s="27">
        <v>0</v>
      </c>
    </row>
    <row r="737" spans="1:12">
      <c r="A737" s="24" t="s">
        <v>212</v>
      </c>
      <c r="B737" s="24" t="s">
        <v>329</v>
      </c>
      <c r="C737" s="25">
        <v>45717</v>
      </c>
      <c r="D737" s="24" t="s">
        <v>2659</v>
      </c>
      <c r="E737" s="26">
        <v>0</v>
      </c>
      <c r="F737" s="26">
        <v>0</v>
      </c>
      <c r="G737" s="26">
        <v>0</v>
      </c>
      <c r="H737" s="26">
        <v>0</v>
      </c>
      <c r="I737" s="26">
        <v>0</v>
      </c>
      <c r="J737" s="26">
        <v>0</v>
      </c>
      <c r="K737" s="26">
        <v>0</v>
      </c>
      <c r="L737" s="27">
        <v>0</v>
      </c>
    </row>
    <row r="738" spans="1:12">
      <c r="A738" s="24" t="s">
        <v>212</v>
      </c>
      <c r="B738" s="24" t="s">
        <v>329</v>
      </c>
      <c r="C738" s="25">
        <v>45748</v>
      </c>
      <c r="D738" s="24" t="s">
        <v>2660</v>
      </c>
      <c r="E738" s="26">
        <v>0</v>
      </c>
      <c r="F738" s="26">
        <v>0</v>
      </c>
      <c r="G738" s="26">
        <v>0</v>
      </c>
      <c r="H738" s="26">
        <v>0</v>
      </c>
      <c r="I738" s="26">
        <v>0</v>
      </c>
      <c r="J738" s="26">
        <v>0</v>
      </c>
      <c r="K738" s="26">
        <v>0</v>
      </c>
      <c r="L738" s="27">
        <v>0</v>
      </c>
    </row>
    <row r="739" spans="1:12">
      <c r="A739" s="24" t="s">
        <v>212</v>
      </c>
      <c r="B739" s="24" t="s">
        <v>329</v>
      </c>
      <c r="C739" s="25">
        <v>45778</v>
      </c>
      <c r="D739" s="24" t="s">
        <v>2661</v>
      </c>
      <c r="E739" s="26">
        <v>0</v>
      </c>
      <c r="F739" s="26">
        <v>0</v>
      </c>
      <c r="G739" s="26">
        <v>0</v>
      </c>
      <c r="H739" s="26">
        <v>0</v>
      </c>
      <c r="I739" s="26">
        <v>0</v>
      </c>
      <c r="J739" s="26">
        <v>0</v>
      </c>
      <c r="K739" s="26">
        <v>0</v>
      </c>
      <c r="L739" s="27">
        <v>0</v>
      </c>
    </row>
    <row r="740" spans="1:12">
      <c r="A740" s="24" t="s">
        <v>212</v>
      </c>
      <c r="B740" s="24" t="s">
        <v>329</v>
      </c>
      <c r="C740" s="25">
        <v>45809</v>
      </c>
      <c r="D740" s="24" t="s">
        <v>2662</v>
      </c>
      <c r="E740" s="26">
        <v>0</v>
      </c>
      <c r="F740" s="26">
        <v>0</v>
      </c>
      <c r="G740" s="26">
        <v>0</v>
      </c>
      <c r="H740" s="26">
        <v>0</v>
      </c>
      <c r="I740" s="26">
        <v>0</v>
      </c>
      <c r="J740" s="26">
        <v>0</v>
      </c>
      <c r="K740" s="26">
        <v>0</v>
      </c>
      <c r="L740" s="27">
        <v>0</v>
      </c>
    </row>
    <row r="741" spans="1:12">
      <c r="A741" s="24" t="s">
        <v>212</v>
      </c>
      <c r="B741" s="24" t="s">
        <v>329</v>
      </c>
      <c r="C741" s="25">
        <v>45839</v>
      </c>
      <c r="D741" s="24" t="s">
        <v>2663</v>
      </c>
      <c r="E741" s="26">
        <v>0</v>
      </c>
      <c r="F741" s="26">
        <v>0</v>
      </c>
      <c r="G741" s="26">
        <v>0</v>
      </c>
      <c r="H741" s="26">
        <v>0</v>
      </c>
      <c r="I741" s="26">
        <v>0</v>
      </c>
      <c r="J741" s="26">
        <v>0</v>
      </c>
      <c r="K741" s="26">
        <v>0</v>
      </c>
      <c r="L741" s="27">
        <v>0</v>
      </c>
    </row>
    <row r="742" spans="1:12">
      <c r="A742" s="24" t="s">
        <v>212</v>
      </c>
      <c r="B742" s="24" t="s">
        <v>329</v>
      </c>
      <c r="C742" s="25">
        <v>45870</v>
      </c>
      <c r="D742" s="24" t="s">
        <v>2664</v>
      </c>
      <c r="E742" s="26">
        <v>0</v>
      </c>
      <c r="F742" s="26">
        <v>0</v>
      </c>
      <c r="G742" s="26">
        <v>0</v>
      </c>
      <c r="H742" s="26">
        <v>0</v>
      </c>
      <c r="I742" s="26">
        <v>0</v>
      </c>
      <c r="J742" s="26">
        <v>0</v>
      </c>
      <c r="K742" s="26">
        <v>0</v>
      </c>
      <c r="L742" s="27">
        <v>0</v>
      </c>
    </row>
    <row r="743" spans="1:12">
      <c r="A743" s="24" t="s">
        <v>212</v>
      </c>
      <c r="B743" s="24" t="s">
        <v>329</v>
      </c>
      <c r="C743" s="25">
        <v>45901</v>
      </c>
      <c r="D743" s="24" t="s">
        <v>2665</v>
      </c>
      <c r="E743" s="26">
        <v>32457.35</v>
      </c>
      <c r="F743" s="26">
        <v>0</v>
      </c>
      <c r="G743" s="26">
        <v>32457.35</v>
      </c>
      <c r="H743" s="26">
        <v>0</v>
      </c>
      <c r="I743" s="26">
        <v>32457.35</v>
      </c>
      <c r="J743" s="26">
        <v>0</v>
      </c>
      <c r="K743" s="26">
        <v>32457.35</v>
      </c>
      <c r="L743" s="27">
        <v>1</v>
      </c>
    </row>
    <row r="744" spans="1:12">
      <c r="A744" s="24" t="s">
        <v>212</v>
      </c>
      <c r="B744" s="24" t="s">
        <v>329</v>
      </c>
      <c r="C744" s="25">
        <v>45931</v>
      </c>
      <c r="D744" s="24" t="s">
        <v>2666</v>
      </c>
      <c r="E744" s="26">
        <v>27416.959999999999</v>
      </c>
      <c r="F744" s="26">
        <v>0</v>
      </c>
      <c r="G744" s="26">
        <v>27416.959999999999</v>
      </c>
      <c r="H744" s="26">
        <v>91986.559999999998</v>
      </c>
      <c r="I744" s="26">
        <v>-64569.599999999999</v>
      </c>
      <c r="J744" s="26">
        <v>0</v>
      </c>
      <c r="K744" s="26">
        <v>-64569.599999999999</v>
      </c>
      <c r="L744" s="27">
        <v>-2.3550969910595492</v>
      </c>
    </row>
    <row r="745" spans="1:12">
      <c r="A745" s="24" t="s">
        <v>212</v>
      </c>
      <c r="B745" s="24" t="s">
        <v>329</v>
      </c>
      <c r="C745" s="25">
        <v>45962</v>
      </c>
      <c r="D745" s="24" t="s">
        <v>2667</v>
      </c>
      <c r="E745" s="26">
        <v>0</v>
      </c>
      <c r="F745" s="26">
        <v>0</v>
      </c>
      <c r="G745" s="26">
        <v>0</v>
      </c>
      <c r="H745" s="26">
        <v>0</v>
      </c>
      <c r="I745" s="26">
        <v>0</v>
      </c>
      <c r="J745" s="26">
        <v>0</v>
      </c>
      <c r="K745" s="26">
        <v>0</v>
      </c>
      <c r="L745" s="27">
        <v>0</v>
      </c>
    </row>
    <row r="746" spans="1:12">
      <c r="A746" s="24" t="s">
        <v>212</v>
      </c>
      <c r="B746" s="24" t="s">
        <v>329</v>
      </c>
      <c r="C746" s="25">
        <v>45992</v>
      </c>
      <c r="D746" s="24" t="s">
        <v>2668</v>
      </c>
      <c r="E746" s="26">
        <v>0</v>
      </c>
      <c r="F746" s="26">
        <v>0</v>
      </c>
      <c r="G746" s="26">
        <v>0</v>
      </c>
      <c r="H746" s="26">
        <v>109012.23</v>
      </c>
      <c r="I746" s="26">
        <v>-109012.23</v>
      </c>
      <c r="J746" s="26">
        <v>0</v>
      </c>
      <c r="K746" s="26">
        <v>-109012.23</v>
      </c>
      <c r="L746" s="27">
        <v>0</v>
      </c>
    </row>
    <row r="747" spans="1:12">
      <c r="A747" s="24" t="s">
        <v>194</v>
      </c>
      <c r="B747" s="24" t="s">
        <v>318</v>
      </c>
      <c r="C747" s="25">
        <v>45658</v>
      </c>
      <c r="D747" s="24" t="s">
        <v>2657</v>
      </c>
      <c r="E747" s="26">
        <v>0</v>
      </c>
      <c r="F747" s="26">
        <v>0</v>
      </c>
      <c r="G747" s="26">
        <v>0</v>
      </c>
      <c r="H747" s="26">
        <v>0</v>
      </c>
      <c r="I747" s="26">
        <v>0</v>
      </c>
      <c r="J747" s="26">
        <v>0</v>
      </c>
      <c r="K747" s="26">
        <v>0</v>
      </c>
      <c r="L747" s="27">
        <v>0</v>
      </c>
    </row>
    <row r="748" spans="1:12">
      <c r="A748" s="24" t="s">
        <v>194</v>
      </c>
      <c r="B748" s="24" t="s">
        <v>318</v>
      </c>
      <c r="C748" s="25">
        <v>45689</v>
      </c>
      <c r="D748" s="24" t="s">
        <v>2658</v>
      </c>
      <c r="E748" s="26">
        <v>0</v>
      </c>
      <c r="F748" s="26">
        <v>0</v>
      </c>
      <c r="G748" s="26">
        <v>0</v>
      </c>
      <c r="H748" s="26">
        <v>0</v>
      </c>
      <c r="I748" s="26">
        <v>0</v>
      </c>
      <c r="J748" s="26">
        <v>0</v>
      </c>
      <c r="K748" s="26">
        <v>0</v>
      </c>
      <c r="L748" s="27">
        <v>0</v>
      </c>
    </row>
    <row r="749" spans="1:12">
      <c r="A749" s="24" t="s">
        <v>194</v>
      </c>
      <c r="B749" s="24" t="s">
        <v>318</v>
      </c>
      <c r="C749" s="25">
        <v>45717</v>
      </c>
      <c r="D749" s="24" t="s">
        <v>2659</v>
      </c>
      <c r="E749" s="26">
        <v>0</v>
      </c>
      <c r="F749" s="26">
        <v>0</v>
      </c>
      <c r="G749" s="26">
        <v>0</v>
      </c>
      <c r="H749" s="26">
        <v>0</v>
      </c>
      <c r="I749" s="26">
        <v>0</v>
      </c>
      <c r="J749" s="26">
        <v>0</v>
      </c>
      <c r="K749" s="26">
        <v>0</v>
      </c>
      <c r="L749" s="27">
        <v>0</v>
      </c>
    </row>
    <row r="750" spans="1:12">
      <c r="A750" s="24" t="s">
        <v>194</v>
      </c>
      <c r="B750" s="24" t="s">
        <v>318</v>
      </c>
      <c r="C750" s="25">
        <v>45748</v>
      </c>
      <c r="D750" s="24" t="s">
        <v>2660</v>
      </c>
      <c r="E750" s="26">
        <v>0</v>
      </c>
      <c r="F750" s="26">
        <v>0</v>
      </c>
      <c r="G750" s="26">
        <v>0</v>
      </c>
      <c r="H750" s="26">
        <v>0</v>
      </c>
      <c r="I750" s="26">
        <v>0</v>
      </c>
      <c r="J750" s="26">
        <v>0</v>
      </c>
      <c r="K750" s="26">
        <v>0</v>
      </c>
      <c r="L750" s="27">
        <v>0</v>
      </c>
    </row>
    <row r="751" spans="1:12">
      <c r="A751" s="24" t="s">
        <v>194</v>
      </c>
      <c r="B751" s="24" t="s">
        <v>318</v>
      </c>
      <c r="C751" s="25">
        <v>45778</v>
      </c>
      <c r="D751" s="24" t="s">
        <v>2661</v>
      </c>
      <c r="E751" s="26">
        <v>0</v>
      </c>
      <c r="F751" s="26">
        <v>0</v>
      </c>
      <c r="G751" s="26">
        <v>0</v>
      </c>
      <c r="H751" s="26">
        <v>0</v>
      </c>
      <c r="I751" s="26">
        <v>0</v>
      </c>
      <c r="J751" s="26">
        <v>0</v>
      </c>
      <c r="K751" s="26">
        <v>0</v>
      </c>
      <c r="L751" s="27">
        <v>0</v>
      </c>
    </row>
    <row r="752" spans="1:12">
      <c r="A752" s="24" t="s">
        <v>194</v>
      </c>
      <c r="B752" s="24" t="s">
        <v>318</v>
      </c>
      <c r="C752" s="25">
        <v>45809</v>
      </c>
      <c r="D752" s="24" t="s">
        <v>2662</v>
      </c>
      <c r="E752" s="26">
        <v>0</v>
      </c>
      <c r="F752" s="26">
        <v>0</v>
      </c>
      <c r="G752" s="26">
        <v>0</v>
      </c>
      <c r="H752" s="26">
        <v>0</v>
      </c>
      <c r="I752" s="26">
        <v>0</v>
      </c>
      <c r="J752" s="26">
        <v>0</v>
      </c>
      <c r="K752" s="26">
        <v>0</v>
      </c>
      <c r="L752" s="27">
        <v>0</v>
      </c>
    </row>
    <row r="753" spans="1:12">
      <c r="A753" s="24" t="s">
        <v>194</v>
      </c>
      <c r="B753" s="24" t="s">
        <v>318</v>
      </c>
      <c r="C753" s="25">
        <v>45839</v>
      </c>
      <c r="D753" s="24" t="s">
        <v>2663</v>
      </c>
      <c r="E753" s="26">
        <v>0</v>
      </c>
      <c r="F753" s="26">
        <v>0</v>
      </c>
      <c r="G753" s="26">
        <v>0</v>
      </c>
      <c r="H753" s="26">
        <v>38985.699999999997</v>
      </c>
      <c r="I753" s="26">
        <v>-38985.699999999997</v>
      </c>
      <c r="J753" s="26">
        <v>0</v>
      </c>
      <c r="K753" s="26">
        <v>-38985.699999999997</v>
      </c>
      <c r="L753" s="27">
        <v>0</v>
      </c>
    </row>
    <row r="754" spans="1:12">
      <c r="A754" s="24" t="s">
        <v>194</v>
      </c>
      <c r="B754" s="24" t="s">
        <v>318</v>
      </c>
      <c r="C754" s="25">
        <v>45870</v>
      </c>
      <c r="D754" s="24" t="s">
        <v>2664</v>
      </c>
      <c r="E754" s="26">
        <v>53852.92</v>
      </c>
      <c r="F754" s="26">
        <v>0</v>
      </c>
      <c r="G754" s="26">
        <v>53852.92</v>
      </c>
      <c r="H754" s="26">
        <v>0</v>
      </c>
      <c r="I754" s="26">
        <v>53852.92</v>
      </c>
      <c r="J754" s="26">
        <v>0</v>
      </c>
      <c r="K754" s="26">
        <v>53852.92</v>
      </c>
      <c r="L754" s="27">
        <v>1</v>
      </c>
    </row>
    <row r="755" spans="1:12">
      <c r="A755" s="24" t="s">
        <v>194</v>
      </c>
      <c r="B755" s="24" t="s">
        <v>318</v>
      </c>
      <c r="C755" s="25">
        <v>45901</v>
      </c>
      <c r="D755" s="24" t="s">
        <v>2665</v>
      </c>
      <c r="E755" s="26">
        <v>38381.769999999997</v>
      </c>
      <c r="F755" s="26">
        <v>0</v>
      </c>
      <c r="G755" s="26">
        <v>38381.769999999997</v>
      </c>
      <c r="H755" s="26">
        <v>0</v>
      </c>
      <c r="I755" s="26">
        <v>38381.769999999997</v>
      </c>
      <c r="J755" s="26">
        <v>0</v>
      </c>
      <c r="K755" s="26">
        <v>38381.769999999997</v>
      </c>
      <c r="L755" s="27">
        <v>1</v>
      </c>
    </row>
    <row r="756" spans="1:12">
      <c r="A756" s="24" t="s">
        <v>194</v>
      </c>
      <c r="B756" s="24" t="s">
        <v>318</v>
      </c>
      <c r="C756" s="25">
        <v>45931</v>
      </c>
      <c r="D756" s="24" t="s">
        <v>2666</v>
      </c>
      <c r="E756" s="26">
        <v>0</v>
      </c>
      <c r="F756" s="26">
        <v>0</v>
      </c>
      <c r="G756" s="26">
        <v>0</v>
      </c>
      <c r="H756" s="26">
        <v>57340.36</v>
      </c>
      <c r="I756" s="26">
        <v>-57340.36</v>
      </c>
      <c r="J756" s="26">
        <v>0</v>
      </c>
      <c r="K756" s="26">
        <v>-57340.36</v>
      </c>
      <c r="L756" s="27">
        <v>0</v>
      </c>
    </row>
    <row r="757" spans="1:12">
      <c r="A757" s="24" t="s">
        <v>194</v>
      </c>
      <c r="B757" s="24" t="s">
        <v>318</v>
      </c>
      <c r="C757" s="25">
        <v>45962</v>
      </c>
      <c r="D757" s="24" t="s">
        <v>2667</v>
      </c>
      <c r="E757" s="26">
        <v>57176.06</v>
      </c>
      <c r="F757" s="26">
        <v>0</v>
      </c>
      <c r="G757" s="26">
        <v>57176.06</v>
      </c>
      <c r="H757" s="26">
        <v>0</v>
      </c>
      <c r="I757" s="26">
        <v>57176.06</v>
      </c>
      <c r="J757" s="26">
        <v>0</v>
      </c>
      <c r="K757" s="26">
        <v>57176.06</v>
      </c>
      <c r="L757" s="27">
        <v>1</v>
      </c>
    </row>
    <row r="758" spans="1:12">
      <c r="A758" s="24" t="s">
        <v>194</v>
      </c>
      <c r="B758" s="24" t="s">
        <v>318</v>
      </c>
      <c r="C758" s="25">
        <v>45992</v>
      </c>
      <c r="D758" s="24" t="s">
        <v>2668</v>
      </c>
      <c r="E758" s="26">
        <v>0</v>
      </c>
      <c r="F758" s="26">
        <v>0</v>
      </c>
      <c r="G758" s="26">
        <v>0</v>
      </c>
      <c r="H758" s="26">
        <v>0</v>
      </c>
      <c r="I758" s="26">
        <v>0</v>
      </c>
      <c r="J758" s="26">
        <v>0</v>
      </c>
      <c r="K758" s="26">
        <v>0</v>
      </c>
      <c r="L758" s="27">
        <v>0</v>
      </c>
    </row>
    <row r="759" spans="1:12">
      <c r="A759" s="24" t="s">
        <v>87</v>
      </c>
      <c r="B759" s="24" t="s">
        <v>337</v>
      </c>
      <c r="C759" s="25">
        <v>45658</v>
      </c>
      <c r="D759" s="24" t="s">
        <v>2657</v>
      </c>
      <c r="E759" s="26">
        <v>0</v>
      </c>
      <c r="F759" s="26">
        <v>0</v>
      </c>
      <c r="G759" s="26">
        <v>0</v>
      </c>
      <c r="H759" s="26">
        <v>0</v>
      </c>
      <c r="I759" s="26">
        <v>0</v>
      </c>
      <c r="J759" s="26">
        <v>0</v>
      </c>
      <c r="K759" s="26">
        <v>0</v>
      </c>
      <c r="L759" s="27">
        <v>0</v>
      </c>
    </row>
    <row r="760" spans="1:12">
      <c r="A760" s="24" t="s">
        <v>87</v>
      </c>
      <c r="B760" s="24" t="s">
        <v>337</v>
      </c>
      <c r="C760" s="25">
        <v>45689</v>
      </c>
      <c r="D760" s="24" t="s">
        <v>2658</v>
      </c>
      <c r="E760" s="26">
        <v>0</v>
      </c>
      <c r="F760" s="26">
        <v>0</v>
      </c>
      <c r="G760" s="26">
        <v>0</v>
      </c>
      <c r="H760" s="26">
        <v>0</v>
      </c>
      <c r="I760" s="26">
        <v>0</v>
      </c>
      <c r="J760" s="26">
        <v>0</v>
      </c>
      <c r="K760" s="26">
        <v>0</v>
      </c>
      <c r="L760" s="27">
        <v>0</v>
      </c>
    </row>
    <row r="761" spans="1:12">
      <c r="A761" s="24" t="s">
        <v>87</v>
      </c>
      <c r="B761" s="24" t="s">
        <v>337</v>
      </c>
      <c r="C761" s="25">
        <v>45717</v>
      </c>
      <c r="D761" s="24" t="s">
        <v>2659</v>
      </c>
      <c r="E761" s="26">
        <v>0</v>
      </c>
      <c r="F761" s="26">
        <v>0</v>
      </c>
      <c r="G761" s="26">
        <v>0</v>
      </c>
      <c r="H761" s="26">
        <v>0</v>
      </c>
      <c r="I761" s="26">
        <v>0</v>
      </c>
      <c r="J761" s="26">
        <v>0</v>
      </c>
      <c r="K761" s="26">
        <v>0</v>
      </c>
      <c r="L761" s="27">
        <v>0</v>
      </c>
    </row>
    <row r="762" spans="1:12">
      <c r="A762" s="24" t="s">
        <v>87</v>
      </c>
      <c r="B762" s="24" t="s">
        <v>337</v>
      </c>
      <c r="C762" s="25">
        <v>45748</v>
      </c>
      <c r="D762" s="24" t="s">
        <v>2660</v>
      </c>
      <c r="E762" s="26">
        <v>0</v>
      </c>
      <c r="F762" s="26">
        <v>0</v>
      </c>
      <c r="G762" s="26">
        <v>0</v>
      </c>
      <c r="H762" s="26">
        <v>0</v>
      </c>
      <c r="I762" s="26">
        <v>0</v>
      </c>
      <c r="J762" s="26">
        <v>0</v>
      </c>
      <c r="K762" s="26">
        <v>0</v>
      </c>
      <c r="L762" s="27">
        <v>0</v>
      </c>
    </row>
    <row r="763" spans="1:12">
      <c r="A763" s="24" t="s">
        <v>87</v>
      </c>
      <c r="B763" s="24" t="s">
        <v>337</v>
      </c>
      <c r="C763" s="25">
        <v>45778</v>
      </c>
      <c r="D763" s="24" t="s">
        <v>2661</v>
      </c>
      <c r="E763" s="26">
        <v>0</v>
      </c>
      <c r="F763" s="26">
        <v>0</v>
      </c>
      <c r="G763" s="26">
        <v>0</v>
      </c>
      <c r="H763" s="26">
        <v>0</v>
      </c>
      <c r="I763" s="26">
        <v>0</v>
      </c>
      <c r="J763" s="26">
        <v>0</v>
      </c>
      <c r="K763" s="26">
        <v>0</v>
      </c>
      <c r="L763" s="27">
        <v>0</v>
      </c>
    </row>
    <row r="764" spans="1:12">
      <c r="A764" s="24" t="s">
        <v>87</v>
      </c>
      <c r="B764" s="24" t="s">
        <v>337</v>
      </c>
      <c r="C764" s="25">
        <v>45809</v>
      </c>
      <c r="D764" s="24" t="s">
        <v>2662</v>
      </c>
      <c r="E764" s="26">
        <v>0</v>
      </c>
      <c r="F764" s="26">
        <v>0</v>
      </c>
      <c r="G764" s="26">
        <v>0</v>
      </c>
      <c r="H764" s="26">
        <v>0</v>
      </c>
      <c r="I764" s="26">
        <v>0</v>
      </c>
      <c r="J764" s="26">
        <v>0</v>
      </c>
      <c r="K764" s="26">
        <v>0</v>
      </c>
      <c r="L764" s="27">
        <v>0</v>
      </c>
    </row>
    <row r="765" spans="1:12">
      <c r="A765" s="24" t="s">
        <v>87</v>
      </c>
      <c r="B765" s="24" t="s">
        <v>337</v>
      </c>
      <c r="C765" s="25">
        <v>45839</v>
      </c>
      <c r="D765" s="24" t="s">
        <v>2663</v>
      </c>
      <c r="E765" s="26">
        <v>0</v>
      </c>
      <c r="F765" s="26">
        <v>0</v>
      </c>
      <c r="G765" s="26">
        <v>0</v>
      </c>
      <c r="H765" s="26">
        <v>0</v>
      </c>
      <c r="I765" s="26">
        <v>0</v>
      </c>
      <c r="J765" s="26">
        <v>0</v>
      </c>
      <c r="K765" s="26">
        <v>0</v>
      </c>
      <c r="L765" s="27">
        <v>0</v>
      </c>
    </row>
    <row r="766" spans="1:12">
      <c r="A766" s="24" t="s">
        <v>87</v>
      </c>
      <c r="B766" s="24" t="s">
        <v>337</v>
      </c>
      <c r="C766" s="25">
        <v>45870</v>
      </c>
      <c r="D766" s="24" t="s">
        <v>2664</v>
      </c>
      <c r="E766" s="26">
        <v>0</v>
      </c>
      <c r="F766" s="26">
        <v>0</v>
      </c>
      <c r="G766" s="26">
        <v>0</v>
      </c>
      <c r="H766" s="26">
        <v>0</v>
      </c>
      <c r="I766" s="26">
        <v>0</v>
      </c>
      <c r="J766" s="26">
        <v>0</v>
      </c>
      <c r="K766" s="26">
        <v>0</v>
      </c>
      <c r="L766" s="27">
        <v>0</v>
      </c>
    </row>
    <row r="767" spans="1:12">
      <c r="A767" s="24" t="s">
        <v>87</v>
      </c>
      <c r="B767" s="24" t="s">
        <v>337</v>
      </c>
      <c r="C767" s="25">
        <v>45901</v>
      </c>
      <c r="D767" s="24" t="s">
        <v>2665</v>
      </c>
      <c r="E767" s="26">
        <v>0</v>
      </c>
      <c r="F767" s="26">
        <v>0</v>
      </c>
      <c r="G767" s="26">
        <v>0</v>
      </c>
      <c r="H767" s="26">
        <v>0</v>
      </c>
      <c r="I767" s="26">
        <v>0</v>
      </c>
      <c r="J767" s="26">
        <v>0</v>
      </c>
      <c r="K767" s="26">
        <v>0</v>
      </c>
      <c r="L767" s="27">
        <v>0</v>
      </c>
    </row>
    <row r="768" spans="1:12">
      <c r="A768" s="24" t="s">
        <v>87</v>
      </c>
      <c r="B768" s="24" t="s">
        <v>337</v>
      </c>
      <c r="C768" s="25">
        <v>45931</v>
      </c>
      <c r="D768" s="24" t="s">
        <v>2666</v>
      </c>
      <c r="E768" s="26">
        <v>0</v>
      </c>
      <c r="F768" s="26">
        <v>0</v>
      </c>
      <c r="G768" s="26">
        <v>0</v>
      </c>
      <c r="H768" s="26">
        <v>81779.12</v>
      </c>
      <c r="I768" s="26">
        <v>-81779.12</v>
      </c>
      <c r="J768" s="26">
        <v>0</v>
      </c>
      <c r="K768" s="26">
        <v>-81779.12</v>
      </c>
      <c r="L768" s="27">
        <v>0</v>
      </c>
    </row>
    <row r="769" spans="1:12">
      <c r="A769" s="24" t="s">
        <v>87</v>
      </c>
      <c r="B769" s="24" t="s">
        <v>337</v>
      </c>
      <c r="C769" s="25">
        <v>45962</v>
      </c>
      <c r="D769" s="24" t="s">
        <v>2667</v>
      </c>
      <c r="E769" s="26">
        <v>0</v>
      </c>
      <c r="F769" s="26">
        <v>0</v>
      </c>
      <c r="G769" s="26">
        <v>0</v>
      </c>
      <c r="H769" s="26">
        <v>100156.51</v>
      </c>
      <c r="I769" s="26">
        <v>-100156.51</v>
      </c>
      <c r="J769" s="26">
        <v>0</v>
      </c>
      <c r="K769" s="26">
        <v>-100156.51</v>
      </c>
      <c r="L769" s="27">
        <v>0</v>
      </c>
    </row>
    <row r="770" spans="1:12">
      <c r="A770" s="24" t="s">
        <v>87</v>
      </c>
      <c r="B770" s="24" t="s">
        <v>337</v>
      </c>
      <c r="C770" s="25">
        <v>45992</v>
      </c>
      <c r="D770" s="24" t="s">
        <v>2668</v>
      </c>
      <c r="E770" s="26">
        <v>0</v>
      </c>
      <c r="F770" s="26">
        <v>0</v>
      </c>
      <c r="G770" s="26">
        <v>0</v>
      </c>
      <c r="H770" s="26">
        <v>0</v>
      </c>
      <c r="I770" s="26">
        <v>0</v>
      </c>
      <c r="J770" s="26">
        <v>0</v>
      </c>
      <c r="K770" s="26">
        <v>0</v>
      </c>
      <c r="L770" s="27">
        <v>0</v>
      </c>
    </row>
    <row r="771" spans="1:12">
      <c r="A771" s="24" t="s">
        <v>25</v>
      </c>
      <c r="B771" s="24" t="s">
        <v>345</v>
      </c>
      <c r="C771" s="25">
        <v>45658</v>
      </c>
      <c r="D771" s="24" t="s">
        <v>2657</v>
      </c>
      <c r="E771" s="26">
        <v>0</v>
      </c>
      <c r="F771" s="26">
        <v>0</v>
      </c>
      <c r="G771" s="26">
        <v>0</v>
      </c>
      <c r="H771" s="26">
        <v>0</v>
      </c>
      <c r="I771" s="26">
        <v>0</v>
      </c>
      <c r="J771" s="26">
        <v>0</v>
      </c>
      <c r="K771" s="26">
        <v>0</v>
      </c>
      <c r="L771" s="27">
        <v>0</v>
      </c>
    </row>
    <row r="772" spans="1:12">
      <c r="A772" s="24" t="s">
        <v>25</v>
      </c>
      <c r="B772" s="24" t="s">
        <v>345</v>
      </c>
      <c r="C772" s="25">
        <v>45689</v>
      </c>
      <c r="D772" s="24" t="s">
        <v>2658</v>
      </c>
      <c r="E772" s="26">
        <v>0</v>
      </c>
      <c r="F772" s="26">
        <v>0</v>
      </c>
      <c r="G772" s="26">
        <v>0</v>
      </c>
      <c r="H772" s="26">
        <v>0</v>
      </c>
      <c r="I772" s="26">
        <v>0</v>
      </c>
      <c r="J772" s="26">
        <v>0</v>
      </c>
      <c r="K772" s="26">
        <v>0</v>
      </c>
      <c r="L772" s="27">
        <v>0</v>
      </c>
    </row>
    <row r="773" spans="1:12">
      <c r="A773" s="24" t="s">
        <v>25</v>
      </c>
      <c r="B773" s="24" t="s">
        <v>345</v>
      </c>
      <c r="C773" s="25">
        <v>45717</v>
      </c>
      <c r="D773" s="24" t="s">
        <v>2659</v>
      </c>
      <c r="E773" s="26">
        <v>0</v>
      </c>
      <c r="F773" s="26">
        <v>0</v>
      </c>
      <c r="G773" s="26">
        <v>0</v>
      </c>
      <c r="H773" s="26">
        <v>0</v>
      </c>
      <c r="I773" s="26">
        <v>0</v>
      </c>
      <c r="J773" s="26">
        <v>0</v>
      </c>
      <c r="K773" s="26">
        <v>0</v>
      </c>
      <c r="L773" s="27">
        <v>0</v>
      </c>
    </row>
    <row r="774" spans="1:12">
      <c r="A774" s="24" t="s">
        <v>25</v>
      </c>
      <c r="B774" s="24" t="s">
        <v>345</v>
      </c>
      <c r="C774" s="25">
        <v>45748</v>
      </c>
      <c r="D774" s="24" t="s">
        <v>2660</v>
      </c>
      <c r="E774" s="26">
        <v>0</v>
      </c>
      <c r="F774" s="26">
        <v>0</v>
      </c>
      <c r="G774" s="26">
        <v>0</v>
      </c>
      <c r="H774" s="26">
        <v>0</v>
      </c>
      <c r="I774" s="26">
        <v>0</v>
      </c>
      <c r="J774" s="26">
        <v>0</v>
      </c>
      <c r="K774" s="26">
        <v>0</v>
      </c>
      <c r="L774" s="27">
        <v>0</v>
      </c>
    </row>
    <row r="775" spans="1:12">
      <c r="A775" s="24" t="s">
        <v>25</v>
      </c>
      <c r="B775" s="24" t="s">
        <v>345</v>
      </c>
      <c r="C775" s="25">
        <v>45778</v>
      </c>
      <c r="D775" s="24" t="s">
        <v>2661</v>
      </c>
      <c r="E775" s="26">
        <v>0</v>
      </c>
      <c r="F775" s="26">
        <v>0</v>
      </c>
      <c r="G775" s="26">
        <v>0</v>
      </c>
      <c r="H775" s="26">
        <v>0</v>
      </c>
      <c r="I775" s="26">
        <v>0</v>
      </c>
      <c r="J775" s="26">
        <v>0</v>
      </c>
      <c r="K775" s="26">
        <v>0</v>
      </c>
      <c r="L775" s="27">
        <v>0</v>
      </c>
    </row>
    <row r="776" spans="1:12">
      <c r="A776" s="24" t="s">
        <v>25</v>
      </c>
      <c r="B776" s="24" t="s">
        <v>345</v>
      </c>
      <c r="C776" s="25">
        <v>45809</v>
      </c>
      <c r="D776" s="24" t="s">
        <v>2662</v>
      </c>
      <c r="E776" s="26">
        <v>0</v>
      </c>
      <c r="F776" s="26">
        <v>0</v>
      </c>
      <c r="G776" s="26">
        <v>0</v>
      </c>
      <c r="H776" s="26">
        <v>0</v>
      </c>
      <c r="I776" s="26">
        <v>0</v>
      </c>
      <c r="J776" s="26">
        <v>0</v>
      </c>
      <c r="K776" s="26">
        <v>0</v>
      </c>
      <c r="L776" s="27">
        <v>0</v>
      </c>
    </row>
    <row r="777" spans="1:12">
      <c r="A777" s="24" t="s">
        <v>25</v>
      </c>
      <c r="B777" s="24" t="s">
        <v>345</v>
      </c>
      <c r="C777" s="25">
        <v>45839</v>
      </c>
      <c r="D777" s="24" t="s">
        <v>2663</v>
      </c>
      <c r="E777" s="26">
        <v>0</v>
      </c>
      <c r="F777" s="26">
        <v>0</v>
      </c>
      <c r="G777" s="26">
        <v>0</v>
      </c>
      <c r="H777" s="26">
        <v>0</v>
      </c>
      <c r="I777" s="26">
        <v>0</v>
      </c>
      <c r="J777" s="26">
        <v>0</v>
      </c>
      <c r="K777" s="26">
        <v>0</v>
      </c>
      <c r="L777" s="27">
        <v>0</v>
      </c>
    </row>
    <row r="778" spans="1:12">
      <c r="A778" s="24" t="s">
        <v>25</v>
      </c>
      <c r="B778" s="24" t="s">
        <v>345</v>
      </c>
      <c r="C778" s="25">
        <v>45870</v>
      </c>
      <c r="D778" s="24" t="s">
        <v>2664</v>
      </c>
      <c r="E778" s="26">
        <v>0</v>
      </c>
      <c r="F778" s="26">
        <v>0</v>
      </c>
      <c r="G778" s="26">
        <v>0</v>
      </c>
      <c r="H778" s="26">
        <v>0</v>
      </c>
      <c r="I778" s="26">
        <v>0</v>
      </c>
      <c r="J778" s="26">
        <v>0</v>
      </c>
      <c r="K778" s="26">
        <v>0</v>
      </c>
      <c r="L778" s="27">
        <v>0</v>
      </c>
    </row>
    <row r="779" spans="1:12">
      <c r="A779" s="24" t="s">
        <v>25</v>
      </c>
      <c r="B779" s="24" t="s">
        <v>345</v>
      </c>
      <c r="C779" s="25">
        <v>45901</v>
      </c>
      <c r="D779" s="24" t="s">
        <v>2665</v>
      </c>
      <c r="E779" s="26">
        <v>0</v>
      </c>
      <c r="F779" s="26">
        <v>0</v>
      </c>
      <c r="G779" s="26">
        <v>0</v>
      </c>
      <c r="H779" s="26">
        <v>96638.75</v>
      </c>
      <c r="I779" s="26">
        <v>-96638.75</v>
      </c>
      <c r="J779" s="26">
        <v>0</v>
      </c>
      <c r="K779" s="26">
        <v>-96638.75</v>
      </c>
      <c r="L779" s="27">
        <v>0</v>
      </c>
    </row>
    <row r="780" spans="1:12">
      <c r="A780" s="24" t="s">
        <v>25</v>
      </c>
      <c r="B780" s="24" t="s">
        <v>345</v>
      </c>
      <c r="C780" s="25">
        <v>45931</v>
      </c>
      <c r="D780" s="24" t="s">
        <v>2666</v>
      </c>
      <c r="E780" s="26">
        <v>0</v>
      </c>
      <c r="F780" s="26">
        <v>54993.86</v>
      </c>
      <c r="G780" s="26">
        <v>-54993.86</v>
      </c>
      <c r="H780" s="26">
        <v>0</v>
      </c>
      <c r="I780" s="26">
        <v>-54993.86</v>
      </c>
      <c r="J780" s="26">
        <v>0</v>
      </c>
      <c r="K780" s="26">
        <v>-54993.86</v>
      </c>
      <c r="L780" s="27">
        <v>1</v>
      </c>
    </row>
    <row r="781" spans="1:12">
      <c r="A781" s="24" t="s">
        <v>25</v>
      </c>
      <c r="B781" s="24" t="s">
        <v>345</v>
      </c>
      <c r="C781" s="25">
        <v>45962</v>
      </c>
      <c r="D781" s="24" t="s">
        <v>2667</v>
      </c>
      <c r="E781" s="26">
        <v>74887.460000000006</v>
      </c>
      <c r="F781" s="26">
        <v>45498.7</v>
      </c>
      <c r="G781" s="26">
        <v>29388.760000000009</v>
      </c>
      <c r="H781" s="26">
        <v>0</v>
      </c>
      <c r="I781" s="26">
        <v>29388.760000000009</v>
      </c>
      <c r="J781" s="26">
        <v>0</v>
      </c>
      <c r="K781" s="26">
        <v>29388.760000000009</v>
      </c>
      <c r="L781" s="27">
        <v>1</v>
      </c>
    </row>
    <row r="782" spans="1:12">
      <c r="A782" s="24" t="s">
        <v>25</v>
      </c>
      <c r="B782" s="24" t="s">
        <v>345</v>
      </c>
      <c r="C782" s="25">
        <v>45992</v>
      </c>
      <c r="D782" s="24" t="s">
        <v>2668</v>
      </c>
      <c r="E782" s="26">
        <v>85508.2</v>
      </c>
      <c r="F782" s="26">
        <v>0</v>
      </c>
      <c r="G782" s="26">
        <v>85508.2</v>
      </c>
      <c r="H782" s="26">
        <v>0</v>
      </c>
      <c r="I782" s="26">
        <v>85508.2</v>
      </c>
      <c r="J782" s="26">
        <v>0</v>
      </c>
      <c r="K782" s="26">
        <v>85508.2</v>
      </c>
      <c r="L782" s="27">
        <v>1</v>
      </c>
    </row>
    <row r="783" spans="1:12">
      <c r="A783" s="24" t="s">
        <v>193</v>
      </c>
      <c r="B783" s="24" t="s">
        <v>345</v>
      </c>
      <c r="C783" s="25">
        <v>45658</v>
      </c>
      <c r="D783" s="24" t="s">
        <v>2657</v>
      </c>
      <c r="E783" s="26">
        <v>0</v>
      </c>
      <c r="F783" s="26">
        <v>0</v>
      </c>
      <c r="G783" s="26">
        <v>0</v>
      </c>
      <c r="H783" s="26">
        <v>0</v>
      </c>
      <c r="I783" s="26">
        <v>0</v>
      </c>
      <c r="J783" s="26">
        <v>0</v>
      </c>
      <c r="K783" s="26">
        <v>0</v>
      </c>
      <c r="L783" s="27">
        <v>0</v>
      </c>
    </row>
    <row r="784" spans="1:12">
      <c r="A784" s="24" t="s">
        <v>193</v>
      </c>
      <c r="B784" s="24" t="s">
        <v>345</v>
      </c>
      <c r="C784" s="25">
        <v>45689</v>
      </c>
      <c r="D784" s="24" t="s">
        <v>2658</v>
      </c>
      <c r="E784" s="26">
        <v>0</v>
      </c>
      <c r="F784" s="26">
        <v>0</v>
      </c>
      <c r="G784" s="26">
        <v>0</v>
      </c>
      <c r="H784" s="26">
        <v>0</v>
      </c>
      <c r="I784" s="26">
        <v>0</v>
      </c>
      <c r="J784" s="26">
        <v>0</v>
      </c>
      <c r="K784" s="26">
        <v>0</v>
      </c>
      <c r="L784" s="27">
        <v>0</v>
      </c>
    </row>
    <row r="785" spans="1:12">
      <c r="A785" s="24" t="s">
        <v>193</v>
      </c>
      <c r="B785" s="24" t="s">
        <v>345</v>
      </c>
      <c r="C785" s="25">
        <v>45717</v>
      </c>
      <c r="D785" s="24" t="s">
        <v>2659</v>
      </c>
      <c r="E785" s="26">
        <v>0</v>
      </c>
      <c r="F785" s="26">
        <v>0</v>
      </c>
      <c r="G785" s="26">
        <v>0</v>
      </c>
      <c r="H785" s="26">
        <v>0</v>
      </c>
      <c r="I785" s="26">
        <v>0</v>
      </c>
      <c r="J785" s="26">
        <v>0</v>
      </c>
      <c r="K785" s="26">
        <v>0</v>
      </c>
      <c r="L785" s="27">
        <v>0</v>
      </c>
    </row>
    <row r="786" spans="1:12">
      <c r="A786" s="24" t="s">
        <v>193</v>
      </c>
      <c r="B786" s="24" t="s">
        <v>345</v>
      </c>
      <c r="C786" s="25">
        <v>45748</v>
      </c>
      <c r="D786" s="24" t="s">
        <v>2660</v>
      </c>
      <c r="E786" s="26">
        <v>0</v>
      </c>
      <c r="F786" s="26">
        <v>0</v>
      </c>
      <c r="G786" s="26">
        <v>0</v>
      </c>
      <c r="H786" s="26">
        <v>0</v>
      </c>
      <c r="I786" s="26">
        <v>0</v>
      </c>
      <c r="J786" s="26">
        <v>0</v>
      </c>
      <c r="K786" s="26">
        <v>0</v>
      </c>
      <c r="L786" s="27">
        <v>0</v>
      </c>
    </row>
    <row r="787" spans="1:12">
      <c r="A787" s="24" t="s">
        <v>193</v>
      </c>
      <c r="B787" s="24" t="s">
        <v>345</v>
      </c>
      <c r="C787" s="25">
        <v>45778</v>
      </c>
      <c r="D787" s="24" t="s">
        <v>2661</v>
      </c>
      <c r="E787" s="26">
        <v>0</v>
      </c>
      <c r="F787" s="26">
        <v>0</v>
      </c>
      <c r="G787" s="26">
        <v>0</v>
      </c>
      <c r="H787" s="26">
        <v>0</v>
      </c>
      <c r="I787" s="26">
        <v>0</v>
      </c>
      <c r="J787" s="26">
        <v>0</v>
      </c>
      <c r="K787" s="26">
        <v>0</v>
      </c>
      <c r="L787" s="27">
        <v>0</v>
      </c>
    </row>
    <row r="788" spans="1:12">
      <c r="A788" s="24" t="s">
        <v>193</v>
      </c>
      <c r="B788" s="24" t="s">
        <v>345</v>
      </c>
      <c r="C788" s="25">
        <v>45809</v>
      </c>
      <c r="D788" s="24" t="s">
        <v>2662</v>
      </c>
      <c r="E788" s="26">
        <v>0</v>
      </c>
      <c r="F788" s="26">
        <v>0</v>
      </c>
      <c r="G788" s="26">
        <v>0</v>
      </c>
      <c r="H788" s="26">
        <v>0</v>
      </c>
      <c r="I788" s="26">
        <v>0</v>
      </c>
      <c r="J788" s="26">
        <v>0</v>
      </c>
      <c r="K788" s="26">
        <v>0</v>
      </c>
      <c r="L788" s="27">
        <v>0</v>
      </c>
    </row>
    <row r="789" spans="1:12">
      <c r="A789" s="24" t="s">
        <v>193</v>
      </c>
      <c r="B789" s="24" t="s">
        <v>345</v>
      </c>
      <c r="C789" s="25">
        <v>45839</v>
      </c>
      <c r="D789" s="24" t="s">
        <v>2663</v>
      </c>
      <c r="E789" s="26">
        <v>0</v>
      </c>
      <c r="F789" s="26">
        <v>0</v>
      </c>
      <c r="G789" s="26">
        <v>0</v>
      </c>
      <c r="H789" s="26">
        <v>0</v>
      </c>
      <c r="I789" s="26">
        <v>0</v>
      </c>
      <c r="J789" s="26">
        <v>0</v>
      </c>
      <c r="K789" s="26">
        <v>0</v>
      </c>
      <c r="L789" s="27">
        <v>0</v>
      </c>
    </row>
    <row r="790" spans="1:12">
      <c r="A790" s="24" t="s">
        <v>193</v>
      </c>
      <c r="B790" s="24" t="s">
        <v>345</v>
      </c>
      <c r="C790" s="25">
        <v>45870</v>
      </c>
      <c r="D790" s="24" t="s">
        <v>2664</v>
      </c>
      <c r="E790" s="26">
        <v>34882.46</v>
      </c>
      <c r="F790" s="26">
        <v>0</v>
      </c>
      <c r="G790" s="26">
        <v>34882.46</v>
      </c>
      <c r="H790" s="26">
        <v>41194.959999999999</v>
      </c>
      <c r="I790" s="26">
        <v>-6312.5</v>
      </c>
      <c r="J790" s="26">
        <v>0</v>
      </c>
      <c r="K790" s="26">
        <v>-6312.5</v>
      </c>
      <c r="L790" s="27">
        <v>-0.18096487461033431</v>
      </c>
    </row>
    <row r="791" spans="1:12">
      <c r="A791" s="24" t="s">
        <v>193</v>
      </c>
      <c r="B791" s="24" t="s">
        <v>345</v>
      </c>
      <c r="C791" s="25">
        <v>45901</v>
      </c>
      <c r="D791" s="24" t="s">
        <v>2665</v>
      </c>
      <c r="E791" s="26">
        <v>0</v>
      </c>
      <c r="F791" s="26">
        <v>0</v>
      </c>
      <c r="G791" s="26">
        <v>0</v>
      </c>
      <c r="H791" s="26">
        <v>0</v>
      </c>
      <c r="I791" s="26">
        <v>0</v>
      </c>
      <c r="J791" s="26">
        <v>0</v>
      </c>
      <c r="K791" s="26">
        <v>0</v>
      </c>
      <c r="L791" s="27">
        <v>0</v>
      </c>
    </row>
    <row r="792" spans="1:12">
      <c r="A792" s="24" t="s">
        <v>193</v>
      </c>
      <c r="B792" s="24" t="s">
        <v>345</v>
      </c>
      <c r="C792" s="25">
        <v>45931</v>
      </c>
      <c r="D792" s="24" t="s">
        <v>2666</v>
      </c>
      <c r="E792" s="26">
        <v>27530.43</v>
      </c>
      <c r="F792" s="26">
        <v>0</v>
      </c>
      <c r="G792" s="26">
        <v>27530.43</v>
      </c>
      <c r="H792" s="26">
        <v>0</v>
      </c>
      <c r="I792" s="26">
        <v>27530.43</v>
      </c>
      <c r="J792" s="26">
        <v>0</v>
      </c>
      <c r="K792" s="26">
        <v>27530.43</v>
      </c>
      <c r="L792" s="27">
        <v>1</v>
      </c>
    </row>
    <row r="793" spans="1:12">
      <c r="A793" s="24" t="s">
        <v>193</v>
      </c>
      <c r="B793" s="24" t="s">
        <v>345</v>
      </c>
      <c r="C793" s="25">
        <v>45962</v>
      </c>
      <c r="D793" s="24" t="s">
        <v>2667</v>
      </c>
      <c r="E793" s="26">
        <v>29336.29</v>
      </c>
      <c r="F793" s="26">
        <v>0</v>
      </c>
      <c r="G793" s="26">
        <v>29336.29</v>
      </c>
      <c r="H793" s="26">
        <v>0</v>
      </c>
      <c r="I793" s="26">
        <v>29336.29</v>
      </c>
      <c r="J793" s="26">
        <v>0</v>
      </c>
      <c r="K793" s="26">
        <v>29336.29</v>
      </c>
      <c r="L793" s="27">
        <v>1</v>
      </c>
    </row>
    <row r="794" spans="1:12">
      <c r="A794" s="24" t="s">
        <v>193</v>
      </c>
      <c r="B794" s="24" t="s">
        <v>345</v>
      </c>
      <c r="C794" s="25">
        <v>45992</v>
      </c>
      <c r="D794" s="24" t="s">
        <v>2668</v>
      </c>
      <c r="E794" s="26">
        <v>36879.370000000003</v>
      </c>
      <c r="F794" s="26">
        <v>0</v>
      </c>
      <c r="G794" s="26">
        <v>36879.370000000003</v>
      </c>
      <c r="H794" s="26">
        <v>114220.85</v>
      </c>
      <c r="I794" s="26">
        <v>-77341.48000000001</v>
      </c>
      <c r="J794" s="26">
        <v>0</v>
      </c>
      <c r="K794" s="26">
        <v>-77341.48000000001</v>
      </c>
      <c r="L794" s="27">
        <v>-2.0971475380409159</v>
      </c>
    </row>
    <row r="795" spans="1:12">
      <c r="A795" s="24" t="s">
        <v>248</v>
      </c>
      <c r="B795" s="24" t="s">
        <v>337</v>
      </c>
      <c r="C795" s="25">
        <v>45658</v>
      </c>
      <c r="D795" s="24" t="s">
        <v>2657</v>
      </c>
      <c r="E795" s="26">
        <v>0</v>
      </c>
      <c r="F795" s="26">
        <v>0</v>
      </c>
      <c r="G795" s="26">
        <v>0</v>
      </c>
      <c r="H795" s="26">
        <v>0</v>
      </c>
      <c r="I795" s="26">
        <v>0</v>
      </c>
      <c r="J795" s="26">
        <v>0</v>
      </c>
      <c r="K795" s="26">
        <v>0</v>
      </c>
      <c r="L795" s="27">
        <v>0</v>
      </c>
    </row>
    <row r="796" spans="1:12">
      <c r="A796" s="24" t="s">
        <v>248</v>
      </c>
      <c r="B796" s="24" t="s">
        <v>337</v>
      </c>
      <c r="C796" s="25">
        <v>45689</v>
      </c>
      <c r="D796" s="24" t="s">
        <v>2658</v>
      </c>
      <c r="E796" s="26">
        <v>0</v>
      </c>
      <c r="F796" s="26">
        <v>0</v>
      </c>
      <c r="G796" s="26">
        <v>0</v>
      </c>
      <c r="H796" s="26">
        <v>0</v>
      </c>
      <c r="I796" s="26">
        <v>0</v>
      </c>
      <c r="J796" s="26">
        <v>0</v>
      </c>
      <c r="K796" s="26">
        <v>0</v>
      </c>
      <c r="L796" s="27">
        <v>0</v>
      </c>
    </row>
    <row r="797" spans="1:12">
      <c r="A797" s="24" t="s">
        <v>248</v>
      </c>
      <c r="B797" s="24" t="s">
        <v>337</v>
      </c>
      <c r="C797" s="25">
        <v>45717</v>
      </c>
      <c r="D797" s="24" t="s">
        <v>2659</v>
      </c>
      <c r="E797" s="26">
        <v>0</v>
      </c>
      <c r="F797" s="26">
        <v>0</v>
      </c>
      <c r="G797" s="26">
        <v>0</v>
      </c>
      <c r="H797" s="26">
        <v>0</v>
      </c>
      <c r="I797" s="26">
        <v>0</v>
      </c>
      <c r="J797" s="26">
        <v>0</v>
      </c>
      <c r="K797" s="26">
        <v>0</v>
      </c>
      <c r="L797" s="27">
        <v>0</v>
      </c>
    </row>
    <row r="798" spans="1:12">
      <c r="A798" s="24" t="s">
        <v>248</v>
      </c>
      <c r="B798" s="24" t="s">
        <v>337</v>
      </c>
      <c r="C798" s="25">
        <v>45748</v>
      </c>
      <c r="D798" s="24" t="s">
        <v>2660</v>
      </c>
      <c r="E798" s="26">
        <v>0</v>
      </c>
      <c r="F798" s="26">
        <v>0</v>
      </c>
      <c r="G798" s="26">
        <v>0</v>
      </c>
      <c r="H798" s="26">
        <v>0</v>
      </c>
      <c r="I798" s="26">
        <v>0</v>
      </c>
      <c r="J798" s="26">
        <v>0</v>
      </c>
      <c r="K798" s="26">
        <v>0</v>
      </c>
      <c r="L798" s="27">
        <v>0</v>
      </c>
    </row>
    <row r="799" spans="1:12">
      <c r="A799" s="24" t="s">
        <v>248</v>
      </c>
      <c r="B799" s="24" t="s">
        <v>337</v>
      </c>
      <c r="C799" s="25">
        <v>45778</v>
      </c>
      <c r="D799" s="24" t="s">
        <v>2661</v>
      </c>
      <c r="E799" s="26">
        <v>0</v>
      </c>
      <c r="F799" s="26">
        <v>0</v>
      </c>
      <c r="G799" s="26">
        <v>0</v>
      </c>
      <c r="H799" s="26">
        <v>0</v>
      </c>
      <c r="I799" s="26">
        <v>0</v>
      </c>
      <c r="J799" s="26">
        <v>0</v>
      </c>
      <c r="K799" s="26">
        <v>0</v>
      </c>
      <c r="L799" s="27">
        <v>0</v>
      </c>
    </row>
    <row r="800" spans="1:12">
      <c r="A800" s="24" t="s">
        <v>248</v>
      </c>
      <c r="B800" s="24" t="s">
        <v>337</v>
      </c>
      <c r="C800" s="25">
        <v>45809</v>
      </c>
      <c r="D800" s="24" t="s">
        <v>2662</v>
      </c>
      <c r="E800" s="26">
        <v>0</v>
      </c>
      <c r="F800" s="26">
        <v>0</v>
      </c>
      <c r="G800" s="26">
        <v>0</v>
      </c>
      <c r="H800" s="26">
        <v>0</v>
      </c>
      <c r="I800" s="26">
        <v>0</v>
      </c>
      <c r="J800" s="26">
        <v>0</v>
      </c>
      <c r="K800" s="26">
        <v>0</v>
      </c>
      <c r="L800" s="27">
        <v>0</v>
      </c>
    </row>
    <row r="801" spans="1:12">
      <c r="A801" s="24" t="s">
        <v>248</v>
      </c>
      <c r="B801" s="24" t="s">
        <v>337</v>
      </c>
      <c r="C801" s="25">
        <v>45839</v>
      </c>
      <c r="D801" s="24" t="s">
        <v>2663</v>
      </c>
      <c r="E801" s="26">
        <v>51157.95</v>
      </c>
      <c r="F801" s="26">
        <v>0</v>
      </c>
      <c r="G801" s="26">
        <v>51157.95</v>
      </c>
      <c r="H801" s="26">
        <v>169730.75</v>
      </c>
      <c r="I801" s="26">
        <v>-118572.8</v>
      </c>
      <c r="J801" s="26">
        <v>0</v>
      </c>
      <c r="K801" s="26">
        <v>-118572.8</v>
      </c>
      <c r="L801" s="27">
        <v>-2.317778566185706</v>
      </c>
    </row>
    <row r="802" spans="1:12">
      <c r="A802" s="24" t="s">
        <v>248</v>
      </c>
      <c r="B802" s="24" t="s">
        <v>337</v>
      </c>
      <c r="C802" s="25">
        <v>45870</v>
      </c>
      <c r="D802" s="24" t="s">
        <v>2664</v>
      </c>
      <c r="E802" s="26">
        <v>0</v>
      </c>
      <c r="F802" s="26">
        <v>0</v>
      </c>
      <c r="G802" s="26">
        <v>0</v>
      </c>
      <c r="H802" s="26">
        <v>0</v>
      </c>
      <c r="I802" s="26">
        <v>0</v>
      </c>
      <c r="J802" s="26">
        <v>0</v>
      </c>
      <c r="K802" s="26">
        <v>0</v>
      </c>
      <c r="L802" s="27">
        <v>0</v>
      </c>
    </row>
    <row r="803" spans="1:12">
      <c r="A803" s="24" t="s">
        <v>248</v>
      </c>
      <c r="B803" s="24" t="s">
        <v>337</v>
      </c>
      <c r="C803" s="25">
        <v>45901</v>
      </c>
      <c r="D803" s="24" t="s">
        <v>2665</v>
      </c>
      <c r="E803" s="26">
        <v>0</v>
      </c>
      <c r="F803" s="26">
        <v>0</v>
      </c>
      <c r="G803" s="26">
        <v>0</v>
      </c>
      <c r="H803" s="26">
        <v>11540.18</v>
      </c>
      <c r="I803" s="26">
        <v>-11540.18</v>
      </c>
      <c r="J803" s="26">
        <v>0</v>
      </c>
      <c r="K803" s="26">
        <v>-11540.18</v>
      </c>
      <c r="L803" s="27">
        <v>0</v>
      </c>
    </row>
    <row r="804" spans="1:12">
      <c r="A804" s="24" t="s">
        <v>248</v>
      </c>
      <c r="B804" s="24" t="s">
        <v>337</v>
      </c>
      <c r="C804" s="25">
        <v>45931</v>
      </c>
      <c r="D804" s="24" t="s">
        <v>2666</v>
      </c>
      <c r="E804" s="26">
        <v>29158.28</v>
      </c>
      <c r="F804" s="26">
        <v>0</v>
      </c>
      <c r="G804" s="26">
        <v>29158.28</v>
      </c>
      <c r="H804" s="26">
        <v>0</v>
      </c>
      <c r="I804" s="26">
        <v>29158.28</v>
      </c>
      <c r="J804" s="26">
        <v>0</v>
      </c>
      <c r="K804" s="26">
        <v>29158.28</v>
      </c>
      <c r="L804" s="27">
        <v>1</v>
      </c>
    </row>
    <row r="805" spans="1:12">
      <c r="A805" s="24" t="s">
        <v>248</v>
      </c>
      <c r="B805" s="24" t="s">
        <v>337</v>
      </c>
      <c r="C805" s="25">
        <v>45962</v>
      </c>
      <c r="D805" s="24" t="s">
        <v>2667</v>
      </c>
      <c r="E805" s="26">
        <v>0</v>
      </c>
      <c r="F805" s="26">
        <v>0</v>
      </c>
      <c r="G805" s="26">
        <v>0</v>
      </c>
      <c r="H805" s="26">
        <v>0</v>
      </c>
      <c r="I805" s="26">
        <v>0</v>
      </c>
      <c r="J805" s="26">
        <v>0</v>
      </c>
      <c r="K805" s="26">
        <v>0</v>
      </c>
      <c r="L805" s="27">
        <v>0</v>
      </c>
    </row>
    <row r="806" spans="1:12">
      <c r="A806" s="24" t="s">
        <v>248</v>
      </c>
      <c r="B806" s="24" t="s">
        <v>337</v>
      </c>
      <c r="C806" s="25">
        <v>45992</v>
      </c>
      <c r="D806" s="24" t="s">
        <v>2668</v>
      </c>
      <c r="E806" s="26">
        <v>45668.72</v>
      </c>
      <c r="F806" s="26">
        <v>0</v>
      </c>
      <c r="G806" s="26">
        <v>45668.72</v>
      </c>
      <c r="H806" s="26">
        <v>0</v>
      </c>
      <c r="I806" s="26">
        <v>45668.72</v>
      </c>
      <c r="J806" s="26">
        <v>0</v>
      </c>
      <c r="K806" s="26">
        <v>45668.72</v>
      </c>
      <c r="L806" s="27">
        <v>1</v>
      </c>
    </row>
    <row r="807" spans="1:12">
      <c r="A807" s="24" t="s">
        <v>84</v>
      </c>
      <c r="B807" s="24" t="s">
        <v>345</v>
      </c>
      <c r="C807" s="25">
        <v>45658</v>
      </c>
      <c r="D807" s="24" t="s">
        <v>2657</v>
      </c>
      <c r="E807" s="26">
        <v>0</v>
      </c>
      <c r="F807" s="26">
        <v>0</v>
      </c>
      <c r="G807" s="26">
        <v>0</v>
      </c>
      <c r="H807" s="26">
        <v>0</v>
      </c>
      <c r="I807" s="26">
        <v>0</v>
      </c>
      <c r="J807" s="26">
        <v>0</v>
      </c>
      <c r="K807" s="26">
        <v>0</v>
      </c>
      <c r="L807" s="27">
        <v>0</v>
      </c>
    </row>
    <row r="808" spans="1:12">
      <c r="A808" s="24" t="s">
        <v>84</v>
      </c>
      <c r="B808" s="24" t="s">
        <v>345</v>
      </c>
      <c r="C808" s="25">
        <v>45689</v>
      </c>
      <c r="D808" s="24" t="s">
        <v>2658</v>
      </c>
      <c r="E808" s="26">
        <v>0</v>
      </c>
      <c r="F808" s="26">
        <v>0</v>
      </c>
      <c r="G808" s="26">
        <v>0</v>
      </c>
      <c r="H808" s="26">
        <v>0</v>
      </c>
      <c r="I808" s="26">
        <v>0</v>
      </c>
      <c r="J808" s="26">
        <v>0</v>
      </c>
      <c r="K808" s="26">
        <v>0</v>
      </c>
      <c r="L808" s="27">
        <v>0</v>
      </c>
    </row>
    <row r="809" spans="1:12">
      <c r="A809" s="24" t="s">
        <v>84</v>
      </c>
      <c r="B809" s="24" t="s">
        <v>345</v>
      </c>
      <c r="C809" s="25">
        <v>45717</v>
      </c>
      <c r="D809" s="24" t="s">
        <v>2659</v>
      </c>
      <c r="E809" s="26">
        <v>0</v>
      </c>
      <c r="F809" s="26">
        <v>0</v>
      </c>
      <c r="G809" s="26">
        <v>0</v>
      </c>
      <c r="H809" s="26">
        <v>0</v>
      </c>
      <c r="I809" s="26">
        <v>0</v>
      </c>
      <c r="J809" s="26">
        <v>0</v>
      </c>
      <c r="K809" s="26">
        <v>0</v>
      </c>
      <c r="L809" s="27">
        <v>0</v>
      </c>
    </row>
    <row r="810" spans="1:12">
      <c r="A810" s="24" t="s">
        <v>84</v>
      </c>
      <c r="B810" s="24" t="s">
        <v>345</v>
      </c>
      <c r="C810" s="25">
        <v>45748</v>
      </c>
      <c r="D810" s="24" t="s">
        <v>2660</v>
      </c>
      <c r="E810" s="26">
        <v>0</v>
      </c>
      <c r="F810" s="26">
        <v>0</v>
      </c>
      <c r="G810" s="26">
        <v>0</v>
      </c>
      <c r="H810" s="26">
        <v>0</v>
      </c>
      <c r="I810" s="26">
        <v>0</v>
      </c>
      <c r="J810" s="26">
        <v>0</v>
      </c>
      <c r="K810" s="26">
        <v>0</v>
      </c>
      <c r="L810" s="27">
        <v>0</v>
      </c>
    </row>
    <row r="811" spans="1:12">
      <c r="A811" s="24" t="s">
        <v>84</v>
      </c>
      <c r="B811" s="24" t="s">
        <v>345</v>
      </c>
      <c r="C811" s="25">
        <v>45778</v>
      </c>
      <c r="D811" s="24" t="s">
        <v>2661</v>
      </c>
      <c r="E811" s="26">
        <v>0</v>
      </c>
      <c r="F811" s="26">
        <v>0</v>
      </c>
      <c r="G811" s="26">
        <v>0</v>
      </c>
      <c r="H811" s="26">
        <v>0</v>
      </c>
      <c r="I811" s="26">
        <v>0</v>
      </c>
      <c r="J811" s="26">
        <v>0</v>
      </c>
      <c r="K811" s="26">
        <v>0</v>
      </c>
      <c r="L811" s="27">
        <v>0</v>
      </c>
    </row>
    <row r="812" spans="1:12">
      <c r="A812" s="24" t="s">
        <v>84</v>
      </c>
      <c r="B812" s="24" t="s">
        <v>345</v>
      </c>
      <c r="C812" s="25">
        <v>45809</v>
      </c>
      <c r="D812" s="24" t="s">
        <v>2662</v>
      </c>
      <c r="E812" s="26">
        <v>0</v>
      </c>
      <c r="F812" s="26">
        <v>0</v>
      </c>
      <c r="G812" s="26">
        <v>0</v>
      </c>
      <c r="H812" s="26">
        <v>0</v>
      </c>
      <c r="I812" s="26">
        <v>0</v>
      </c>
      <c r="J812" s="26">
        <v>0</v>
      </c>
      <c r="K812" s="26">
        <v>0</v>
      </c>
      <c r="L812" s="27">
        <v>0</v>
      </c>
    </row>
    <row r="813" spans="1:12">
      <c r="A813" s="24" t="s">
        <v>84</v>
      </c>
      <c r="B813" s="24" t="s">
        <v>345</v>
      </c>
      <c r="C813" s="25">
        <v>45839</v>
      </c>
      <c r="D813" s="24" t="s">
        <v>2663</v>
      </c>
      <c r="E813" s="26">
        <v>29618.17</v>
      </c>
      <c r="F813" s="26">
        <v>0</v>
      </c>
      <c r="G813" s="26">
        <v>29618.17</v>
      </c>
      <c r="H813" s="26">
        <v>0</v>
      </c>
      <c r="I813" s="26">
        <v>29618.17</v>
      </c>
      <c r="J813" s="26">
        <v>0</v>
      </c>
      <c r="K813" s="26">
        <v>29618.17</v>
      </c>
      <c r="L813" s="27">
        <v>1</v>
      </c>
    </row>
    <row r="814" spans="1:12">
      <c r="A814" s="24" t="s">
        <v>84</v>
      </c>
      <c r="B814" s="24" t="s">
        <v>345</v>
      </c>
      <c r="C814" s="25">
        <v>45870</v>
      </c>
      <c r="D814" s="24" t="s">
        <v>2664</v>
      </c>
      <c r="E814" s="26">
        <v>30055.89</v>
      </c>
      <c r="F814" s="26">
        <v>0</v>
      </c>
      <c r="G814" s="26">
        <v>30055.89</v>
      </c>
      <c r="H814" s="26">
        <v>129492.38</v>
      </c>
      <c r="I814" s="26">
        <v>-99436.49</v>
      </c>
      <c r="J814" s="26">
        <v>0</v>
      </c>
      <c r="K814" s="26">
        <v>-99436.49</v>
      </c>
      <c r="L814" s="27">
        <v>-3.3083861432817332</v>
      </c>
    </row>
    <row r="815" spans="1:12">
      <c r="A815" s="24" t="s">
        <v>84</v>
      </c>
      <c r="B815" s="24" t="s">
        <v>345</v>
      </c>
      <c r="C815" s="25">
        <v>45901</v>
      </c>
      <c r="D815" s="24" t="s">
        <v>2665</v>
      </c>
      <c r="E815" s="26">
        <v>0</v>
      </c>
      <c r="F815" s="26">
        <v>0</v>
      </c>
      <c r="G815" s="26">
        <v>0</v>
      </c>
      <c r="H815" s="26">
        <v>92827.31</v>
      </c>
      <c r="I815" s="26">
        <v>-92827.31</v>
      </c>
      <c r="J815" s="26">
        <v>0</v>
      </c>
      <c r="K815" s="26">
        <v>-92827.31</v>
      </c>
      <c r="L815" s="27">
        <v>0</v>
      </c>
    </row>
    <row r="816" spans="1:12">
      <c r="A816" s="24" t="s">
        <v>84</v>
      </c>
      <c r="B816" s="24" t="s">
        <v>345</v>
      </c>
      <c r="C816" s="25">
        <v>45931</v>
      </c>
      <c r="D816" s="24" t="s">
        <v>2666</v>
      </c>
      <c r="E816" s="26">
        <v>40957.29</v>
      </c>
      <c r="F816" s="26">
        <v>0</v>
      </c>
      <c r="G816" s="26">
        <v>40957.29</v>
      </c>
      <c r="H816" s="26">
        <v>0</v>
      </c>
      <c r="I816" s="26">
        <v>40957.29</v>
      </c>
      <c r="J816" s="26">
        <v>0</v>
      </c>
      <c r="K816" s="26">
        <v>40957.29</v>
      </c>
      <c r="L816" s="27">
        <v>1</v>
      </c>
    </row>
    <row r="817" spans="1:12">
      <c r="A817" s="24" t="s">
        <v>84</v>
      </c>
      <c r="B817" s="24" t="s">
        <v>345</v>
      </c>
      <c r="C817" s="25">
        <v>45962</v>
      </c>
      <c r="D817" s="24" t="s">
        <v>2667</v>
      </c>
      <c r="E817" s="26">
        <v>48511.15</v>
      </c>
      <c r="F817" s="26">
        <v>0</v>
      </c>
      <c r="G817" s="26">
        <v>48511.15</v>
      </c>
      <c r="H817" s="26">
        <v>0</v>
      </c>
      <c r="I817" s="26">
        <v>48511.15</v>
      </c>
      <c r="J817" s="26">
        <v>0</v>
      </c>
      <c r="K817" s="26">
        <v>48511.15</v>
      </c>
      <c r="L817" s="27">
        <v>1</v>
      </c>
    </row>
    <row r="818" spans="1:12">
      <c r="A818" s="24" t="s">
        <v>84</v>
      </c>
      <c r="B818" s="24" t="s">
        <v>345</v>
      </c>
      <c r="C818" s="25">
        <v>45992</v>
      </c>
      <c r="D818" s="24" t="s">
        <v>2668</v>
      </c>
      <c r="E818" s="26">
        <v>34596.83</v>
      </c>
      <c r="F818" s="26">
        <v>144072.93</v>
      </c>
      <c r="G818" s="26">
        <v>-109476.1</v>
      </c>
      <c r="H818" s="26">
        <v>0</v>
      </c>
      <c r="I818" s="26">
        <v>-109476.1</v>
      </c>
      <c r="J818" s="26">
        <v>0</v>
      </c>
      <c r="K818" s="26">
        <v>-109476.1</v>
      </c>
      <c r="L818" s="27">
        <v>1</v>
      </c>
    </row>
    <row r="819" spans="1:12">
      <c r="A819" s="24" t="s">
        <v>59</v>
      </c>
      <c r="B819" s="24" t="s">
        <v>318</v>
      </c>
      <c r="C819" s="25">
        <v>45658</v>
      </c>
      <c r="D819" s="24" t="s">
        <v>2657</v>
      </c>
      <c r="E819" s="26">
        <v>0</v>
      </c>
      <c r="F819" s="26">
        <v>0</v>
      </c>
      <c r="G819" s="26">
        <v>0</v>
      </c>
      <c r="H819" s="26">
        <v>0</v>
      </c>
      <c r="I819" s="26">
        <v>0</v>
      </c>
      <c r="J819" s="26">
        <v>0</v>
      </c>
      <c r="K819" s="26">
        <v>0</v>
      </c>
      <c r="L819" s="27">
        <v>0</v>
      </c>
    </row>
    <row r="820" spans="1:12">
      <c r="A820" s="24" t="s">
        <v>59</v>
      </c>
      <c r="B820" s="24" t="s">
        <v>318</v>
      </c>
      <c r="C820" s="25">
        <v>45689</v>
      </c>
      <c r="D820" s="24" t="s">
        <v>2658</v>
      </c>
      <c r="E820" s="26">
        <v>0</v>
      </c>
      <c r="F820" s="26">
        <v>0</v>
      </c>
      <c r="G820" s="26">
        <v>0</v>
      </c>
      <c r="H820" s="26">
        <v>0</v>
      </c>
      <c r="I820" s="26">
        <v>0</v>
      </c>
      <c r="J820" s="26">
        <v>0</v>
      </c>
      <c r="K820" s="26">
        <v>0</v>
      </c>
      <c r="L820" s="27">
        <v>0</v>
      </c>
    </row>
    <row r="821" spans="1:12">
      <c r="A821" s="24" t="s">
        <v>59</v>
      </c>
      <c r="B821" s="24" t="s">
        <v>318</v>
      </c>
      <c r="C821" s="25">
        <v>45717</v>
      </c>
      <c r="D821" s="24" t="s">
        <v>2659</v>
      </c>
      <c r="E821" s="26">
        <v>0</v>
      </c>
      <c r="F821" s="26">
        <v>0</v>
      </c>
      <c r="G821" s="26">
        <v>0</v>
      </c>
      <c r="H821" s="26">
        <v>0</v>
      </c>
      <c r="I821" s="26">
        <v>0</v>
      </c>
      <c r="J821" s="26">
        <v>0</v>
      </c>
      <c r="K821" s="26">
        <v>0</v>
      </c>
      <c r="L821" s="27">
        <v>0</v>
      </c>
    </row>
    <row r="822" spans="1:12">
      <c r="A822" s="24" t="s">
        <v>59</v>
      </c>
      <c r="B822" s="24" t="s">
        <v>318</v>
      </c>
      <c r="C822" s="25">
        <v>45748</v>
      </c>
      <c r="D822" s="24" t="s">
        <v>2660</v>
      </c>
      <c r="E822" s="26">
        <v>0</v>
      </c>
      <c r="F822" s="26">
        <v>0</v>
      </c>
      <c r="G822" s="26">
        <v>0</v>
      </c>
      <c r="H822" s="26">
        <v>0</v>
      </c>
      <c r="I822" s="26">
        <v>0</v>
      </c>
      <c r="J822" s="26">
        <v>0</v>
      </c>
      <c r="K822" s="26">
        <v>0</v>
      </c>
      <c r="L822" s="27">
        <v>0</v>
      </c>
    </row>
    <row r="823" spans="1:12">
      <c r="A823" s="24" t="s">
        <v>59</v>
      </c>
      <c r="B823" s="24" t="s">
        <v>318</v>
      </c>
      <c r="C823" s="25">
        <v>45778</v>
      </c>
      <c r="D823" s="24" t="s">
        <v>2661</v>
      </c>
      <c r="E823" s="26">
        <v>0</v>
      </c>
      <c r="F823" s="26">
        <v>0</v>
      </c>
      <c r="G823" s="26">
        <v>0</v>
      </c>
      <c r="H823" s="26">
        <v>0</v>
      </c>
      <c r="I823" s="26">
        <v>0</v>
      </c>
      <c r="J823" s="26">
        <v>0</v>
      </c>
      <c r="K823" s="26">
        <v>0</v>
      </c>
      <c r="L823" s="27">
        <v>0</v>
      </c>
    </row>
    <row r="824" spans="1:12">
      <c r="A824" s="24" t="s">
        <v>59</v>
      </c>
      <c r="B824" s="24" t="s">
        <v>318</v>
      </c>
      <c r="C824" s="25">
        <v>45809</v>
      </c>
      <c r="D824" s="24" t="s">
        <v>2662</v>
      </c>
      <c r="E824" s="26">
        <v>0</v>
      </c>
      <c r="F824" s="26">
        <v>0</v>
      </c>
      <c r="G824" s="26">
        <v>0</v>
      </c>
      <c r="H824" s="26">
        <v>0</v>
      </c>
      <c r="I824" s="26">
        <v>0</v>
      </c>
      <c r="J824" s="26">
        <v>0</v>
      </c>
      <c r="K824" s="26">
        <v>0</v>
      </c>
      <c r="L824" s="27">
        <v>0</v>
      </c>
    </row>
    <row r="825" spans="1:12">
      <c r="A825" s="24" t="s">
        <v>59</v>
      </c>
      <c r="B825" s="24" t="s">
        <v>318</v>
      </c>
      <c r="C825" s="25">
        <v>45839</v>
      </c>
      <c r="D825" s="24" t="s">
        <v>2663</v>
      </c>
      <c r="E825" s="26">
        <v>0</v>
      </c>
      <c r="F825" s="26">
        <v>0</v>
      </c>
      <c r="G825" s="26">
        <v>0</v>
      </c>
      <c r="H825" s="26">
        <v>0</v>
      </c>
      <c r="I825" s="26">
        <v>0</v>
      </c>
      <c r="J825" s="26">
        <v>0</v>
      </c>
      <c r="K825" s="26">
        <v>0</v>
      </c>
      <c r="L825" s="27">
        <v>0</v>
      </c>
    </row>
    <row r="826" spans="1:12">
      <c r="A826" s="24" t="s">
        <v>59</v>
      </c>
      <c r="B826" s="24" t="s">
        <v>318</v>
      </c>
      <c r="C826" s="25">
        <v>45870</v>
      </c>
      <c r="D826" s="24" t="s">
        <v>2664</v>
      </c>
      <c r="E826" s="26">
        <v>52415.5</v>
      </c>
      <c r="F826" s="26">
        <v>0</v>
      </c>
      <c r="G826" s="26">
        <v>52415.5</v>
      </c>
      <c r="H826" s="26">
        <v>16000.5</v>
      </c>
      <c r="I826" s="26">
        <v>36415</v>
      </c>
      <c r="J826" s="26">
        <v>0</v>
      </c>
      <c r="K826" s="26">
        <v>36415</v>
      </c>
      <c r="L826" s="27">
        <v>0.69473724375423296</v>
      </c>
    </row>
    <row r="827" spans="1:12">
      <c r="A827" s="24" t="s">
        <v>59</v>
      </c>
      <c r="B827" s="24" t="s">
        <v>318</v>
      </c>
      <c r="C827" s="25">
        <v>45901</v>
      </c>
      <c r="D827" s="24" t="s">
        <v>2665</v>
      </c>
      <c r="E827" s="26">
        <v>0</v>
      </c>
      <c r="F827" s="26">
        <v>0</v>
      </c>
      <c r="G827" s="26">
        <v>0</v>
      </c>
      <c r="H827" s="26">
        <v>0</v>
      </c>
      <c r="I827" s="26">
        <v>0</v>
      </c>
      <c r="J827" s="26">
        <v>0</v>
      </c>
      <c r="K827" s="26">
        <v>0</v>
      </c>
      <c r="L827" s="27">
        <v>0</v>
      </c>
    </row>
    <row r="828" spans="1:12">
      <c r="A828" s="24" t="s">
        <v>59</v>
      </c>
      <c r="B828" s="24" t="s">
        <v>318</v>
      </c>
      <c r="C828" s="25">
        <v>45931</v>
      </c>
      <c r="D828" s="24" t="s">
        <v>2666</v>
      </c>
      <c r="E828" s="26">
        <v>0</v>
      </c>
      <c r="F828" s="26">
        <v>0</v>
      </c>
      <c r="G828" s="26">
        <v>0</v>
      </c>
      <c r="H828" s="26">
        <v>0</v>
      </c>
      <c r="I828" s="26">
        <v>0</v>
      </c>
      <c r="J828" s="26">
        <v>0</v>
      </c>
      <c r="K828" s="26">
        <v>0</v>
      </c>
      <c r="L828" s="27">
        <v>0</v>
      </c>
    </row>
    <row r="829" spans="1:12">
      <c r="A829" s="24" t="s">
        <v>59</v>
      </c>
      <c r="B829" s="24" t="s">
        <v>318</v>
      </c>
      <c r="C829" s="25">
        <v>45962</v>
      </c>
      <c r="D829" s="24" t="s">
        <v>2667</v>
      </c>
      <c r="E829" s="26">
        <v>66178.100000000006</v>
      </c>
      <c r="F829" s="26">
        <v>0</v>
      </c>
      <c r="G829" s="26">
        <v>66178.100000000006</v>
      </c>
      <c r="H829" s="26">
        <v>0</v>
      </c>
      <c r="I829" s="26">
        <v>66178.100000000006</v>
      </c>
      <c r="J829" s="26">
        <v>0</v>
      </c>
      <c r="K829" s="26">
        <v>66178.100000000006</v>
      </c>
      <c r="L829" s="27">
        <v>1</v>
      </c>
    </row>
    <row r="830" spans="1:12">
      <c r="A830" s="24" t="s">
        <v>59</v>
      </c>
      <c r="B830" s="24" t="s">
        <v>318</v>
      </c>
      <c r="C830" s="25">
        <v>45992</v>
      </c>
      <c r="D830" s="24" t="s">
        <v>2668</v>
      </c>
      <c r="E830" s="26">
        <v>53662.5</v>
      </c>
      <c r="F830" s="26">
        <v>0</v>
      </c>
      <c r="G830" s="26">
        <v>53662.5</v>
      </c>
      <c r="H830" s="26">
        <v>0</v>
      </c>
      <c r="I830" s="26">
        <v>53662.5</v>
      </c>
      <c r="J830" s="26">
        <v>0</v>
      </c>
      <c r="K830" s="26">
        <v>53662.5</v>
      </c>
      <c r="L830" s="27">
        <v>1</v>
      </c>
    </row>
    <row r="831" spans="1:12">
      <c r="A831" s="24" t="s">
        <v>76</v>
      </c>
      <c r="B831" s="24" t="s">
        <v>318</v>
      </c>
      <c r="C831" s="25">
        <v>45658</v>
      </c>
      <c r="D831" s="24" t="s">
        <v>2657</v>
      </c>
      <c r="E831" s="26">
        <v>0</v>
      </c>
      <c r="F831" s="26">
        <v>0</v>
      </c>
      <c r="G831" s="26">
        <v>0</v>
      </c>
      <c r="H831" s="26">
        <v>0</v>
      </c>
      <c r="I831" s="26">
        <v>0</v>
      </c>
      <c r="J831" s="26">
        <v>0</v>
      </c>
      <c r="K831" s="26">
        <v>0</v>
      </c>
      <c r="L831" s="27">
        <v>0</v>
      </c>
    </row>
    <row r="832" spans="1:12">
      <c r="A832" s="24" t="s">
        <v>76</v>
      </c>
      <c r="B832" s="24" t="s">
        <v>318</v>
      </c>
      <c r="C832" s="25">
        <v>45689</v>
      </c>
      <c r="D832" s="24" t="s">
        <v>2658</v>
      </c>
      <c r="E832" s="26">
        <v>0</v>
      </c>
      <c r="F832" s="26">
        <v>0</v>
      </c>
      <c r="G832" s="26">
        <v>0</v>
      </c>
      <c r="H832" s="26">
        <v>0</v>
      </c>
      <c r="I832" s="26">
        <v>0</v>
      </c>
      <c r="J832" s="26">
        <v>0</v>
      </c>
      <c r="K832" s="26">
        <v>0</v>
      </c>
      <c r="L832" s="27">
        <v>0</v>
      </c>
    </row>
    <row r="833" spans="1:12">
      <c r="A833" s="24" t="s">
        <v>76</v>
      </c>
      <c r="B833" s="24" t="s">
        <v>318</v>
      </c>
      <c r="C833" s="25">
        <v>45717</v>
      </c>
      <c r="D833" s="24" t="s">
        <v>2659</v>
      </c>
      <c r="E833" s="26">
        <v>0</v>
      </c>
      <c r="F833" s="26">
        <v>0</v>
      </c>
      <c r="G833" s="26">
        <v>0</v>
      </c>
      <c r="H833" s="26">
        <v>0</v>
      </c>
      <c r="I833" s="26">
        <v>0</v>
      </c>
      <c r="J833" s="26">
        <v>0</v>
      </c>
      <c r="K833" s="26">
        <v>0</v>
      </c>
      <c r="L833" s="27">
        <v>0</v>
      </c>
    </row>
    <row r="834" spans="1:12">
      <c r="A834" s="24" t="s">
        <v>76</v>
      </c>
      <c r="B834" s="24" t="s">
        <v>318</v>
      </c>
      <c r="C834" s="25">
        <v>45748</v>
      </c>
      <c r="D834" s="24" t="s">
        <v>2660</v>
      </c>
      <c r="E834" s="26">
        <v>0</v>
      </c>
      <c r="F834" s="26">
        <v>0</v>
      </c>
      <c r="G834" s="26">
        <v>0</v>
      </c>
      <c r="H834" s="26">
        <v>0</v>
      </c>
      <c r="I834" s="26">
        <v>0</v>
      </c>
      <c r="J834" s="26">
        <v>0</v>
      </c>
      <c r="K834" s="26">
        <v>0</v>
      </c>
      <c r="L834" s="27">
        <v>0</v>
      </c>
    </row>
    <row r="835" spans="1:12">
      <c r="A835" s="24" t="s">
        <v>76</v>
      </c>
      <c r="B835" s="24" t="s">
        <v>318</v>
      </c>
      <c r="C835" s="25">
        <v>45778</v>
      </c>
      <c r="D835" s="24" t="s">
        <v>2661</v>
      </c>
      <c r="E835" s="26">
        <v>0</v>
      </c>
      <c r="F835" s="26">
        <v>0</v>
      </c>
      <c r="G835" s="26">
        <v>0</v>
      </c>
      <c r="H835" s="26">
        <v>0</v>
      </c>
      <c r="I835" s="26">
        <v>0</v>
      </c>
      <c r="J835" s="26">
        <v>0</v>
      </c>
      <c r="K835" s="26">
        <v>0</v>
      </c>
      <c r="L835" s="27">
        <v>0</v>
      </c>
    </row>
    <row r="836" spans="1:12">
      <c r="A836" s="24" t="s">
        <v>76</v>
      </c>
      <c r="B836" s="24" t="s">
        <v>318</v>
      </c>
      <c r="C836" s="25">
        <v>45809</v>
      </c>
      <c r="D836" s="24" t="s">
        <v>2662</v>
      </c>
      <c r="E836" s="26">
        <v>0</v>
      </c>
      <c r="F836" s="26">
        <v>0</v>
      </c>
      <c r="G836" s="26">
        <v>0</v>
      </c>
      <c r="H836" s="26">
        <v>0</v>
      </c>
      <c r="I836" s="26">
        <v>0</v>
      </c>
      <c r="J836" s="26">
        <v>0</v>
      </c>
      <c r="K836" s="26">
        <v>0</v>
      </c>
      <c r="L836" s="27">
        <v>0</v>
      </c>
    </row>
    <row r="837" spans="1:12">
      <c r="A837" s="24" t="s">
        <v>76</v>
      </c>
      <c r="B837" s="24" t="s">
        <v>318</v>
      </c>
      <c r="C837" s="25">
        <v>45839</v>
      </c>
      <c r="D837" s="24" t="s">
        <v>2663</v>
      </c>
      <c r="E837" s="26">
        <v>80632.52</v>
      </c>
      <c r="F837" s="26">
        <v>0</v>
      </c>
      <c r="G837" s="26">
        <v>80632.52</v>
      </c>
      <c r="H837" s="26">
        <v>0</v>
      </c>
      <c r="I837" s="26">
        <v>80632.52</v>
      </c>
      <c r="J837" s="26">
        <v>0</v>
      </c>
      <c r="K837" s="26">
        <v>80632.52</v>
      </c>
      <c r="L837" s="27">
        <v>1</v>
      </c>
    </row>
    <row r="838" spans="1:12">
      <c r="A838" s="24" t="s">
        <v>76</v>
      </c>
      <c r="B838" s="24" t="s">
        <v>318</v>
      </c>
      <c r="C838" s="25">
        <v>45870</v>
      </c>
      <c r="D838" s="24" t="s">
        <v>2664</v>
      </c>
      <c r="E838" s="26">
        <v>61002.61</v>
      </c>
      <c r="F838" s="26">
        <v>0</v>
      </c>
      <c r="G838" s="26">
        <v>61002.61</v>
      </c>
      <c r="H838" s="26">
        <v>0</v>
      </c>
      <c r="I838" s="26">
        <v>61002.61</v>
      </c>
      <c r="J838" s="26">
        <v>0</v>
      </c>
      <c r="K838" s="26">
        <v>61002.61</v>
      </c>
      <c r="L838" s="27">
        <v>1</v>
      </c>
    </row>
    <row r="839" spans="1:12">
      <c r="A839" s="24" t="s">
        <v>76</v>
      </c>
      <c r="B839" s="24" t="s">
        <v>318</v>
      </c>
      <c r="C839" s="25">
        <v>45901</v>
      </c>
      <c r="D839" s="24" t="s">
        <v>2665</v>
      </c>
      <c r="E839" s="26">
        <v>35383.01</v>
      </c>
      <c r="F839" s="26">
        <v>0</v>
      </c>
      <c r="G839" s="26">
        <v>35383.01</v>
      </c>
      <c r="H839" s="26">
        <v>0</v>
      </c>
      <c r="I839" s="26">
        <v>35383.01</v>
      </c>
      <c r="J839" s="26">
        <v>0</v>
      </c>
      <c r="K839" s="26">
        <v>35383.01</v>
      </c>
      <c r="L839" s="27">
        <v>1</v>
      </c>
    </row>
    <row r="840" spans="1:12">
      <c r="A840" s="24" t="s">
        <v>76</v>
      </c>
      <c r="B840" s="24" t="s">
        <v>318</v>
      </c>
      <c r="C840" s="25">
        <v>45931</v>
      </c>
      <c r="D840" s="24" t="s">
        <v>2666</v>
      </c>
      <c r="E840" s="26">
        <v>33907.82</v>
      </c>
      <c r="F840" s="26">
        <v>0</v>
      </c>
      <c r="G840" s="26">
        <v>33907.82</v>
      </c>
      <c r="H840" s="26">
        <v>0</v>
      </c>
      <c r="I840" s="26">
        <v>33907.82</v>
      </c>
      <c r="J840" s="26">
        <v>0</v>
      </c>
      <c r="K840" s="26">
        <v>33907.82</v>
      </c>
      <c r="L840" s="27">
        <v>1</v>
      </c>
    </row>
    <row r="841" spans="1:12">
      <c r="A841" s="24" t="s">
        <v>76</v>
      </c>
      <c r="B841" s="24" t="s">
        <v>318</v>
      </c>
      <c r="C841" s="25">
        <v>45962</v>
      </c>
      <c r="D841" s="24" t="s">
        <v>2667</v>
      </c>
      <c r="E841" s="26">
        <v>77938.67</v>
      </c>
      <c r="F841" s="26">
        <v>0</v>
      </c>
      <c r="G841" s="26">
        <v>77938.67</v>
      </c>
      <c r="H841" s="26">
        <v>0</v>
      </c>
      <c r="I841" s="26">
        <v>77938.67</v>
      </c>
      <c r="J841" s="26">
        <v>0</v>
      </c>
      <c r="K841" s="26">
        <v>77938.67</v>
      </c>
      <c r="L841" s="27">
        <v>1</v>
      </c>
    </row>
    <row r="842" spans="1:12">
      <c r="A842" s="24" t="s">
        <v>76</v>
      </c>
      <c r="B842" s="24" t="s">
        <v>318</v>
      </c>
      <c r="C842" s="25">
        <v>45992</v>
      </c>
      <c r="D842" s="24" t="s">
        <v>2668</v>
      </c>
      <c r="E842" s="26">
        <v>85391.07</v>
      </c>
      <c r="F842" s="26">
        <v>0</v>
      </c>
      <c r="G842" s="26">
        <v>85391.07</v>
      </c>
      <c r="H842" s="26">
        <v>0</v>
      </c>
      <c r="I842" s="26">
        <v>85391.07</v>
      </c>
      <c r="J842" s="26">
        <v>0</v>
      </c>
      <c r="K842" s="26">
        <v>85391.07</v>
      </c>
      <c r="L842" s="27">
        <v>1</v>
      </c>
    </row>
    <row r="843" spans="1:12">
      <c r="A843" s="24" t="s">
        <v>180</v>
      </c>
      <c r="B843" s="24" t="s">
        <v>337</v>
      </c>
      <c r="C843" s="25">
        <v>45658</v>
      </c>
      <c r="D843" s="24" t="s">
        <v>2657</v>
      </c>
      <c r="E843" s="26">
        <v>0</v>
      </c>
      <c r="F843" s="26">
        <v>0</v>
      </c>
      <c r="G843" s="26">
        <v>0</v>
      </c>
      <c r="H843" s="26">
        <v>0</v>
      </c>
      <c r="I843" s="26">
        <v>0</v>
      </c>
      <c r="J843" s="26">
        <v>0</v>
      </c>
      <c r="K843" s="26">
        <v>0</v>
      </c>
      <c r="L843" s="27">
        <v>0</v>
      </c>
    </row>
    <row r="844" spans="1:12">
      <c r="A844" s="24" t="s">
        <v>180</v>
      </c>
      <c r="B844" s="24" t="s">
        <v>337</v>
      </c>
      <c r="C844" s="25">
        <v>45689</v>
      </c>
      <c r="D844" s="24" t="s">
        <v>2658</v>
      </c>
      <c r="E844" s="26">
        <v>0</v>
      </c>
      <c r="F844" s="26">
        <v>0</v>
      </c>
      <c r="G844" s="26">
        <v>0</v>
      </c>
      <c r="H844" s="26">
        <v>0</v>
      </c>
      <c r="I844" s="26">
        <v>0</v>
      </c>
      <c r="J844" s="26">
        <v>0</v>
      </c>
      <c r="K844" s="26">
        <v>0</v>
      </c>
      <c r="L844" s="27">
        <v>0</v>
      </c>
    </row>
    <row r="845" spans="1:12">
      <c r="A845" s="24" t="s">
        <v>180</v>
      </c>
      <c r="B845" s="24" t="s">
        <v>337</v>
      </c>
      <c r="C845" s="25">
        <v>45717</v>
      </c>
      <c r="D845" s="24" t="s">
        <v>2659</v>
      </c>
      <c r="E845" s="26">
        <v>0</v>
      </c>
      <c r="F845" s="26">
        <v>0</v>
      </c>
      <c r="G845" s="26">
        <v>0</v>
      </c>
      <c r="H845" s="26">
        <v>0</v>
      </c>
      <c r="I845" s="26">
        <v>0</v>
      </c>
      <c r="J845" s="26">
        <v>0</v>
      </c>
      <c r="K845" s="26">
        <v>0</v>
      </c>
      <c r="L845" s="27">
        <v>0</v>
      </c>
    </row>
    <row r="846" spans="1:12">
      <c r="A846" s="24" t="s">
        <v>180</v>
      </c>
      <c r="B846" s="24" t="s">
        <v>337</v>
      </c>
      <c r="C846" s="25">
        <v>45748</v>
      </c>
      <c r="D846" s="24" t="s">
        <v>2660</v>
      </c>
      <c r="E846" s="26">
        <v>0</v>
      </c>
      <c r="F846" s="26">
        <v>0</v>
      </c>
      <c r="G846" s="26">
        <v>0</v>
      </c>
      <c r="H846" s="26">
        <v>0</v>
      </c>
      <c r="I846" s="26">
        <v>0</v>
      </c>
      <c r="J846" s="26">
        <v>0</v>
      </c>
      <c r="K846" s="26">
        <v>0</v>
      </c>
      <c r="L846" s="27">
        <v>0</v>
      </c>
    </row>
    <row r="847" spans="1:12">
      <c r="A847" s="24" t="s">
        <v>180</v>
      </c>
      <c r="B847" s="24" t="s">
        <v>337</v>
      </c>
      <c r="C847" s="25">
        <v>45778</v>
      </c>
      <c r="D847" s="24" t="s">
        <v>2661</v>
      </c>
      <c r="E847" s="26">
        <v>0</v>
      </c>
      <c r="F847" s="26">
        <v>0</v>
      </c>
      <c r="G847" s="26">
        <v>0</v>
      </c>
      <c r="H847" s="26">
        <v>0</v>
      </c>
      <c r="I847" s="26">
        <v>0</v>
      </c>
      <c r="J847" s="26">
        <v>0</v>
      </c>
      <c r="K847" s="26">
        <v>0</v>
      </c>
      <c r="L847" s="27">
        <v>0</v>
      </c>
    </row>
    <row r="848" spans="1:12">
      <c r="A848" s="24" t="s">
        <v>180</v>
      </c>
      <c r="B848" s="24" t="s">
        <v>337</v>
      </c>
      <c r="C848" s="25">
        <v>45809</v>
      </c>
      <c r="D848" s="24" t="s">
        <v>2662</v>
      </c>
      <c r="E848" s="26">
        <v>0</v>
      </c>
      <c r="F848" s="26">
        <v>0</v>
      </c>
      <c r="G848" s="26">
        <v>0</v>
      </c>
      <c r="H848" s="26">
        <v>0</v>
      </c>
      <c r="I848" s="26">
        <v>0</v>
      </c>
      <c r="J848" s="26">
        <v>0</v>
      </c>
      <c r="K848" s="26">
        <v>0</v>
      </c>
      <c r="L848" s="27">
        <v>0</v>
      </c>
    </row>
    <row r="849" spans="1:12">
      <c r="A849" s="24" t="s">
        <v>180</v>
      </c>
      <c r="B849" s="24" t="s">
        <v>337</v>
      </c>
      <c r="C849" s="25">
        <v>45839</v>
      </c>
      <c r="D849" s="24" t="s">
        <v>2663</v>
      </c>
      <c r="E849" s="26">
        <v>0</v>
      </c>
      <c r="F849" s="26">
        <v>0</v>
      </c>
      <c r="G849" s="26">
        <v>0</v>
      </c>
      <c r="H849" s="26">
        <v>0</v>
      </c>
      <c r="I849" s="26">
        <v>0</v>
      </c>
      <c r="J849" s="26">
        <v>0</v>
      </c>
      <c r="K849" s="26">
        <v>0</v>
      </c>
      <c r="L849" s="27">
        <v>0</v>
      </c>
    </row>
    <row r="850" spans="1:12">
      <c r="A850" s="24" t="s">
        <v>180</v>
      </c>
      <c r="B850" s="24" t="s">
        <v>337</v>
      </c>
      <c r="C850" s="25">
        <v>45870</v>
      </c>
      <c r="D850" s="24" t="s">
        <v>2664</v>
      </c>
      <c r="E850" s="26">
        <v>55211.76</v>
      </c>
      <c r="F850" s="26">
        <v>0</v>
      </c>
      <c r="G850" s="26">
        <v>55211.76</v>
      </c>
      <c r="H850" s="26">
        <v>0</v>
      </c>
      <c r="I850" s="26">
        <v>55211.76</v>
      </c>
      <c r="J850" s="26">
        <v>0</v>
      </c>
      <c r="K850" s="26">
        <v>55211.76</v>
      </c>
      <c r="L850" s="27">
        <v>1</v>
      </c>
    </row>
    <row r="851" spans="1:12">
      <c r="A851" s="24" t="s">
        <v>180</v>
      </c>
      <c r="B851" s="24" t="s">
        <v>337</v>
      </c>
      <c r="C851" s="25">
        <v>45901</v>
      </c>
      <c r="D851" s="24" t="s">
        <v>2665</v>
      </c>
      <c r="E851" s="26">
        <v>0</v>
      </c>
      <c r="F851" s="26">
        <v>0</v>
      </c>
      <c r="G851" s="26">
        <v>0</v>
      </c>
      <c r="H851" s="26">
        <v>0</v>
      </c>
      <c r="I851" s="26">
        <v>0</v>
      </c>
      <c r="J851" s="26">
        <v>0</v>
      </c>
      <c r="K851" s="26">
        <v>0</v>
      </c>
      <c r="L851" s="27">
        <v>0</v>
      </c>
    </row>
    <row r="852" spans="1:12">
      <c r="A852" s="24" t="s">
        <v>180</v>
      </c>
      <c r="B852" s="24" t="s">
        <v>337</v>
      </c>
      <c r="C852" s="25">
        <v>45931</v>
      </c>
      <c r="D852" s="24" t="s">
        <v>2666</v>
      </c>
      <c r="E852" s="26">
        <v>40834.07</v>
      </c>
      <c r="F852" s="26">
        <v>0</v>
      </c>
      <c r="G852" s="26">
        <v>40834.07</v>
      </c>
      <c r="H852" s="26">
        <v>0</v>
      </c>
      <c r="I852" s="26">
        <v>40834.07</v>
      </c>
      <c r="J852" s="26">
        <v>0</v>
      </c>
      <c r="K852" s="26">
        <v>40834.07</v>
      </c>
      <c r="L852" s="27">
        <v>1</v>
      </c>
    </row>
    <row r="853" spans="1:12">
      <c r="A853" s="24" t="s">
        <v>180</v>
      </c>
      <c r="B853" s="24" t="s">
        <v>337</v>
      </c>
      <c r="C853" s="25">
        <v>45962</v>
      </c>
      <c r="D853" s="24" t="s">
        <v>2667</v>
      </c>
      <c r="E853" s="26">
        <v>0</v>
      </c>
      <c r="F853" s="26">
        <v>0</v>
      </c>
      <c r="G853" s="26">
        <v>0</v>
      </c>
      <c r="H853" s="26">
        <v>0</v>
      </c>
      <c r="I853" s="26">
        <v>0</v>
      </c>
      <c r="J853" s="26">
        <v>0</v>
      </c>
      <c r="K853" s="26">
        <v>0</v>
      </c>
      <c r="L853" s="27">
        <v>0</v>
      </c>
    </row>
    <row r="854" spans="1:12">
      <c r="A854" s="24" t="s">
        <v>180</v>
      </c>
      <c r="B854" s="24" t="s">
        <v>337</v>
      </c>
      <c r="C854" s="25">
        <v>45992</v>
      </c>
      <c r="D854" s="24" t="s">
        <v>2668</v>
      </c>
      <c r="E854" s="26">
        <v>50590.33</v>
      </c>
      <c r="F854" s="26">
        <v>0</v>
      </c>
      <c r="G854" s="26">
        <v>50590.33</v>
      </c>
      <c r="H854" s="26">
        <v>0</v>
      </c>
      <c r="I854" s="26">
        <v>50590.33</v>
      </c>
      <c r="J854" s="26">
        <v>0</v>
      </c>
      <c r="K854" s="26">
        <v>50590.33</v>
      </c>
      <c r="L854" s="27">
        <v>1</v>
      </c>
    </row>
    <row r="855" spans="1:12">
      <c r="A855" s="24" t="s">
        <v>162</v>
      </c>
      <c r="B855" s="24" t="s">
        <v>329</v>
      </c>
      <c r="C855" s="25">
        <v>45658</v>
      </c>
      <c r="D855" s="24" t="s">
        <v>2657</v>
      </c>
      <c r="E855" s="26">
        <v>0</v>
      </c>
      <c r="F855" s="26">
        <v>0</v>
      </c>
      <c r="G855" s="26">
        <v>0</v>
      </c>
      <c r="H855" s="26">
        <v>0</v>
      </c>
      <c r="I855" s="26">
        <v>0</v>
      </c>
      <c r="J855" s="26">
        <v>0</v>
      </c>
      <c r="K855" s="26">
        <v>0</v>
      </c>
      <c r="L855" s="27">
        <v>0</v>
      </c>
    </row>
    <row r="856" spans="1:12">
      <c r="A856" s="24" t="s">
        <v>162</v>
      </c>
      <c r="B856" s="24" t="s">
        <v>329</v>
      </c>
      <c r="C856" s="25">
        <v>45689</v>
      </c>
      <c r="D856" s="24" t="s">
        <v>2658</v>
      </c>
      <c r="E856" s="26">
        <v>0</v>
      </c>
      <c r="F856" s="26">
        <v>0</v>
      </c>
      <c r="G856" s="26">
        <v>0</v>
      </c>
      <c r="H856" s="26">
        <v>0</v>
      </c>
      <c r="I856" s="26">
        <v>0</v>
      </c>
      <c r="J856" s="26">
        <v>0</v>
      </c>
      <c r="K856" s="26">
        <v>0</v>
      </c>
      <c r="L856" s="27">
        <v>0</v>
      </c>
    </row>
    <row r="857" spans="1:12">
      <c r="A857" s="24" t="s">
        <v>162</v>
      </c>
      <c r="B857" s="24" t="s">
        <v>329</v>
      </c>
      <c r="C857" s="25">
        <v>45717</v>
      </c>
      <c r="D857" s="24" t="s">
        <v>2659</v>
      </c>
      <c r="E857" s="26">
        <v>0</v>
      </c>
      <c r="F857" s="26">
        <v>0</v>
      </c>
      <c r="G857" s="26">
        <v>0</v>
      </c>
      <c r="H857" s="26">
        <v>0</v>
      </c>
      <c r="I857" s="26">
        <v>0</v>
      </c>
      <c r="J857" s="26">
        <v>0</v>
      </c>
      <c r="K857" s="26">
        <v>0</v>
      </c>
      <c r="L857" s="27">
        <v>0</v>
      </c>
    </row>
    <row r="858" spans="1:12">
      <c r="A858" s="24" t="s">
        <v>162</v>
      </c>
      <c r="B858" s="24" t="s">
        <v>329</v>
      </c>
      <c r="C858" s="25">
        <v>45748</v>
      </c>
      <c r="D858" s="24" t="s">
        <v>2660</v>
      </c>
      <c r="E858" s="26">
        <v>0</v>
      </c>
      <c r="F858" s="26">
        <v>0</v>
      </c>
      <c r="G858" s="26">
        <v>0</v>
      </c>
      <c r="H858" s="26">
        <v>0</v>
      </c>
      <c r="I858" s="26">
        <v>0</v>
      </c>
      <c r="J858" s="26">
        <v>0</v>
      </c>
      <c r="K858" s="26">
        <v>0</v>
      </c>
      <c r="L858" s="27">
        <v>0</v>
      </c>
    </row>
    <row r="859" spans="1:12">
      <c r="A859" s="24" t="s">
        <v>162</v>
      </c>
      <c r="B859" s="24" t="s">
        <v>329</v>
      </c>
      <c r="C859" s="25">
        <v>45778</v>
      </c>
      <c r="D859" s="24" t="s">
        <v>2661</v>
      </c>
      <c r="E859" s="26">
        <v>0</v>
      </c>
      <c r="F859" s="26">
        <v>0</v>
      </c>
      <c r="G859" s="26">
        <v>0</v>
      </c>
      <c r="H859" s="26">
        <v>0</v>
      </c>
      <c r="I859" s="26">
        <v>0</v>
      </c>
      <c r="J859" s="26">
        <v>0</v>
      </c>
      <c r="K859" s="26">
        <v>0</v>
      </c>
      <c r="L859" s="27">
        <v>0</v>
      </c>
    </row>
    <row r="860" spans="1:12">
      <c r="A860" s="24" t="s">
        <v>162</v>
      </c>
      <c r="B860" s="24" t="s">
        <v>329</v>
      </c>
      <c r="C860" s="25">
        <v>45809</v>
      </c>
      <c r="D860" s="24" t="s">
        <v>2662</v>
      </c>
      <c r="E860" s="26">
        <v>0</v>
      </c>
      <c r="F860" s="26">
        <v>0</v>
      </c>
      <c r="G860" s="26">
        <v>0</v>
      </c>
      <c r="H860" s="26">
        <v>0</v>
      </c>
      <c r="I860" s="26">
        <v>0</v>
      </c>
      <c r="J860" s="26">
        <v>0</v>
      </c>
      <c r="K860" s="26">
        <v>0</v>
      </c>
      <c r="L860" s="27">
        <v>0</v>
      </c>
    </row>
    <row r="861" spans="1:12">
      <c r="A861" s="24" t="s">
        <v>162</v>
      </c>
      <c r="B861" s="24" t="s">
        <v>329</v>
      </c>
      <c r="C861" s="25">
        <v>45839</v>
      </c>
      <c r="D861" s="24" t="s">
        <v>2663</v>
      </c>
      <c r="E861" s="26">
        <v>0</v>
      </c>
      <c r="F861" s="26">
        <v>0</v>
      </c>
      <c r="G861" s="26">
        <v>0</v>
      </c>
      <c r="H861" s="26">
        <v>0</v>
      </c>
      <c r="I861" s="26">
        <v>0</v>
      </c>
      <c r="J861" s="26">
        <v>0</v>
      </c>
      <c r="K861" s="26">
        <v>0</v>
      </c>
      <c r="L861" s="27">
        <v>0</v>
      </c>
    </row>
    <row r="862" spans="1:12">
      <c r="A862" s="24" t="s">
        <v>162</v>
      </c>
      <c r="B862" s="24" t="s">
        <v>329</v>
      </c>
      <c r="C862" s="25">
        <v>45870</v>
      </c>
      <c r="D862" s="24" t="s">
        <v>2664</v>
      </c>
      <c r="E862" s="26">
        <v>0</v>
      </c>
      <c r="F862" s="26">
        <v>0</v>
      </c>
      <c r="G862" s="26">
        <v>0</v>
      </c>
      <c r="H862" s="26">
        <v>53153.08</v>
      </c>
      <c r="I862" s="26">
        <v>-53153.08</v>
      </c>
      <c r="J862" s="26">
        <v>0</v>
      </c>
      <c r="K862" s="26">
        <v>-53153.08</v>
      </c>
      <c r="L862" s="27">
        <v>0</v>
      </c>
    </row>
    <row r="863" spans="1:12">
      <c r="A863" s="24" t="s">
        <v>162</v>
      </c>
      <c r="B863" s="24" t="s">
        <v>329</v>
      </c>
      <c r="C863" s="25">
        <v>45901</v>
      </c>
      <c r="D863" s="24" t="s">
        <v>2665</v>
      </c>
      <c r="E863" s="26">
        <v>0</v>
      </c>
      <c r="F863" s="26">
        <v>9704.24</v>
      </c>
      <c r="G863" s="26">
        <v>-9704.24</v>
      </c>
      <c r="H863" s="26">
        <v>64279.73</v>
      </c>
      <c r="I863" s="26">
        <v>-73983.97</v>
      </c>
      <c r="J863" s="26">
        <v>0</v>
      </c>
      <c r="K863" s="26">
        <v>-73983.97</v>
      </c>
      <c r="L863" s="27">
        <v>7.6238809015440676</v>
      </c>
    </row>
    <row r="864" spans="1:12">
      <c r="A864" s="24" t="s">
        <v>162</v>
      </c>
      <c r="B864" s="24" t="s">
        <v>329</v>
      </c>
      <c r="C864" s="25">
        <v>45931</v>
      </c>
      <c r="D864" s="24" t="s">
        <v>2666</v>
      </c>
      <c r="E864" s="26">
        <v>0</v>
      </c>
      <c r="F864" s="26">
        <v>0</v>
      </c>
      <c r="G864" s="26">
        <v>0</v>
      </c>
      <c r="H864" s="26">
        <v>43774.39</v>
      </c>
      <c r="I864" s="26">
        <v>-43774.39</v>
      </c>
      <c r="J864" s="26">
        <v>0</v>
      </c>
      <c r="K864" s="26">
        <v>-43774.39</v>
      </c>
      <c r="L864" s="27">
        <v>0</v>
      </c>
    </row>
    <row r="865" spans="1:12">
      <c r="A865" s="24" t="s">
        <v>162</v>
      </c>
      <c r="B865" s="24" t="s">
        <v>329</v>
      </c>
      <c r="C865" s="25">
        <v>45962</v>
      </c>
      <c r="D865" s="24" t="s">
        <v>2667</v>
      </c>
      <c r="E865" s="26">
        <v>0</v>
      </c>
      <c r="F865" s="26">
        <v>0</v>
      </c>
      <c r="G865" s="26">
        <v>0</v>
      </c>
      <c r="H865" s="26">
        <v>0</v>
      </c>
      <c r="I865" s="26">
        <v>0</v>
      </c>
      <c r="J865" s="26">
        <v>0</v>
      </c>
      <c r="K865" s="26">
        <v>0</v>
      </c>
      <c r="L865" s="27">
        <v>0</v>
      </c>
    </row>
    <row r="866" spans="1:12">
      <c r="A866" s="24" t="s">
        <v>162</v>
      </c>
      <c r="B866" s="24" t="s">
        <v>329</v>
      </c>
      <c r="C866" s="25">
        <v>45992</v>
      </c>
      <c r="D866" s="24" t="s">
        <v>2668</v>
      </c>
      <c r="E866" s="26">
        <v>0</v>
      </c>
      <c r="F866" s="26">
        <v>0</v>
      </c>
      <c r="G866" s="26">
        <v>0</v>
      </c>
      <c r="H866" s="26">
        <v>0</v>
      </c>
      <c r="I866" s="26">
        <v>0</v>
      </c>
      <c r="J866" s="26">
        <v>0</v>
      </c>
      <c r="K866" s="26">
        <v>0</v>
      </c>
      <c r="L866" s="27">
        <v>0</v>
      </c>
    </row>
    <row r="867" spans="1:12">
      <c r="A867" s="24" t="s">
        <v>71</v>
      </c>
      <c r="B867" s="24" t="s">
        <v>318</v>
      </c>
      <c r="C867" s="25">
        <v>45658</v>
      </c>
      <c r="D867" s="24" t="s">
        <v>2657</v>
      </c>
      <c r="E867" s="26">
        <v>0</v>
      </c>
      <c r="F867" s="26">
        <v>0</v>
      </c>
      <c r="G867" s="26">
        <v>0</v>
      </c>
      <c r="H867" s="26">
        <v>0</v>
      </c>
      <c r="I867" s="26">
        <v>0</v>
      </c>
      <c r="J867" s="26">
        <v>0</v>
      </c>
      <c r="K867" s="26">
        <v>0</v>
      </c>
      <c r="L867" s="27">
        <v>0</v>
      </c>
    </row>
    <row r="868" spans="1:12">
      <c r="A868" s="24" t="s">
        <v>71</v>
      </c>
      <c r="B868" s="24" t="s">
        <v>318</v>
      </c>
      <c r="C868" s="25">
        <v>45689</v>
      </c>
      <c r="D868" s="24" t="s">
        <v>2658</v>
      </c>
      <c r="E868" s="26">
        <v>0</v>
      </c>
      <c r="F868" s="26">
        <v>0</v>
      </c>
      <c r="G868" s="26">
        <v>0</v>
      </c>
      <c r="H868" s="26">
        <v>0</v>
      </c>
      <c r="I868" s="26">
        <v>0</v>
      </c>
      <c r="J868" s="26">
        <v>0</v>
      </c>
      <c r="K868" s="26">
        <v>0</v>
      </c>
      <c r="L868" s="27">
        <v>0</v>
      </c>
    </row>
    <row r="869" spans="1:12">
      <c r="A869" s="24" t="s">
        <v>71</v>
      </c>
      <c r="B869" s="24" t="s">
        <v>318</v>
      </c>
      <c r="C869" s="25">
        <v>45717</v>
      </c>
      <c r="D869" s="24" t="s">
        <v>2659</v>
      </c>
      <c r="E869" s="26">
        <v>0</v>
      </c>
      <c r="F869" s="26">
        <v>0</v>
      </c>
      <c r="G869" s="26">
        <v>0</v>
      </c>
      <c r="H869" s="26">
        <v>0</v>
      </c>
      <c r="I869" s="26">
        <v>0</v>
      </c>
      <c r="J869" s="26">
        <v>0</v>
      </c>
      <c r="K869" s="26">
        <v>0</v>
      </c>
      <c r="L869" s="27">
        <v>0</v>
      </c>
    </row>
    <row r="870" spans="1:12">
      <c r="A870" s="24" t="s">
        <v>71</v>
      </c>
      <c r="B870" s="24" t="s">
        <v>318</v>
      </c>
      <c r="C870" s="25">
        <v>45748</v>
      </c>
      <c r="D870" s="24" t="s">
        <v>2660</v>
      </c>
      <c r="E870" s="26">
        <v>0</v>
      </c>
      <c r="F870" s="26">
        <v>0</v>
      </c>
      <c r="G870" s="26">
        <v>0</v>
      </c>
      <c r="H870" s="26">
        <v>0</v>
      </c>
      <c r="I870" s="26">
        <v>0</v>
      </c>
      <c r="J870" s="26">
        <v>0</v>
      </c>
      <c r="K870" s="26">
        <v>0</v>
      </c>
      <c r="L870" s="27">
        <v>0</v>
      </c>
    </row>
    <row r="871" spans="1:12">
      <c r="A871" s="24" t="s">
        <v>71</v>
      </c>
      <c r="B871" s="24" t="s">
        <v>318</v>
      </c>
      <c r="C871" s="25">
        <v>45778</v>
      </c>
      <c r="D871" s="24" t="s">
        <v>2661</v>
      </c>
      <c r="E871" s="26">
        <v>0</v>
      </c>
      <c r="F871" s="26">
        <v>0</v>
      </c>
      <c r="G871" s="26">
        <v>0</v>
      </c>
      <c r="H871" s="26">
        <v>0</v>
      </c>
      <c r="I871" s="26">
        <v>0</v>
      </c>
      <c r="J871" s="26">
        <v>0</v>
      </c>
      <c r="K871" s="26">
        <v>0</v>
      </c>
      <c r="L871" s="27">
        <v>0</v>
      </c>
    </row>
    <row r="872" spans="1:12">
      <c r="A872" s="24" t="s">
        <v>71</v>
      </c>
      <c r="B872" s="24" t="s">
        <v>318</v>
      </c>
      <c r="C872" s="25">
        <v>45809</v>
      </c>
      <c r="D872" s="24" t="s">
        <v>2662</v>
      </c>
      <c r="E872" s="26">
        <v>0</v>
      </c>
      <c r="F872" s="26">
        <v>0</v>
      </c>
      <c r="G872" s="26">
        <v>0</v>
      </c>
      <c r="H872" s="26">
        <v>0</v>
      </c>
      <c r="I872" s="26">
        <v>0</v>
      </c>
      <c r="J872" s="26">
        <v>0</v>
      </c>
      <c r="K872" s="26">
        <v>0</v>
      </c>
      <c r="L872" s="27">
        <v>0</v>
      </c>
    </row>
    <row r="873" spans="1:12">
      <c r="A873" s="24" t="s">
        <v>71</v>
      </c>
      <c r="B873" s="24" t="s">
        <v>318</v>
      </c>
      <c r="C873" s="25">
        <v>45839</v>
      </c>
      <c r="D873" s="24" t="s">
        <v>2663</v>
      </c>
      <c r="E873" s="26">
        <v>3810.26</v>
      </c>
      <c r="F873" s="26">
        <v>0</v>
      </c>
      <c r="G873" s="26">
        <v>3810.26</v>
      </c>
      <c r="H873" s="26">
        <v>0</v>
      </c>
      <c r="I873" s="26">
        <v>3810.26</v>
      </c>
      <c r="J873" s="26">
        <v>0</v>
      </c>
      <c r="K873" s="26">
        <v>3810.26</v>
      </c>
      <c r="L873" s="27">
        <v>1</v>
      </c>
    </row>
    <row r="874" spans="1:12">
      <c r="A874" s="24" t="s">
        <v>71</v>
      </c>
      <c r="B874" s="24" t="s">
        <v>318</v>
      </c>
      <c r="C874" s="25">
        <v>45870</v>
      </c>
      <c r="D874" s="24" t="s">
        <v>2664</v>
      </c>
      <c r="E874" s="26">
        <v>0</v>
      </c>
      <c r="F874" s="26">
        <v>0</v>
      </c>
      <c r="G874" s="26">
        <v>0</v>
      </c>
      <c r="H874" s="26">
        <v>0</v>
      </c>
      <c r="I874" s="26">
        <v>0</v>
      </c>
      <c r="J874" s="26">
        <v>0</v>
      </c>
      <c r="K874" s="26">
        <v>0</v>
      </c>
      <c r="L874" s="27">
        <v>0</v>
      </c>
    </row>
    <row r="875" spans="1:12">
      <c r="A875" s="24" t="s">
        <v>71</v>
      </c>
      <c r="B875" s="24" t="s">
        <v>318</v>
      </c>
      <c r="C875" s="25">
        <v>45901</v>
      </c>
      <c r="D875" s="24" t="s">
        <v>2665</v>
      </c>
      <c r="E875" s="26">
        <v>5783.72</v>
      </c>
      <c r="F875" s="26">
        <v>0</v>
      </c>
      <c r="G875" s="26">
        <v>5783.72</v>
      </c>
      <c r="H875" s="26">
        <v>93952.42</v>
      </c>
      <c r="I875" s="26">
        <v>-88168.7</v>
      </c>
      <c r="J875" s="26">
        <v>0</v>
      </c>
      <c r="K875" s="26">
        <v>-88168.7</v>
      </c>
      <c r="L875" s="27">
        <v>-15.244289142627929</v>
      </c>
    </row>
    <row r="876" spans="1:12">
      <c r="A876" s="24" t="s">
        <v>71</v>
      </c>
      <c r="B876" s="24" t="s">
        <v>318</v>
      </c>
      <c r="C876" s="25">
        <v>45931</v>
      </c>
      <c r="D876" s="24" t="s">
        <v>2666</v>
      </c>
      <c r="E876" s="26">
        <v>3387.92</v>
      </c>
      <c r="F876" s="26">
        <v>2879.94</v>
      </c>
      <c r="G876" s="26">
        <v>507.98</v>
      </c>
      <c r="H876" s="26">
        <v>0</v>
      </c>
      <c r="I876" s="26">
        <v>507.98</v>
      </c>
      <c r="J876" s="26">
        <v>0</v>
      </c>
      <c r="K876" s="26">
        <v>507.98</v>
      </c>
      <c r="L876" s="27">
        <v>1</v>
      </c>
    </row>
    <row r="877" spans="1:12">
      <c r="A877" s="24" t="s">
        <v>71</v>
      </c>
      <c r="B877" s="24" t="s">
        <v>318</v>
      </c>
      <c r="C877" s="25">
        <v>45962</v>
      </c>
      <c r="D877" s="24" t="s">
        <v>2667</v>
      </c>
      <c r="E877" s="26">
        <v>6301.74</v>
      </c>
      <c r="F877" s="26">
        <v>0</v>
      </c>
      <c r="G877" s="26">
        <v>6301.74</v>
      </c>
      <c r="H877" s="26">
        <v>71736.95</v>
      </c>
      <c r="I877" s="26">
        <v>-65435.21</v>
      </c>
      <c r="J877" s="26">
        <v>0</v>
      </c>
      <c r="K877" s="26">
        <v>-65435.21</v>
      </c>
      <c r="L877" s="27">
        <v>-10.38367339814083</v>
      </c>
    </row>
    <row r="878" spans="1:12">
      <c r="A878" s="24" t="s">
        <v>71</v>
      </c>
      <c r="B878" s="24" t="s">
        <v>318</v>
      </c>
      <c r="C878" s="25">
        <v>45992</v>
      </c>
      <c r="D878" s="24" t="s">
        <v>2668</v>
      </c>
      <c r="E878" s="26">
        <v>0</v>
      </c>
      <c r="F878" s="26">
        <v>0</v>
      </c>
      <c r="G878" s="26">
        <v>0</v>
      </c>
      <c r="H878" s="26">
        <v>57558.9</v>
      </c>
      <c r="I878" s="26">
        <v>-57558.9</v>
      </c>
      <c r="J878" s="26">
        <v>0</v>
      </c>
      <c r="K878" s="26">
        <v>-57558.9</v>
      </c>
      <c r="L878" s="27">
        <v>0</v>
      </c>
    </row>
    <row r="879" spans="1:12">
      <c r="A879" s="24" t="s">
        <v>66</v>
      </c>
      <c r="B879" s="24" t="s">
        <v>337</v>
      </c>
      <c r="C879" s="25">
        <v>45658</v>
      </c>
      <c r="D879" s="24" t="s">
        <v>2657</v>
      </c>
      <c r="E879" s="26">
        <v>0</v>
      </c>
      <c r="F879" s="26">
        <v>0</v>
      </c>
      <c r="G879" s="26">
        <v>0</v>
      </c>
      <c r="H879" s="26">
        <v>0</v>
      </c>
      <c r="I879" s="26">
        <v>0</v>
      </c>
      <c r="J879" s="26">
        <v>0</v>
      </c>
      <c r="K879" s="26">
        <v>0</v>
      </c>
      <c r="L879" s="27">
        <v>0</v>
      </c>
    </row>
    <row r="880" spans="1:12">
      <c r="A880" s="24" t="s">
        <v>66</v>
      </c>
      <c r="B880" s="24" t="s">
        <v>337</v>
      </c>
      <c r="C880" s="25">
        <v>45689</v>
      </c>
      <c r="D880" s="24" t="s">
        <v>2658</v>
      </c>
      <c r="E880" s="26">
        <v>0</v>
      </c>
      <c r="F880" s="26">
        <v>0</v>
      </c>
      <c r="G880" s="26">
        <v>0</v>
      </c>
      <c r="H880" s="26">
        <v>0</v>
      </c>
      <c r="I880" s="26">
        <v>0</v>
      </c>
      <c r="J880" s="26">
        <v>0</v>
      </c>
      <c r="K880" s="26">
        <v>0</v>
      </c>
      <c r="L880" s="27">
        <v>0</v>
      </c>
    </row>
    <row r="881" spans="1:12">
      <c r="A881" s="24" t="s">
        <v>66</v>
      </c>
      <c r="B881" s="24" t="s">
        <v>337</v>
      </c>
      <c r="C881" s="25">
        <v>45717</v>
      </c>
      <c r="D881" s="24" t="s">
        <v>2659</v>
      </c>
      <c r="E881" s="26">
        <v>0</v>
      </c>
      <c r="F881" s="26">
        <v>0</v>
      </c>
      <c r="G881" s="26">
        <v>0</v>
      </c>
      <c r="H881" s="26">
        <v>0</v>
      </c>
      <c r="I881" s="26">
        <v>0</v>
      </c>
      <c r="J881" s="26">
        <v>0</v>
      </c>
      <c r="K881" s="26">
        <v>0</v>
      </c>
      <c r="L881" s="27">
        <v>0</v>
      </c>
    </row>
    <row r="882" spans="1:12">
      <c r="A882" s="24" t="s">
        <v>66</v>
      </c>
      <c r="B882" s="24" t="s">
        <v>337</v>
      </c>
      <c r="C882" s="25">
        <v>45748</v>
      </c>
      <c r="D882" s="24" t="s">
        <v>2660</v>
      </c>
      <c r="E882" s="26">
        <v>0</v>
      </c>
      <c r="F882" s="26">
        <v>0</v>
      </c>
      <c r="G882" s="26">
        <v>0</v>
      </c>
      <c r="H882" s="26">
        <v>0</v>
      </c>
      <c r="I882" s="26">
        <v>0</v>
      </c>
      <c r="J882" s="26">
        <v>0</v>
      </c>
      <c r="K882" s="26">
        <v>0</v>
      </c>
      <c r="L882" s="27">
        <v>0</v>
      </c>
    </row>
    <row r="883" spans="1:12">
      <c r="A883" s="24" t="s">
        <v>66</v>
      </c>
      <c r="B883" s="24" t="s">
        <v>337</v>
      </c>
      <c r="C883" s="25">
        <v>45778</v>
      </c>
      <c r="D883" s="24" t="s">
        <v>2661</v>
      </c>
      <c r="E883" s="26">
        <v>0</v>
      </c>
      <c r="F883" s="26">
        <v>0</v>
      </c>
      <c r="G883" s="26">
        <v>0</v>
      </c>
      <c r="H883" s="26">
        <v>0</v>
      </c>
      <c r="I883" s="26">
        <v>0</v>
      </c>
      <c r="J883" s="26">
        <v>0</v>
      </c>
      <c r="K883" s="26">
        <v>0</v>
      </c>
      <c r="L883" s="27">
        <v>0</v>
      </c>
    </row>
    <row r="884" spans="1:12">
      <c r="A884" s="24" t="s">
        <v>66</v>
      </c>
      <c r="B884" s="24" t="s">
        <v>337</v>
      </c>
      <c r="C884" s="25">
        <v>45809</v>
      </c>
      <c r="D884" s="24" t="s">
        <v>2662</v>
      </c>
      <c r="E884" s="26">
        <v>0</v>
      </c>
      <c r="F884" s="26">
        <v>0</v>
      </c>
      <c r="G884" s="26">
        <v>0</v>
      </c>
      <c r="H884" s="26">
        <v>0</v>
      </c>
      <c r="I884" s="26">
        <v>0</v>
      </c>
      <c r="J884" s="26">
        <v>0</v>
      </c>
      <c r="K884" s="26">
        <v>0</v>
      </c>
      <c r="L884" s="27">
        <v>0</v>
      </c>
    </row>
    <row r="885" spans="1:12">
      <c r="A885" s="24" t="s">
        <v>66</v>
      </c>
      <c r="B885" s="24" t="s">
        <v>337</v>
      </c>
      <c r="C885" s="25">
        <v>45839</v>
      </c>
      <c r="D885" s="24" t="s">
        <v>2663</v>
      </c>
      <c r="E885" s="26">
        <v>0</v>
      </c>
      <c r="F885" s="26">
        <v>0</v>
      </c>
      <c r="G885" s="26">
        <v>0</v>
      </c>
      <c r="H885" s="26">
        <v>54667.32</v>
      </c>
      <c r="I885" s="26">
        <v>-54667.32</v>
      </c>
      <c r="J885" s="26">
        <v>0</v>
      </c>
      <c r="K885" s="26">
        <v>-54667.32</v>
      </c>
      <c r="L885" s="27">
        <v>0</v>
      </c>
    </row>
    <row r="886" spans="1:12">
      <c r="A886" s="24" t="s">
        <v>66</v>
      </c>
      <c r="B886" s="24" t="s">
        <v>337</v>
      </c>
      <c r="C886" s="25">
        <v>45870</v>
      </c>
      <c r="D886" s="24" t="s">
        <v>2664</v>
      </c>
      <c r="E886" s="26">
        <v>53621.81</v>
      </c>
      <c r="F886" s="26">
        <v>0</v>
      </c>
      <c r="G886" s="26">
        <v>53621.81</v>
      </c>
      <c r="H886" s="26">
        <v>0</v>
      </c>
      <c r="I886" s="26">
        <v>53621.81</v>
      </c>
      <c r="J886" s="26">
        <v>0</v>
      </c>
      <c r="K886" s="26">
        <v>53621.81</v>
      </c>
      <c r="L886" s="27">
        <v>1</v>
      </c>
    </row>
    <row r="887" spans="1:12">
      <c r="A887" s="24" t="s">
        <v>66</v>
      </c>
      <c r="B887" s="24" t="s">
        <v>337</v>
      </c>
      <c r="C887" s="25">
        <v>45901</v>
      </c>
      <c r="D887" s="24" t="s">
        <v>2665</v>
      </c>
      <c r="E887" s="26">
        <v>91467.02</v>
      </c>
      <c r="F887" s="26">
        <v>0</v>
      </c>
      <c r="G887" s="26">
        <v>91467.02</v>
      </c>
      <c r="H887" s="26">
        <v>0</v>
      </c>
      <c r="I887" s="26">
        <v>91467.02</v>
      </c>
      <c r="J887" s="26">
        <v>0</v>
      </c>
      <c r="K887" s="26">
        <v>91467.02</v>
      </c>
      <c r="L887" s="27">
        <v>1</v>
      </c>
    </row>
    <row r="888" spans="1:12">
      <c r="A888" s="24" t="s">
        <v>66</v>
      </c>
      <c r="B888" s="24" t="s">
        <v>337</v>
      </c>
      <c r="C888" s="25">
        <v>45931</v>
      </c>
      <c r="D888" s="24" t="s">
        <v>2666</v>
      </c>
      <c r="E888" s="26">
        <v>0</v>
      </c>
      <c r="F888" s="26">
        <v>227754.29</v>
      </c>
      <c r="G888" s="26">
        <v>-227754.29</v>
      </c>
      <c r="H888" s="26">
        <v>107080.98</v>
      </c>
      <c r="I888" s="26">
        <v>-334835.27</v>
      </c>
      <c r="J888" s="26">
        <v>0</v>
      </c>
      <c r="K888" s="26">
        <v>-334835.27</v>
      </c>
      <c r="L888" s="27">
        <v>1.470160101045737</v>
      </c>
    </row>
    <row r="889" spans="1:12">
      <c r="A889" s="24" t="s">
        <v>66</v>
      </c>
      <c r="B889" s="24" t="s">
        <v>337</v>
      </c>
      <c r="C889" s="25">
        <v>45962</v>
      </c>
      <c r="D889" s="24" t="s">
        <v>2667</v>
      </c>
      <c r="E889" s="26">
        <v>0</v>
      </c>
      <c r="F889" s="26">
        <v>84953.43</v>
      </c>
      <c r="G889" s="26">
        <v>-84953.43</v>
      </c>
      <c r="H889" s="26">
        <v>0</v>
      </c>
      <c r="I889" s="26">
        <v>-84953.43</v>
      </c>
      <c r="J889" s="26">
        <v>0</v>
      </c>
      <c r="K889" s="26">
        <v>-84953.43</v>
      </c>
      <c r="L889" s="27">
        <v>1</v>
      </c>
    </row>
    <row r="890" spans="1:12">
      <c r="A890" s="24" t="s">
        <v>66</v>
      </c>
      <c r="B890" s="24" t="s">
        <v>337</v>
      </c>
      <c r="C890" s="25">
        <v>45992</v>
      </c>
      <c r="D890" s="24" t="s">
        <v>2668</v>
      </c>
      <c r="E890" s="26">
        <v>0</v>
      </c>
      <c r="F890" s="26">
        <v>0</v>
      </c>
      <c r="G890" s="26">
        <v>0</v>
      </c>
      <c r="H890" s="26">
        <v>0</v>
      </c>
      <c r="I890" s="26">
        <v>0</v>
      </c>
      <c r="J890" s="26">
        <v>0</v>
      </c>
      <c r="K890" s="26">
        <v>0</v>
      </c>
      <c r="L890" s="27">
        <v>0</v>
      </c>
    </row>
    <row r="891" spans="1:12">
      <c r="A891" s="24" t="s">
        <v>163</v>
      </c>
      <c r="B891" s="24" t="s">
        <v>324</v>
      </c>
      <c r="C891" s="25">
        <v>45658</v>
      </c>
      <c r="D891" s="24" t="s">
        <v>2657</v>
      </c>
      <c r="E891" s="26">
        <v>0</v>
      </c>
      <c r="F891" s="26">
        <v>0</v>
      </c>
      <c r="G891" s="26">
        <v>0</v>
      </c>
      <c r="H891" s="26">
        <v>0</v>
      </c>
      <c r="I891" s="26">
        <v>0</v>
      </c>
      <c r="J891" s="26">
        <v>0</v>
      </c>
      <c r="K891" s="26">
        <v>0</v>
      </c>
      <c r="L891" s="27">
        <v>0</v>
      </c>
    </row>
    <row r="892" spans="1:12">
      <c r="A892" s="24" t="s">
        <v>163</v>
      </c>
      <c r="B892" s="24" t="s">
        <v>324</v>
      </c>
      <c r="C892" s="25">
        <v>45689</v>
      </c>
      <c r="D892" s="24" t="s">
        <v>2658</v>
      </c>
      <c r="E892" s="26">
        <v>0</v>
      </c>
      <c r="F892" s="26">
        <v>0</v>
      </c>
      <c r="G892" s="26">
        <v>0</v>
      </c>
      <c r="H892" s="26">
        <v>0</v>
      </c>
      <c r="I892" s="26">
        <v>0</v>
      </c>
      <c r="J892" s="26">
        <v>0</v>
      </c>
      <c r="K892" s="26">
        <v>0</v>
      </c>
      <c r="L892" s="27">
        <v>0</v>
      </c>
    </row>
    <row r="893" spans="1:12">
      <c r="A893" s="24" t="s">
        <v>163</v>
      </c>
      <c r="B893" s="24" t="s">
        <v>324</v>
      </c>
      <c r="C893" s="25">
        <v>45717</v>
      </c>
      <c r="D893" s="24" t="s">
        <v>2659</v>
      </c>
      <c r="E893" s="26">
        <v>0</v>
      </c>
      <c r="F893" s="26">
        <v>0</v>
      </c>
      <c r="G893" s="26">
        <v>0</v>
      </c>
      <c r="H893" s="26">
        <v>0</v>
      </c>
      <c r="I893" s="26">
        <v>0</v>
      </c>
      <c r="J893" s="26">
        <v>0</v>
      </c>
      <c r="K893" s="26">
        <v>0</v>
      </c>
      <c r="L893" s="27">
        <v>0</v>
      </c>
    </row>
    <row r="894" spans="1:12">
      <c r="A894" s="24" t="s">
        <v>163</v>
      </c>
      <c r="B894" s="24" t="s">
        <v>324</v>
      </c>
      <c r="C894" s="25">
        <v>45748</v>
      </c>
      <c r="D894" s="24" t="s">
        <v>2660</v>
      </c>
      <c r="E894" s="26">
        <v>0</v>
      </c>
      <c r="F894" s="26">
        <v>0</v>
      </c>
      <c r="G894" s="26">
        <v>0</v>
      </c>
      <c r="H894" s="26">
        <v>0</v>
      </c>
      <c r="I894" s="26">
        <v>0</v>
      </c>
      <c r="J894" s="26">
        <v>0</v>
      </c>
      <c r="K894" s="26">
        <v>0</v>
      </c>
      <c r="L894" s="27">
        <v>0</v>
      </c>
    </row>
    <row r="895" spans="1:12">
      <c r="A895" s="24" t="s">
        <v>163</v>
      </c>
      <c r="B895" s="24" t="s">
        <v>324</v>
      </c>
      <c r="C895" s="25">
        <v>45778</v>
      </c>
      <c r="D895" s="24" t="s">
        <v>2661</v>
      </c>
      <c r="E895" s="26">
        <v>0</v>
      </c>
      <c r="F895" s="26">
        <v>0</v>
      </c>
      <c r="G895" s="26">
        <v>0</v>
      </c>
      <c r="H895" s="26">
        <v>0</v>
      </c>
      <c r="I895" s="26">
        <v>0</v>
      </c>
      <c r="J895" s="26">
        <v>0</v>
      </c>
      <c r="K895" s="26">
        <v>0</v>
      </c>
      <c r="L895" s="27">
        <v>0</v>
      </c>
    </row>
    <row r="896" spans="1:12">
      <c r="A896" s="24" t="s">
        <v>163</v>
      </c>
      <c r="B896" s="24" t="s">
        <v>324</v>
      </c>
      <c r="C896" s="25">
        <v>45809</v>
      </c>
      <c r="D896" s="24" t="s">
        <v>2662</v>
      </c>
      <c r="E896" s="26">
        <v>0</v>
      </c>
      <c r="F896" s="26">
        <v>0</v>
      </c>
      <c r="G896" s="26">
        <v>0</v>
      </c>
      <c r="H896" s="26">
        <v>0</v>
      </c>
      <c r="I896" s="26">
        <v>0</v>
      </c>
      <c r="J896" s="26">
        <v>0</v>
      </c>
      <c r="K896" s="26">
        <v>0</v>
      </c>
      <c r="L896" s="27">
        <v>0</v>
      </c>
    </row>
    <row r="897" spans="1:12">
      <c r="A897" s="24" t="s">
        <v>163</v>
      </c>
      <c r="B897" s="24" t="s">
        <v>324</v>
      </c>
      <c r="C897" s="25">
        <v>45839</v>
      </c>
      <c r="D897" s="24" t="s">
        <v>2663</v>
      </c>
      <c r="E897" s="26">
        <v>0</v>
      </c>
      <c r="F897" s="26">
        <v>0</v>
      </c>
      <c r="G897" s="26">
        <v>0</v>
      </c>
      <c r="H897" s="26">
        <v>0</v>
      </c>
      <c r="I897" s="26">
        <v>0</v>
      </c>
      <c r="J897" s="26">
        <v>0</v>
      </c>
      <c r="K897" s="26">
        <v>0</v>
      </c>
      <c r="L897" s="27">
        <v>0</v>
      </c>
    </row>
    <row r="898" spans="1:12">
      <c r="A898" s="24" t="s">
        <v>163</v>
      </c>
      <c r="B898" s="24" t="s">
        <v>324</v>
      </c>
      <c r="C898" s="25">
        <v>45870</v>
      </c>
      <c r="D898" s="24" t="s">
        <v>2664</v>
      </c>
      <c r="E898" s="26">
        <v>0</v>
      </c>
      <c r="F898" s="26">
        <v>0</v>
      </c>
      <c r="G898" s="26">
        <v>0</v>
      </c>
      <c r="H898" s="26">
        <v>0</v>
      </c>
      <c r="I898" s="26">
        <v>0</v>
      </c>
      <c r="J898" s="26">
        <v>0</v>
      </c>
      <c r="K898" s="26">
        <v>0</v>
      </c>
      <c r="L898" s="27">
        <v>0</v>
      </c>
    </row>
    <row r="899" spans="1:12">
      <c r="A899" s="24" t="s">
        <v>163</v>
      </c>
      <c r="B899" s="24" t="s">
        <v>324</v>
      </c>
      <c r="C899" s="25">
        <v>45901</v>
      </c>
      <c r="D899" s="24" t="s">
        <v>2665</v>
      </c>
      <c r="E899" s="26">
        <v>0</v>
      </c>
      <c r="F899" s="26">
        <v>0</v>
      </c>
      <c r="G899" s="26">
        <v>0</v>
      </c>
      <c r="H899" s="26">
        <v>0</v>
      </c>
      <c r="I899" s="26">
        <v>0</v>
      </c>
      <c r="J899" s="26">
        <v>0</v>
      </c>
      <c r="K899" s="26">
        <v>0</v>
      </c>
      <c r="L899" s="27">
        <v>0</v>
      </c>
    </row>
    <row r="900" spans="1:12">
      <c r="A900" s="24" t="s">
        <v>163</v>
      </c>
      <c r="B900" s="24" t="s">
        <v>324</v>
      </c>
      <c r="C900" s="25">
        <v>45931</v>
      </c>
      <c r="D900" s="24" t="s">
        <v>2666</v>
      </c>
      <c r="E900" s="26">
        <v>0</v>
      </c>
      <c r="F900" s="26">
        <v>24362.48</v>
      </c>
      <c r="G900" s="26">
        <v>-24362.48</v>
      </c>
      <c r="H900" s="26">
        <v>0</v>
      </c>
      <c r="I900" s="26">
        <v>-24362.48</v>
      </c>
      <c r="J900" s="26">
        <v>0</v>
      </c>
      <c r="K900" s="26">
        <v>-24362.48</v>
      </c>
      <c r="L900" s="27">
        <v>1</v>
      </c>
    </row>
    <row r="901" spans="1:12">
      <c r="A901" s="24" t="s">
        <v>163</v>
      </c>
      <c r="B901" s="24" t="s">
        <v>324</v>
      </c>
      <c r="C901" s="25">
        <v>45962</v>
      </c>
      <c r="D901" s="24" t="s">
        <v>2667</v>
      </c>
      <c r="E901" s="26">
        <v>0</v>
      </c>
      <c r="F901" s="26">
        <v>0</v>
      </c>
      <c r="G901" s="26">
        <v>0</v>
      </c>
      <c r="H901" s="26">
        <v>0</v>
      </c>
      <c r="I901" s="26">
        <v>0</v>
      </c>
      <c r="J901" s="26">
        <v>0</v>
      </c>
      <c r="K901" s="26">
        <v>0</v>
      </c>
      <c r="L901" s="27">
        <v>0</v>
      </c>
    </row>
    <row r="902" spans="1:12">
      <c r="A902" s="24" t="s">
        <v>163</v>
      </c>
      <c r="B902" s="24" t="s">
        <v>324</v>
      </c>
      <c r="C902" s="25">
        <v>45992</v>
      </c>
      <c r="D902" s="24" t="s">
        <v>2668</v>
      </c>
      <c r="E902" s="26">
        <v>0</v>
      </c>
      <c r="F902" s="26">
        <v>0</v>
      </c>
      <c r="G902" s="26">
        <v>0</v>
      </c>
      <c r="H902" s="26">
        <v>0</v>
      </c>
      <c r="I902" s="26">
        <v>0</v>
      </c>
      <c r="J902" s="26">
        <v>0</v>
      </c>
      <c r="K902" s="26">
        <v>0</v>
      </c>
      <c r="L902" s="27">
        <v>0</v>
      </c>
    </row>
    <row r="903" spans="1:12">
      <c r="A903" s="24" t="s">
        <v>168</v>
      </c>
      <c r="B903" s="24" t="s">
        <v>318</v>
      </c>
      <c r="C903" s="25">
        <v>45658</v>
      </c>
      <c r="D903" s="24" t="s">
        <v>2657</v>
      </c>
      <c r="E903" s="26">
        <v>0</v>
      </c>
      <c r="F903" s="26">
        <v>0</v>
      </c>
      <c r="G903" s="26">
        <v>0</v>
      </c>
      <c r="H903" s="26">
        <v>0</v>
      </c>
      <c r="I903" s="26">
        <v>0</v>
      </c>
      <c r="J903" s="26">
        <v>0</v>
      </c>
      <c r="K903" s="26">
        <v>0</v>
      </c>
      <c r="L903" s="27">
        <v>0</v>
      </c>
    </row>
    <row r="904" spans="1:12">
      <c r="A904" s="24" t="s">
        <v>168</v>
      </c>
      <c r="B904" s="24" t="s">
        <v>318</v>
      </c>
      <c r="C904" s="25">
        <v>45689</v>
      </c>
      <c r="D904" s="24" t="s">
        <v>2658</v>
      </c>
      <c r="E904" s="26">
        <v>0</v>
      </c>
      <c r="F904" s="26">
        <v>0</v>
      </c>
      <c r="G904" s="26">
        <v>0</v>
      </c>
      <c r="H904" s="26">
        <v>0</v>
      </c>
      <c r="I904" s="26">
        <v>0</v>
      </c>
      <c r="J904" s="26">
        <v>0</v>
      </c>
      <c r="K904" s="26">
        <v>0</v>
      </c>
      <c r="L904" s="27">
        <v>0</v>
      </c>
    </row>
    <row r="905" spans="1:12">
      <c r="A905" s="24" t="s">
        <v>168</v>
      </c>
      <c r="B905" s="24" t="s">
        <v>318</v>
      </c>
      <c r="C905" s="25">
        <v>45717</v>
      </c>
      <c r="D905" s="24" t="s">
        <v>2659</v>
      </c>
      <c r="E905" s="26">
        <v>0</v>
      </c>
      <c r="F905" s="26">
        <v>0</v>
      </c>
      <c r="G905" s="26">
        <v>0</v>
      </c>
      <c r="H905" s="26">
        <v>0</v>
      </c>
      <c r="I905" s="26">
        <v>0</v>
      </c>
      <c r="J905" s="26">
        <v>0</v>
      </c>
      <c r="K905" s="26">
        <v>0</v>
      </c>
      <c r="L905" s="27">
        <v>0</v>
      </c>
    </row>
    <row r="906" spans="1:12">
      <c r="A906" s="24" t="s">
        <v>168</v>
      </c>
      <c r="B906" s="24" t="s">
        <v>318</v>
      </c>
      <c r="C906" s="25">
        <v>45748</v>
      </c>
      <c r="D906" s="24" t="s">
        <v>2660</v>
      </c>
      <c r="E906" s="26">
        <v>0</v>
      </c>
      <c r="F906" s="26">
        <v>0</v>
      </c>
      <c r="G906" s="26">
        <v>0</v>
      </c>
      <c r="H906" s="26">
        <v>0</v>
      </c>
      <c r="I906" s="26">
        <v>0</v>
      </c>
      <c r="J906" s="26">
        <v>0</v>
      </c>
      <c r="K906" s="26">
        <v>0</v>
      </c>
      <c r="L906" s="27">
        <v>0</v>
      </c>
    </row>
    <row r="907" spans="1:12">
      <c r="A907" s="24" t="s">
        <v>168</v>
      </c>
      <c r="B907" s="24" t="s">
        <v>318</v>
      </c>
      <c r="C907" s="25">
        <v>45778</v>
      </c>
      <c r="D907" s="24" t="s">
        <v>2661</v>
      </c>
      <c r="E907" s="26">
        <v>0</v>
      </c>
      <c r="F907" s="26">
        <v>0</v>
      </c>
      <c r="G907" s="26">
        <v>0</v>
      </c>
      <c r="H907" s="26">
        <v>0</v>
      </c>
      <c r="I907" s="26">
        <v>0</v>
      </c>
      <c r="J907" s="26">
        <v>0</v>
      </c>
      <c r="K907" s="26">
        <v>0</v>
      </c>
      <c r="L907" s="27">
        <v>0</v>
      </c>
    </row>
    <row r="908" spans="1:12">
      <c r="A908" s="24" t="s">
        <v>168</v>
      </c>
      <c r="B908" s="24" t="s">
        <v>318</v>
      </c>
      <c r="C908" s="25">
        <v>45809</v>
      </c>
      <c r="D908" s="24" t="s">
        <v>2662</v>
      </c>
      <c r="E908" s="26">
        <v>0</v>
      </c>
      <c r="F908" s="26">
        <v>0</v>
      </c>
      <c r="G908" s="26">
        <v>0</v>
      </c>
      <c r="H908" s="26">
        <v>0</v>
      </c>
      <c r="I908" s="26">
        <v>0</v>
      </c>
      <c r="J908" s="26">
        <v>0</v>
      </c>
      <c r="K908" s="26">
        <v>0</v>
      </c>
      <c r="L908" s="27">
        <v>0</v>
      </c>
    </row>
    <row r="909" spans="1:12">
      <c r="A909" s="24" t="s">
        <v>168</v>
      </c>
      <c r="B909" s="24" t="s">
        <v>318</v>
      </c>
      <c r="C909" s="25">
        <v>45839</v>
      </c>
      <c r="D909" s="24" t="s">
        <v>2663</v>
      </c>
      <c r="E909" s="26">
        <v>0</v>
      </c>
      <c r="F909" s="26">
        <v>0</v>
      </c>
      <c r="G909" s="26">
        <v>0</v>
      </c>
      <c r="H909" s="26">
        <v>0</v>
      </c>
      <c r="I909" s="26">
        <v>0</v>
      </c>
      <c r="J909" s="26">
        <v>0</v>
      </c>
      <c r="K909" s="26">
        <v>0</v>
      </c>
      <c r="L909" s="27">
        <v>0</v>
      </c>
    </row>
    <row r="910" spans="1:12">
      <c r="A910" s="24" t="s">
        <v>168</v>
      </c>
      <c r="B910" s="24" t="s">
        <v>318</v>
      </c>
      <c r="C910" s="25">
        <v>45870</v>
      </c>
      <c r="D910" s="24" t="s">
        <v>2664</v>
      </c>
      <c r="E910" s="26">
        <v>0</v>
      </c>
      <c r="F910" s="26">
        <v>0</v>
      </c>
      <c r="G910" s="26">
        <v>0</v>
      </c>
      <c r="H910" s="26">
        <v>69499.44</v>
      </c>
      <c r="I910" s="26">
        <v>-69499.44</v>
      </c>
      <c r="J910" s="26">
        <v>0</v>
      </c>
      <c r="K910" s="26">
        <v>-69499.44</v>
      </c>
      <c r="L910" s="27">
        <v>0</v>
      </c>
    </row>
    <row r="911" spans="1:12">
      <c r="A911" s="24" t="s">
        <v>168</v>
      </c>
      <c r="B911" s="24" t="s">
        <v>318</v>
      </c>
      <c r="C911" s="25">
        <v>45901</v>
      </c>
      <c r="D911" s="24" t="s">
        <v>2665</v>
      </c>
      <c r="E911" s="26">
        <v>0</v>
      </c>
      <c r="F911" s="26">
        <v>0</v>
      </c>
      <c r="G911" s="26">
        <v>0</v>
      </c>
      <c r="H911" s="26">
        <v>0</v>
      </c>
      <c r="I911" s="26">
        <v>0</v>
      </c>
      <c r="J911" s="26">
        <v>0</v>
      </c>
      <c r="K911" s="26">
        <v>0</v>
      </c>
      <c r="L911" s="27">
        <v>0</v>
      </c>
    </row>
    <row r="912" spans="1:12">
      <c r="A912" s="24" t="s">
        <v>168</v>
      </c>
      <c r="B912" s="24" t="s">
        <v>318</v>
      </c>
      <c r="C912" s="25">
        <v>45931</v>
      </c>
      <c r="D912" s="24" t="s">
        <v>2666</v>
      </c>
      <c r="E912" s="26">
        <v>11622.52</v>
      </c>
      <c r="F912" s="26">
        <v>0</v>
      </c>
      <c r="G912" s="26">
        <v>11622.52</v>
      </c>
      <c r="H912" s="26">
        <v>0</v>
      </c>
      <c r="I912" s="26">
        <v>11622.52</v>
      </c>
      <c r="J912" s="26">
        <v>0</v>
      </c>
      <c r="K912" s="26">
        <v>11622.52</v>
      </c>
      <c r="L912" s="27">
        <v>1</v>
      </c>
    </row>
    <row r="913" spans="1:12">
      <c r="A913" s="24" t="s">
        <v>168</v>
      </c>
      <c r="B913" s="24" t="s">
        <v>318</v>
      </c>
      <c r="C913" s="25">
        <v>45962</v>
      </c>
      <c r="D913" s="24" t="s">
        <v>2667</v>
      </c>
      <c r="E913" s="26">
        <v>7261</v>
      </c>
      <c r="F913" s="26">
        <v>0</v>
      </c>
      <c r="G913" s="26">
        <v>7261</v>
      </c>
      <c r="H913" s="26">
        <v>0</v>
      </c>
      <c r="I913" s="26">
        <v>7261</v>
      </c>
      <c r="J913" s="26">
        <v>0</v>
      </c>
      <c r="K913" s="26">
        <v>7261</v>
      </c>
      <c r="L913" s="27">
        <v>1</v>
      </c>
    </row>
    <row r="914" spans="1:12">
      <c r="A914" s="24" t="s">
        <v>168</v>
      </c>
      <c r="B914" s="24" t="s">
        <v>318</v>
      </c>
      <c r="C914" s="25">
        <v>45992</v>
      </c>
      <c r="D914" s="24" t="s">
        <v>2668</v>
      </c>
      <c r="E914" s="26">
        <v>7163.65</v>
      </c>
      <c r="F914" s="26">
        <v>0</v>
      </c>
      <c r="G914" s="26">
        <v>7163.65</v>
      </c>
      <c r="H914" s="26">
        <v>45301.65</v>
      </c>
      <c r="I914" s="26">
        <v>-38138</v>
      </c>
      <c r="J914" s="26">
        <v>0</v>
      </c>
      <c r="K914" s="26">
        <v>-38138</v>
      </c>
      <c r="L914" s="27">
        <v>-5.3238223531300388</v>
      </c>
    </row>
    <row r="915" spans="1:12">
      <c r="A915" s="24" t="s">
        <v>108</v>
      </c>
      <c r="B915" s="24" t="s">
        <v>345</v>
      </c>
      <c r="C915" s="25">
        <v>45658</v>
      </c>
      <c r="D915" s="24" t="s">
        <v>2657</v>
      </c>
      <c r="E915" s="26">
        <v>0</v>
      </c>
      <c r="F915" s="26">
        <v>0</v>
      </c>
      <c r="G915" s="26">
        <v>0</v>
      </c>
      <c r="H915" s="26">
        <v>0</v>
      </c>
      <c r="I915" s="26">
        <v>0</v>
      </c>
      <c r="J915" s="26">
        <v>0</v>
      </c>
      <c r="K915" s="26">
        <v>0</v>
      </c>
      <c r="L915" s="27">
        <v>0</v>
      </c>
    </row>
    <row r="916" spans="1:12">
      <c r="A916" s="24" t="s">
        <v>108</v>
      </c>
      <c r="B916" s="24" t="s">
        <v>345</v>
      </c>
      <c r="C916" s="25">
        <v>45689</v>
      </c>
      <c r="D916" s="24" t="s">
        <v>2658</v>
      </c>
      <c r="E916" s="26">
        <v>0</v>
      </c>
      <c r="F916" s="26">
        <v>0</v>
      </c>
      <c r="G916" s="26">
        <v>0</v>
      </c>
      <c r="H916" s="26">
        <v>0</v>
      </c>
      <c r="I916" s="26">
        <v>0</v>
      </c>
      <c r="J916" s="26">
        <v>0</v>
      </c>
      <c r="K916" s="26">
        <v>0</v>
      </c>
      <c r="L916" s="27">
        <v>0</v>
      </c>
    </row>
    <row r="917" spans="1:12">
      <c r="A917" s="24" t="s">
        <v>108</v>
      </c>
      <c r="B917" s="24" t="s">
        <v>345</v>
      </c>
      <c r="C917" s="25">
        <v>45717</v>
      </c>
      <c r="D917" s="24" t="s">
        <v>2659</v>
      </c>
      <c r="E917" s="26">
        <v>0</v>
      </c>
      <c r="F917" s="26">
        <v>0</v>
      </c>
      <c r="G917" s="26">
        <v>0</v>
      </c>
      <c r="H917" s="26">
        <v>0</v>
      </c>
      <c r="I917" s="26">
        <v>0</v>
      </c>
      <c r="J917" s="26">
        <v>0</v>
      </c>
      <c r="K917" s="26">
        <v>0</v>
      </c>
      <c r="L917" s="27">
        <v>0</v>
      </c>
    </row>
    <row r="918" spans="1:12">
      <c r="A918" s="24" t="s">
        <v>108</v>
      </c>
      <c r="B918" s="24" t="s">
        <v>345</v>
      </c>
      <c r="C918" s="25">
        <v>45748</v>
      </c>
      <c r="D918" s="24" t="s">
        <v>2660</v>
      </c>
      <c r="E918" s="26">
        <v>0</v>
      </c>
      <c r="F918" s="26">
        <v>0</v>
      </c>
      <c r="G918" s="26">
        <v>0</v>
      </c>
      <c r="H918" s="26">
        <v>0</v>
      </c>
      <c r="I918" s="26">
        <v>0</v>
      </c>
      <c r="J918" s="26">
        <v>0</v>
      </c>
      <c r="K918" s="26">
        <v>0</v>
      </c>
      <c r="L918" s="27">
        <v>0</v>
      </c>
    </row>
    <row r="919" spans="1:12">
      <c r="A919" s="24" t="s">
        <v>108</v>
      </c>
      <c r="B919" s="24" t="s">
        <v>345</v>
      </c>
      <c r="C919" s="25">
        <v>45778</v>
      </c>
      <c r="D919" s="24" t="s">
        <v>2661</v>
      </c>
      <c r="E919" s="26">
        <v>0</v>
      </c>
      <c r="F919" s="26">
        <v>0</v>
      </c>
      <c r="G919" s="26">
        <v>0</v>
      </c>
      <c r="H919" s="26">
        <v>0</v>
      </c>
      <c r="I919" s="26">
        <v>0</v>
      </c>
      <c r="J919" s="26">
        <v>0</v>
      </c>
      <c r="K919" s="26">
        <v>0</v>
      </c>
      <c r="L919" s="27">
        <v>0</v>
      </c>
    </row>
    <row r="920" spans="1:12">
      <c r="A920" s="24" t="s">
        <v>108</v>
      </c>
      <c r="B920" s="24" t="s">
        <v>345</v>
      </c>
      <c r="C920" s="25">
        <v>45809</v>
      </c>
      <c r="D920" s="24" t="s">
        <v>2662</v>
      </c>
      <c r="E920" s="26">
        <v>0</v>
      </c>
      <c r="F920" s="26">
        <v>0</v>
      </c>
      <c r="G920" s="26">
        <v>0</v>
      </c>
      <c r="H920" s="26">
        <v>0</v>
      </c>
      <c r="I920" s="26">
        <v>0</v>
      </c>
      <c r="J920" s="26">
        <v>0</v>
      </c>
      <c r="K920" s="26">
        <v>0</v>
      </c>
      <c r="L920" s="27">
        <v>0</v>
      </c>
    </row>
    <row r="921" spans="1:12">
      <c r="A921" s="24" t="s">
        <v>108</v>
      </c>
      <c r="B921" s="24" t="s">
        <v>345</v>
      </c>
      <c r="C921" s="25">
        <v>45839</v>
      </c>
      <c r="D921" s="24" t="s">
        <v>2663</v>
      </c>
      <c r="E921" s="26">
        <v>79670.070000000007</v>
      </c>
      <c r="F921" s="26">
        <v>0</v>
      </c>
      <c r="G921" s="26">
        <v>79670.070000000007</v>
      </c>
      <c r="H921" s="26">
        <v>0</v>
      </c>
      <c r="I921" s="26">
        <v>79670.070000000007</v>
      </c>
      <c r="J921" s="26">
        <v>0</v>
      </c>
      <c r="K921" s="26">
        <v>79670.070000000007</v>
      </c>
      <c r="L921" s="27">
        <v>1</v>
      </c>
    </row>
    <row r="922" spans="1:12">
      <c r="A922" s="24" t="s">
        <v>108</v>
      </c>
      <c r="B922" s="24" t="s">
        <v>345</v>
      </c>
      <c r="C922" s="25">
        <v>45870</v>
      </c>
      <c r="D922" s="24" t="s">
        <v>2664</v>
      </c>
      <c r="E922" s="26">
        <v>65487.11</v>
      </c>
      <c r="F922" s="26">
        <v>0</v>
      </c>
      <c r="G922" s="26">
        <v>65487.11</v>
      </c>
      <c r="H922" s="26">
        <v>0</v>
      </c>
      <c r="I922" s="26">
        <v>65487.11</v>
      </c>
      <c r="J922" s="26">
        <v>0</v>
      </c>
      <c r="K922" s="26">
        <v>65487.11</v>
      </c>
      <c r="L922" s="27">
        <v>1</v>
      </c>
    </row>
    <row r="923" spans="1:12">
      <c r="A923" s="24" t="s">
        <v>108</v>
      </c>
      <c r="B923" s="24" t="s">
        <v>345</v>
      </c>
      <c r="C923" s="25">
        <v>45901</v>
      </c>
      <c r="D923" s="24" t="s">
        <v>2665</v>
      </c>
      <c r="E923" s="26">
        <v>41546.9</v>
      </c>
      <c r="F923" s="26">
        <v>0</v>
      </c>
      <c r="G923" s="26">
        <v>41546.9</v>
      </c>
      <c r="H923" s="26">
        <v>0</v>
      </c>
      <c r="I923" s="26">
        <v>41546.9</v>
      </c>
      <c r="J923" s="26">
        <v>0</v>
      </c>
      <c r="K923" s="26">
        <v>41546.9</v>
      </c>
      <c r="L923" s="27">
        <v>1</v>
      </c>
    </row>
    <row r="924" spans="1:12">
      <c r="A924" s="24" t="s">
        <v>108</v>
      </c>
      <c r="B924" s="24" t="s">
        <v>345</v>
      </c>
      <c r="C924" s="25">
        <v>45931</v>
      </c>
      <c r="D924" s="24" t="s">
        <v>2666</v>
      </c>
      <c r="E924" s="26">
        <v>0</v>
      </c>
      <c r="F924" s="26">
        <v>0</v>
      </c>
      <c r="G924" s="26">
        <v>0</v>
      </c>
      <c r="H924" s="26">
        <v>100452.99</v>
      </c>
      <c r="I924" s="26">
        <v>-100452.99</v>
      </c>
      <c r="J924" s="26">
        <v>0</v>
      </c>
      <c r="K924" s="26">
        <v>-100452.99</v>
      </c>
      <c r="L924" s="27">
        <v>0</v>
      </c>
    </row>
    <row r="925" spans="1:12">
      <c r="A925" s="24" t="s">
        <v>108</v>
      </c>
      <c r="B925" s="24" t="s">
        <v>345</v>
      </c>
      <c r="C925" s="25">
        <v>45962</v>
      </c>
      <c r="D925" s="24" t="s">
        <v>2667</v>
      </c>
      <c r="E925" s="26">
        <v>0</v>
      </c>
      <c r="F925" s="26">
        <v>445970.16</v>
      </c>
      <c r="G925" s="26">
        <v>-445970.16</v>
      </c>
      <c r="H925" s="26">
        <v>74989.89</v>
      </c>
      <c r="I925" s="26">
        <v>-520960.05</v>
      </c>
      <c r="J925" s="26">
        <v>0</v>
      </c>
      <c r="K925" s="26">
        <v>-520960.05</v>
      </c>
      <c r="L925" s="27">
        <v>1.1681500170325301</v>
      </c>
    </row>
    <row r="926" spans="1:12">
      <c r="A926" s="24" t="s">
        <v>108</v>
      </c>
      <c r="B926" s="24" t="s">
        <v>345</v>
      </c>
      <c r="C926" s="25">
        <v>45992</v>
      </c>
      <c r="D926" s="24" t="s">
        <v>2668</v>
      </c>
      <c r="E926" s="26">
        <v>34308.800000000003</v>
      </c>
      <c r="F926" s="26">
        <v>0</v>
      </c>
      <c r="G926" s="26">
        <v>34308.800000000003</v>
      </c>
      <c r="H926" s="26">
        <v>0</v>
      </c>
      <c r="I926" s="26">
        <v>34308.800000000003</v>
      </c>
      <c r="J926" s="26">
        <v>0</v>
      </c>
      <c r="K926" s="26">
        <v>34308.800000000003</v>
      </c>
      <c r="L926" s="27">
        <v>1</v>
      </c>
    </row>
    <row r="927" spans="1:12">
      <c r="A927" s="24" t="s">
        <v>51</v>
      </c>
      <c r="B927" s="24" t="s">
        <v>345</v>
      </c>
      <c r="C927" s="25">
        <v>45658</v>
      </c>
      <c r="D927" s="24" t="s">
        <v>2657</v>
      </c>
      <c r="E927" s="26">
        <v>0</v>
      </c>
      <c r="F927" s="26">
        <v>0</v>
      </c>
      <c r="G927" s="26">
        <v>0</v>
      </c>
      <c r="H927" s="26">
        <v>0</v>
      </c>
      <c r="I927" s="26">
        <v>0</v>
      </c>
      <c r="J927" s="26">
        <v>0</v>
      </c>
      <c r="K927" s="26">
        <v>0</v>
      </c>
      <c r="L927" s="27">
        <v>0</v>
      </c>
    </row>
    <row r="928" spans="1:12">
      <c r="A928" s="24" t="s">
        <v>51</v>
      </c>
      <c r="B928" s="24" t="s">
        <v>345</v>
      </c>
      <c r="C928" s="25">
        <v>45689</v>
      </c>
      <c r="D928" s="24" t="s">
        <v>2658</v>
      </c>
      <c r="E928" s="26">
        <v>0</v>
      </c>
      <c r="F928" s="26">
        <v>0</v>
      </c>
      <c r="G928" s="26">
        <v>0</v>
      </c>
      <c r="H928" s="26">
        <v>0</v>
      </c>
      <c r="I928" s="26">
        <v>0</v>
      </c>
      <c r="J928" s="26">
        <v>0</v>
      </c>
      <c r="K928" s="26">
        <v>0</v>
      </c>
      <c r="L928" s="27">
        <v>0</v>
      </c>
    </row>
    <row r="929" spans="1:12">
      <c r="A929" s="24" t="s">
        <v>51</v>
      </c>
      <c r="B929" s="24" t="s">
        <v>345</v>
      </c>
      <c r="C929" s="25">
        <v>45717</v>
      </c>
      <c r="D929" s="24" t="s">
        <v>2659</v>
      </c>
      <c r="E929" s="26">
        <v>0</v>
      </c>
      <c r="F929" s="26">
        <v>0</v>
      </c>
      <c r="G929" s="26">
        <v>0</v>
      </c>
      <c r="H929" s="26">
        <v>0</v>
      </c>
      <c r="I929" s="26">
        <v>0</v>
      </c>
      <c r="J929" s="26">
        <v>0</v>
      </c>
      <c r="K929" s="26">
        <v>0</v>
      </c>
      <c r="L929" s="27">
        <v>0</v>
      </c>
    </row>
    <row r="930" spans="1:12">
      <c r="A930" s="24" t="s">
        <v>51</v>
      </c>
      <c r="B930" s="24" t="s">
        <v>345</v>
      </c>
      <c r="C930" s="25">
        <v>45748</v>
      </c>
      <c r="D930" s="24" t="s">
        <v>2660</v>
      </c>
      <c r="E930" s="26">
        <v>0</v>
      </c>
      <c r="F930" s="26">
        <v>0</v>
      </c>
      <c r="G930" s="26">
        <v>0</v>
      </c>
      <c r="H930" s="26">
        <v>0</v>
      </c>
      <c r="I930" s="26">
        <v>0</v>
      </c>
      <c r="J930" s="26">
        <v>0</v>
      </c>
      <c r="K930" s="26">
        <v>0</v>
      </c>
      <c r="L930" s="27">
        <v>0</v>
      </c>
    </row>
    <row r="931" spans="1:12">
      <c r="A931" s="24" t="s">
        <v>51</v>
      </c>
      <c r="B931" s="24" t="s">
        <v>345</v>
      </c>
      <c r="C931" s="25">
        <v>45778</v>
      </c>
      <c r="D931" s="24" t="s">
        <v>2661</v>
      </c>
      <c r="E931" s="26">
        <v>0</v>
      </c>
      <c r="F931" s="26">
        <v>0</v>
      </c>
      <c r="G931" s="26">
        <v>0</v>
      </c>
      <c r="H931" s="26">
        <v>0</v>
      </c>
      <c r="I931" s="26">
        <v>0</v>
      </c>
      <c r="J931" s="26">
        <v>0</v>
      </c>
      <c r="K931" s="26">
        <v>0</v>
      </c>
      <c r="L931" s="27">
        <v>0</v>
      </c>
    </row>
    <row r="932" spans="1:12">
      <c r="A932" s="24" t="s">
        <v>51</v>
      </c>
      <c r="B932" s="24" t="s">
        <v>345</v>
      </c>
      <c r="C932" s="25">
        <v>45809</v>
      </c>
      <c r="D932" s="24" t="s">
        <v>2662</v>
      </c>
      <c r="E932" s="26">
        <v>0</v>
      </c>
      <c r="F932" s="26">
        <v>0</v>
      </c>
      <c r="G932" s="26">
        <v>0</v>
      </c>
      <c r="H932" s="26">
        <v>0</v>
      </c>
      <c r="I932" s="26">
        <v>0</v>
      </c>
      <c r="J932" s="26">
        <v>0</v>
      </c>
      <c r="K932" s="26">
        <v>0</v>
      </c>
      <c r="L932" s="27">
        <v>0</v>
      </c>
    </row>
    <row r="933" spans="1:12">
      <c r="A933" s="24" t="s">
        <v>51</v>
      </c>
      <c r="B933" s="24" t="s">
        <v>345</v>
      </c>
      <c r="C933" s="25">
        <v>45839</v>
      </c>
      <c r="D933" s="24" t="s">
        <v>2663</v>
      </c>
      <c r="E933" s="26">
        <v>0</v>
      </c>
      <c r="F933" s="26">
        <v>0</v>
      </c>
      <c r="G933" s="26">
        <v>0</v>
      </c>
      <c r="H933" s="26">
        <v>17692.12</v>
      </c>
      <c r="I933" s="26">
        <v>-17692.12</v>
      </c>
      <c r="J933" s="26">
        <v>0</v>
      </c>
      <c r="K933" s="26">
        <v>-17692.12</v>
      </c>
      <c r="L933" s="27">
        <v>0</v>
      </c>
    </row>
    <row r="934" spans="1:12">
      <c r="A934" s="24" t="s">
        <v>51</v>
      </c>
      <c r="B934" s="24" t="s">
        <v>345</v>
      </c>
      <c r="C934" s="25">
        <v>45870</v>
      </c>
      <c r="D934" s="24" t="s">
        <v>2664</v>
      </c>
      <c r="E934" s="26">
        <v>0</v>
      </c>
      <c r="F934" s="26">
        <v>0</v>
      </c>
      <c r="G934" s="26">
        <v>0</v>
      </c>
      <c r="H934" s="26">
        <v>0</v>
      </c>
      <c r="I934" s="26">
        <v>0</v>
      </c>
      <c r="J934" s="26">
        <v>0</v>
      </c>
      <c r="K934" s="26">
        <v>0</v>
      </c>
      <c r="L934" s="27">
        <v>0</v>
      </c>
    </row>
    <row r="935" spans="1:12">
      <c r="A935" s="24" t="s">
        <v>51</v>
      </c>
      <c r="B935" s="24" t="s">
        <v>345</v>
      </c>
      <c r="C935" s="25">
        <v>45901</v>
      </c>
      <c r="D935" s="24" t="s">
        <v>2665</v>
      </c>
      <c r="E935" s="26">
        <v>0</v>
      </c>
      <c r="F935" s="26">
        <v>0</v>
      </c>
      <c r="G935" s="26">
        <v>0</v>
      </c>
      <c r="H935" s="26">
        <v>0</v>
      </c>
      <c r="I935" s="26">
        <v>0</v>
      </c>
      <c r="J935" s="26">
        <v>0</v>
      </c>
      <c r="K935" s="26">
        <v>0</v>
      </c>
      <c r="L935" s="27">
        <v>0</v>
      </c>
    </row>
    <row r="936" spans="1:12">
      <c r="A936" s="24" t="s">
        <v>51</v>
      </c>
      <c r="B936" s="24" t="s">
        <v>345</v>
      </c>
      <c r="C936" s="25">
        <v>45931</v>
      </c>
      <c r="D936" s="24" t="s">
        <v>2666</v>
      </c>
      <c r="E936" s="26">
        <v>8833.89</v>
      </c>
      <c r="F936" s="26">
        <v>0</v>
      </c>
      <c r="G936" s="26">
        <v>8833.89</v>
      </c>
      <c r="H936" s="26">
        <v>0</v>
      </c>
      <c r="I936" s="26">
        <v>8833.89</v>
      </c>
      <c r="J936" s="26">
        <v>0</v>
      </c>
      <c r="K936" s="26">
        <v>8833.89</v>
      </c>
      <c r="L936" s="27">
        <v>1</v>
      </c>
    </row>
    <row r="937" spans="1:12">
      <c r="A937" s="24" t="s">
        <v>51</v>
      </c>
      <c r="B937" s="24" t="s">
        <v>345</v>
      </c>
      <c r="C937" s="25">
        <v>45962</v>
      </c>
      <c r="D937" s="24" t="s">
        <v>2667</v>
      </c>
      <c r="E937" s="26">
        <v>0</v>
      </c>
      <c r="F937" s="26">
        <v>0</v>
      </c>
      <c r="G937" s="26">
        <v>0</v>
      </c>
      <c r="H937" s="26">
        <v>0</v>
      </c>
      <c r="I937" s="26">
        <v>0</v>
      </c>
      <c r="J937" s="26">
        <v>0</v>
      </c>
      <c r="K937" s="26">
        <v>0</v>
      </c>
      <c r="L937" s="27">
        <v>0</v>
      </c>
    </row>
    <row r="938" spans="1:12">
      <c r="A938" s="24" t="s">
        <v>51</v>
      </c>
      <c r="B938" s="24" t="s">
        <v>345</v>
      </c>
      <c r="C938" s="25">
        <v>45992</v>
      </c>
      <c r="D938" s="24" t="s">
        <v>2668</v>
      </c>
      <c r="E938" s="26">
        <v>0</v>
      </c>
      <c r="F938" s="26">
        <v>0</v>
      </c>
      <c r="G938" s="26">
        <v>0</v>
      </c>
      <c r="H938" s="26">
        <v>0</v>
      </c>
      <c r="I938" s="26">
        <v>0</v>
      </c>
      <c r="J938" s="26">
        <v>0</v>
      </c>
      <c r="K938" s="26">
        <v>0</v>
      </c>
      <c r="L938" s="27">
        <v>0</v>
      </c>
    </row>
    <row r="939" spans="1:12">
      <c r="A939" s="24" t="s">
        <v>245</v>
      </c>
      <c r="B939" s="24" t="s">
        <v>329</v>
      </c>
      <c r="C939" s="25">
        <v>45658</v>
      </c>
      <c r="D939" s="24" t="s">
        <v>2657</v>
      </c>
      <c r="E939" s="26">
        <v>0</v>
      </c>
      <c r="F939" s="26">
        <v>0</v>
      </c>
      <c r="G939" s="26">
        <v>0</v>
      </c>
      <c r="H939" s="26">
        <v>0</v>
      </c>
      <c r="I939" s="26">
        <v>0</v>
      </c>
      <c r="J939" s="26">
        <v>0</v>
      </c>
      <c r="K939" s="26">
        <v>0</v>
      </c>
      <c r="L939" s="27">
        <v>0</v>
      </c>
    </row>
    <row r="940" spans="1:12">
      <c r="A940" s="24" t="s">
        <v>245</v>
      </c>
      <c r="B940" s="24" t="s">
        <v>329</v>
      </c>
      <c r="C940" s="25">
        <v>45689</v>
      </c>
      <c r="D940" s="24" t="s">
        <v>2658</v>
      </c>
      <c r="E940" s="26">
        <v>0</v>
      </c>
      <c r="F940" s="26">
        <v>0</v>
      </c>
      <c r="G940" s="26">
        <v>0</v>
      </c>
      <c r="H940" s="26">
        <v>0</v>
      </c>
      <c r="I940" s="26">
        <v>0</v>
      </c>
      <c r="J940" s="26">
        <v>0</v>
      </c>
      <c r="K940" s="26">
        <v>0</v>
      </c>
      <c r="L940" s="27">
        <v>0</v>
      </c>
    </row>
    <row r="941" spans="1:12">
      <c r="A941" s="24" t="s">
        <v>245</v>
      </c>
      <c r="B941" s="24" t="s">
        <v>329</v>
      </c>
      <c r="C941" s="25">
        <v>45717</v>
      </c>
      <c r="D941" s="24" t="s">
        <v>2659</v>
      </c>
      <c r="E941" s="26">
        <v>0</v>
      </c>
      <c r="F941" s="26">
        <v>0</v>
      </c>
      <c r="G941" s="26">
        <v>0</v>
      </c>
      <c r="H941" s="26">
        <v>0</v>
      </c>
      <c r="I941" s="26">
        <v>0</v>
      </c>
      <c r="J941" s="26">
        <v>0</v>
      </c>
      <c r="K941" s="26">
        <v>0</v>
      </c>
      <c r="L941" s="27">
        <v>0</v>
      </c>
    </row>
    <row r="942" spans="1:12">
      <c r="A942" s="24" t="s">
        <v>245</v>
      </c>
      <c r="B942" s="24" t="s">
        <v>329</v>
      </c>
      <c r="C942" s="25">
        <v>45748</v>
      </c>
      <c r="D942" s="24" t="s">
        <v>2660</v>
      </c>
      <c r="E942" s="26">
        <v>0</v>
      </c>
      <c r="F942" s="26">
        <v>0</v>
      </c>
      <c r="G942" s="26">
        <v>0</v>
      </c>
      <c r="H942" s="26">
        <v>0</v>
      </c>
      <c r="I942" s="26">
        <v>0</v>
      </c>
      <c r="J942" s="26">
        <v>0</v>
      </c>
      <c r="K942" s="26">
        <v>0</v>
      </c>
      <c r="L942" s="27">
        <v>0</v>
      </c>
    </row>
    <row r="943" spans="1:12">
      <c r="A943" s="24" t="s">
        <v>245</v>
      </c>
      <c r="B943" s="24" t="s">
        <v>329</v>
      </c>
      <c r="C943" s="25">
        <v>45778</v>
      </c>
      <c r="D943" s="24" t="s">
        <v>2661</v>
      </c>
      <c r="E943" s="26">
        <v>0</v>
      </c>
      <c r="F943" s="26">
        <v>0</v>
      </c>
      <c r="G943" s="26">
        <v>0</v>
      </c>
      <c r="H943" s="26">
        <v>0</v>
      </c>
      <c r="I943" s="26">
        <v>0</v>
      </c>
      <c r="J943" s="26">
        <v>0</v>
      </c>
      <c r="K943" s="26">
        <v>0</v>
      </c>
      <c r="L943" s="27">
        <v>0</v>
      </c>
    </row>
    <row r="944" spans="1:12">
      <c r="A944" s="24" t="s">
        <v>245</v>
      </c>
      <c r="B944" s="24" t="s">
        <v>329</v>
      </c>
      <c r="C944" s="25">
        <v>45809</v>
      </c>
      <c r="D944" s="24" t="s">
        <v>2662</v>
      </c>
      <c r="E944" s="26">
        <v>0</v>
      </c>
      <c r="F944" s="26">
        <v>0</v>
      </c>
      <c r="G944" s="26">
        <v>0</v>
      </c>
      <c r="H944" s="26">
        <v>0</v>
      </c>
      <c r="I944" s="26">
        <v>0</v>
      </c>
      <c r="J944" s="26">
        <v>0</v>
      </c>
      <c r="K944" s="26">
        <v>0</v>
      </c>
      <c r="L944" s="27">
        <v>0</v>
      </c>
    </row>
    <row r="945" spans="1:12">
      <c r="A945" s="24" t="s">
        <v>245</v>
      </c>
      <c r="B945" s="24" t="s">
        <v>329</v>
      </c>
      <c r="C945" s="25">
        <v>45839</v>
      </c>
      <c r="D945" s="24" t="s">
        <v>2663</v>
      </c>
      <c r="E945" s="26">
        <v>44625.88</v>
      </c>
      <c r="F945" s="26">
        <v>0</v>
      </c>
      <c r="G945" s="26">
        <v>44625.88</v>
      </c>
      <c r="H945" s="26">
        <v>0</v>
      </c>
      <c r="I945" s="26">
        <v>44625.88</v>
      </c>
      <c r="J945" s="26">
        <v>0</v>
      </c>
      <c r="K945" s="26">
        <v>44625.88</v>
      </c>
      <c r="L945" s="27">
        <v>1</v>
      </c>
    </row>
    <row r="946" spans="1:12">
      <c r="A946" s="24" t="s">
        <v>245</v>
      </c>
      <c r="B946" s="24" t="s">
        <v>329</v>
      </c>
      <c r="C946" s="25">
        <v>45870</v>
      </c>
      <c r="D946" s="24" t="s">
        <v>2664</v>
      </c>
      <c r="E946" s="26">
        <v>0</v>
      </c>
      <c r="F946" s="26">
        <v>0</v>
      </c>
      <c r="G946" s="26">
        <v>0</v>
      </c>
      <c r="H946" s="26">
        <v>0</v>
      </c>
      <c r="I946" s="26">
        <v>0</v>
      </c>
      <c r="J946" s="26">
        <v>0</v>
      </c>
      <c r="K946" s="26">
        <v>0</v>
      </c>
      <c r="L946" s="27">
        <v>0</v>
      </c>
    </row>
    <row r="947" spans="1:12">
      <c r="A947" s="24" t="s">
        <v>245</v>
      </c>
      <c r="B947" s="24" t="s">
        <v>329</v>
      </c>
      <c r="C947" s="25">
        <v>45901</v>
      </c>
      <c r="D947" s="24" t="s">
        <v>2665</v>
      </c>
      <c r="E947" s="26">
        <v>81625.929999999993</v>
      </c>
      <c r="F947" s="26">
        <v>0</v>
      </c>
      <c r="G947" s="26">
        <v>81625.929999999993</v>
      </c>
      <c r="H947" s="26">
        <v>0</v>
      </c>
      <c r="I947" s="26">
        <v>81625.929999999993</v>
      </c>
      <c r="J947" s="26">
        <v>0</v>
      </c>
      <c r="K947" s="26">
        <v>81625.929999999993</v>
      </c>
      <c r="L947" s="27">
        <v>1</v>
      </c>
    </row>
    <row r="948" spans="1:12">
      <c r="A948" s="24" t="s">
        <v>245</v>
      </c>
      <c r="B948" s="24" t="s">
        <v>329</v>
      </c>
      <c r="C948" s="25">
        <v>45931</v>
      </c>
      <c r="D948" s="24" t="s">
        <v>2666</v>
      </c>
      <c r="E948" s="26">
        <v>109440.02</v>
      </c>
      <c r="F948" s="26">
        <v>0</v>
      </c>
      <c r="G948" s="26">
        <v>109440.02</v>
      </c>
      <c r="H948" s="26">
        <v>90476.97</v>
      </c>
      <c r="I948" s="26">
        <v>18963.05</v>
      </c>
      <c r="J948" s="26">
        <v>0</v>
      </c>
      <c r="K948" s="26">
        <v>18963.05</v>
      </c>
      <c r="L948" s="27">
        <v>0.1732734515216646</v>
      </c>
    </row>
    <row r="949" spans="1:12">
      <c r="A949" s="24" t="s">
        <v>245</v>
      </c>
      <c r="B949" s="24" t="s">
        <v>329</v>
      </c>
      <c r="C949" s="25">
        <v>45962</v>
      </c>
      <c r="D949" s="24" t="s">
        <v>2667</v>
      </c>
      <c r="E949" s="26">
        <v>84059.22</v>
      </c>
      <c r="F949" s="26">
        <v>0</v>
      </c>
      <c r="G949" s="26">
        <v>84059.22</v>
      </c>
      <c r="H949" s="26">
        <v>0</v>
      </c>
      <c r="I949" s="26">
        <v>84059.22</v>
      </c>
      <c r="J949" s="26">
        <v>0</v>
      </c>
      <c r="K949" s="26">
        <v>84059.22</v>
      </c>
      <c r="L949" s="27">
        <v>1</v>
      </c>
    </row>
    <row r="950" spans="1:12">
      <c r="A950" s="24" t="s">
        <v>245</v>
      </c>
      <c r="B950" s="24" t="s">
        <v>329</v>
      </c>
      <c r="C950" s="25">
        <v>45992</v>
      </c>
      <c r="D950" s="24" t="s">
        <v>2668</v>
      </c>
      <c r="E950" s="26">
        <v>0</v>
      </c>
      <c r="F950" s="26">
        <v>0</v>
      </c>
      <c r="G950" s="26">
        <v>0</v>
      </c>
      <c r="H950" s="26">
        <v>0</v>
      </c>
      <c r="I950" s="26">
        <v>0</v>
      </c>
      <c r="J950" s="26">
        <v>0</v>
      </c>
      <c r="K950" s="26">
        <v>0</v>
      </c>
      <c r="L950" s="27">
        <v>0</v>
      </c>
    </row>
    <row r="951" spans="1:12">
      <c r="A951" s="24" t="s">
        <v>89</v>
      </c>
      <c r="B951" s="24" t="s">
        <v>329</v>
      </c>
      <c r="C951" s="25">
        <v>45658</v>
      </c>
      <c r="D951" s="24" t="s">
        <v>2657</v>
      </c>
      <c r="E951" s="26">
        <v>0</v>
      </c>
      <c r="F951" s="26">
        <v>0</v>
      </c>
      <c r="G951" s="26">
        <v>0</v>
      </c>
      <c r="H951" s="26">
        <v>0</v>
      </c>
      <c r="I951" s="26">
        <v>0</v>
      </c>
      <c r="J951" s="26">
        <v>0</v>
      </c>
      <c r="K951" s="26">
        <v>0</v>
      </c>
      <c r="L951" s="27">
        <v>0</v>
      </c>
    </row>
    <row r="952" spans="1:12">
      <c r="A952" s="24" t="s">
        <v>89</v>
      </c>
      <c r="B952" s="24" t="s">
        <v>329</v>
      </c>
      <c r="C952" s="25">
        <v>45689</v>
      </c>
      <c r="D952" s="24" t="s">
        <v>2658</v>
      </c>
      <c r="E952" s="26">
        <v>0</v>
      </c>
      <c r="F952" s="26">
        <v>0</v>
      </c>
      <c r="G952" s="26">
        <v>0</v>
      </c>
      <c r="H952" s="26">
        <v>0</v>
      </c>
      <c r="I952" s="26">
        <v>0</v>
      </c>
      <c r="J952" s="26">
        <v>0</v>
      </c>
      <c r="K952" s="26">
        <v>0</v>
      </c>
      <c r="L952" s="27">
        <v>0</v>
      </c>
    </row>
    <row r="953" spans="1:12">
      <c r="A953" s="24" t="s">
        <v>89</v>
      </c>
      <c r="B953" s="24" t="s">
        <v>329</v>
      </c>
      <c r="C953" s="25">
        <v>45717</v>
      </c>
      <c r="D953" s="24" t="s">
        <v>2659</v>
      </c>
      <c r="E953" s="26">
        <v>0</v>
      </c>
      <c r="F953" s="26">
        <v>0</v>
      </c>
      <c r="G953" s="26">
        <v>0</v>
      </c>
      <c r="H953" s="26">
        <v>0</v>
      </c>
      <c r="I953" s="26">
        <v>0</v>
      </c>
      <c r="J953" s="26">
        <v>0</v>
      </c>
      <c r="K953" s="26">
        <v>0</v>
      </c>
      <c r="L953" s="27">
        <v>0</v>
      </c>
    </row>
    <row r="954" spans="1:12">
      <c r="A954" s="24" t="s">
        <v>89</v>
      </c>
      <c r="B954" s="24" t="s">
        <v>329</v>
      </c>
      <c r="C954" s="25">
        <v>45748</v>
      </c>
      <c r="D954" s="24" t="s">
        <v>2660</v>
      </c>
      <c r="E954" s="26">
        <v>0</v>
      </c>
      <c r="F954" s="26">
        <v>0</v>
      </c>
      <c r="G954" s="26">
        <v>0</v>
      </c>
      <c r="H954" s="26">
        <v>0</v>
      </c>
      <c r="I954" s="26">
        <v>0</v>
      </c>
      <c r="J954" s="26">
        <v>0</v>
      </c>
      <c r="K954" s="26">
        <v>0</v>
      </c>
      <c r="L954" s="27">
        <v>0</v>
      </c>
    </row>
    <row r="955" spans="1:12">
      <c r="A955" s="24" t="s">
        <v>89</v>
      </c>
      <c r="B955" s="24" t="s">
        <v>329</v>
      </c>
      <c r="C955" s="25">
        <v>45778</v>
      </c>
      <c r="D955" s="24" t="s">
        <v>2661</v>
      </c>
      <c r="E955" s="26">
        <v>0</v>
      </c>
      <c r="F955" s="26">
        <v>0</v>
      </c>
      <c r="G955" s="26">
        <v>0</v>
      </c>
      <c r="H955" s="26">
        <v>0</v>
      </c>
      <c r="I955" s="26">
        <v>0</v>
      </c>
      <c r="J955" s="26">
        <v>0</v>
      </c>
      <c r="K955" s="26">
        <v>0</v>
      </c>
      <c r="L955" s="27">
        <v>0</v>
      </c>
    </row>
    <row r="956" spans="1:12">
      <c r="A956" s="24" t="s">
        <v>89</v>
      </c>
      <c r="B956" s="24" t="s">
        <v>329</v>
      </c>
      <c r="C956" s="25">
        <v>45809</v>
      </c>
      <c r="D956" s="24" t="s">
        <v>2662</v>
      </c>
      <c r="E956" s="26">
        <v>0</v>
      </c>
      <c r="F956" s="26">
        <v>0</v>
      </c>
      <c r="G956" s="26">
        <v>0</v>
      </c>
      <c r="H956" s="26">
        <v>0</v>
      </c>
      <c r="I956" s="26">
        <v>0</v>
      </c>
      <c r="J956" s="26">
        <v>0</v>
      </c>
      <c r="K956" s="26">
        <v>0</v>
      </c>
      <c r="L956" s="27">
        <v>0</v>
      </c>
    </row>
    <row r="957" spans="1:12">
      <c r="A957" s="24" t="s">
        <v>89</v>
      </c>
      <c r="B957" s="24" t="s">
        <v>329</v>
      </c>
      <c r="C957" s="25">
        <v>45839</v>
      </c>
      <c r="D957" s="24" t="s">
        <v>2663</v>
      </c>
      <c r="E957" s="26">
        <v>29782.959999999999</v>
      </c>
      <c r="F957" s="26">
        <v>0</v>
      </c>
      <c r="G957" s="26">
        <v>29782.959999999999</v>
      </c>
      <c r="H957" s="26">
        <v>0</v>
      </c>
      <c r="I957" s="26">
        <v>29782.959999999999</v>
      </c>
      <c r="J957" s="26">
        <v>0</v>
      </c>
      <c r="K957" s="26">
        <v>29782.959999999999</v>
      </c>
      <c r="L957" s="27">
        <v>1</v>
      </c>
    </row>
    <row r="958" spans="1:12">
      <c r="A958" s="24" t="s">
        <v>89</v>
      </c>
      <c r="B958" s="24" t="s">
        <v>329</v>
      </c>
      <c r="C958" s="25">
        <v>45870</v>
      </c>
      <c r="D958" s="24" t="s">
        <v>2664</v>
      </c>
      <c r="E958" s="26">
        <v>0</v>
      </c>
      <c r="F958" s="26">
        <v>0</v>
      </c>
      <c r="G958" s="26">
        <v>0</v>
      </c>
      <c r="H958" s="26">
        <v>0</v>
      </c>
      <c r="I958" s="26">
        <v>0</v>
      </c>
      <c r="J958" s="26">
        <v>0</v>
      </c>
      <c r="K958" s="26">
        <v>0</v>
      </c>
      <c r="L958" s="27">
        <v>0</v>
      </c>
    </row>
    <row r="959" spans="1:12">
      <c r="A959" s="24" t="s">
        <v>89</v>
      </c>
      <c r="B959" s="24" t="s">
        <v>329</v>
      </c>
      <c r="C959" s="25">
        <v>45901</v>
      </c>
      <c r="D959" s="24" t="s">
        <v>2665</v>
      </c>
      <c r="E959" s="26">
        <v>0</v>
      </c>
      <c r="F959" s="26">
        <v>0</v>
      </c>
      <c r="G959" s="26">
        <v>0</v>
      </c>
      <c r="H959" s="26">
        <v>0</v>
      </c>
      <c r="I959" s="26">
        <v>0</v>
      </c>
      <c r="J959" s="26">
        <v>0</v>
      </c>
      <c r="K959" s="26">
        <v>0</v>
      </c>
      <c r="L959" s="27">
        <v>0</v>
      </c>
    </row>
    <row r="960" spans="1:12">
      <c r="A960" s="24" t="s">
        <v>89</v>
      </c>
      <c r="B960" s="24" t="s">
        <v>329</v>
      </c>
      <c r="C960" s="25">
        <v>45931</v>
      </c>
      <c r="D960" s="24" t="s">
        <v>2666</v>
      </c>
      <c r="E960" s="26">
        <v>0</v>
      </c>
      <c r="F960" s="26">
        <v>0</v>
      </c>
      <c r="G960" s="26">
        <v>0</v>
      </c>
      <c r="H960" s="26">
        <v>116715.99</v>
      </c>
      <c r="I960" s="26">
        <v>-116715.99</v>
      </c>
      <c r="J960" s="26">
        <v>0</v>
      </c>
      <c r="K960" s="26">
        <v>-116715.99</v>
      </c>
      <c r="L960" s="27">
        <v>0</v>
      </c>
    </row>
    <row r="961" spans="1:12">
      <c r="A961" s="24" t="s">
        <v>89</v>
      </c>
      <c r="B961" s="24" t="s">
        <v>329</v>
      </c>
      <c r="C961" s="25">
        <v>45962</v>
      </c>
      <c r="D961" s="24" t="s">
        <v>2667</v>
      </c>
      <c r="E961" s="26">
        <v>24442.080000000002</v>
      </c>
      <c r="F961" s="26">
        <v>0</v>
      </c>
      <c r="G961" s="26">
        <v>24442.080000000002</v>
      </c>
      <c r="H961" s="26">
        <v>0</v>
      </c>
      <c r="I961" s="26">
        <v>24442.080000000002</v>
      </c>
      <c r="J961" s="26">
        <v>0</v>
      </c>
      <c r="K961" s="26">
        <v>24442.080000000002</v>
      </c>
      <c r="L961" s="27">
        <v>1</v>
      </c>
    </row>
    <row r="962" spans="1:12">
      <c r="A962" s="24" t="s">
        <v>89</v>
      </c>
      <c r="B962" s="24" t="s">
        <v>329</v>
      </c>
      <c r="C962" s="25">
        <v>45992</v>
      </c>
      <c r="D962" s="24" t="s">
        <v>2668</v>
      </c>
      <c r="E962" s="26">
        <v>0</v>
      </c>
      <c r="F962" s="26">
        <v>0</v>
      </c>
      <c r="G962" s="26">
        <v>0</v>
      </c>
      <c r="H962" s="26">
        <v>0</v>
      </c>
      <c r="I962" s="26">
        <v>0</v>
      </c>
      <c r="J962" s="26">
        <v>0</v>
      </c>
      <c r="K962" s="26">
        <v>0</v>
      </c>
      <c r="L962" s="27">
        <v>0</v>
      </c>
    </row>
    <row r="963" spans="1:12">
      <c r="A963" s="24" t="s">
        <v>140</v>
      </c>
      <c r="B963" s="24" t="s">
        <v>345</v>
      </c>
      <c r="C963" s="25">
        <v>45658</v>
      </c>
      <c r="D963" s="24" t="s">
        <v>2657</v>
      </c>
      <c r="E963" s="26">
        <v>0</v>
      </c>
      <c r="F963" s="26">
        <v>0</v>
      </c>
      <c r="G963" s="26">
        <v>0</v>
      </c>
      <c r="H963" s="26">
        <v>0</v>
      </c>
      <c r="I963" s="26">
        <v>0</v>
      </c>
      <c r="J963" s="26">
        <v>0</v>
      </c>
      <c r="K963" s="26">
        <v>0</v>
      </c>
      <c r="L963" s="27">
        <v>0</v>
      </c>
    </row>
    <row r="964" spans="1:12">
      <c r="A964" s="24" t="s">
        <v>140</v>
      </c>
      <c r="B964" s="24" t="s">
        <v>345</v>
      </c>
      <c r="C964" s="25">
        <v>45689</v>
      </c>
      <c r="D964" s="24" t="s">
        <v>2658</v>
      </c>
      <c r="E964" s="26">
        <v>0</v>
      </c>
      <c r="F964" s="26">
        <v>0</v>
      </c>
      <c r="G964" s="26">
        <v>0</v>
      </c>
      <c r="H964" s="26">
        <v>0</v>
      </c>
      <c r="I964" s="26">
        <v>0</v>
      </c>
      <c r="J964" s="26">
        <v>0</v>
      </c>
      <c r="K964" s="26">
        <v>0</v>
      </c>
      <c r="L964" s="27">
        <v>0</v>
      </c>
    </row>
    <row r="965" spans="1:12">
      <c r="A965" s="24" t="s">
        <v>140</v>
      </c>
      <c r="B965" s="24" t="s">
        <v>345</v>
      </c>
      <c r="C965" s="25">
        <v>45717</v>
      </c>
      <c r="D965" s="24" t="s">
        <v>2659</v>
      </c>
      <c r="E965" s="26">
        <v>0</v>
      </c>
      <c r="F965" s="26">
        <v>0</v>
      </c>
      <c r="G965" s="26">
        <v>0</v>
      </c>
      <c r="H965" s="26">
        <v>0</v>
      </c>
      <c r="I965" s="26">
        <v>0</v>
      </c>
      <c r="J965" s="26">
        <v>0</v>
      </c>
      <c r="K965" s="26">
        <v>0</v>
      </c>
      <c r="L965" s="27">
        <v>0</v>
      </c>
    </row>
    <row r="966" spans="1:12">
      <c r="A966" s="24" t="s">
        <v>140</v>
      </c>
      <c r="B966" s="24" t="s">
        <v>345</v>
      </c>
      <c r="C966" s="25">
        <v>45748</v>
      </c>
      <c r="D966" s="24" t="s">
        <v>2660</v>
      </c>
      <c r="E966" s="26">
        <v>0</v>
      </c>
      <c r="F966" s="26">
        <v>0</v>
      </c>
      <c r="G966" s="26">
        <v>0</v>
      </c>
      <c r="H966" s="26">
        <v>0</v>
      </c>
      <c r="I966" s="26">
        <v>0</v>
      </c>
      <c r="J966" s="26">
        <v>0</v>
      </c>
      <c r="K966" s="26">
        <v>0</v>
      </c>
      <c r="L966" s="27">
        <v>0</v>
      </c>
    </row>
    <row r="967" spans="1:12">
      <c r="A967" s="24" t="s">
        <v>140</v>
      </c>
      <c r="B967" s="24" t="s">
        <v>345</v>
      </c>
      <c r="C967" s="25">
        <v>45778</v>
      </c>
      <c r="D967" s="24" t="s">
        <v>2661</v>
      </c>
      <c r="E967" s="26">
        <v>0</v>
      </c>
      <c r="F967" s="26">
        <v>0</v>
      </c>
      <c r="G967" s="26">
        <v>0</v>
      </c>
      <c r="H967" s="26">
        <v>0</v>
      </c>
      <c r="I967" s="26">
        <v>0</v>
      </c>
      <c r="J967" s="26">
        <v>0</v>
      </c>
      <c r="K967" s="26">
        <v>0</v>
      </c>
      <c r="L967" s="27">
        <v>0</v>
      </c>
    </row>
    <row r="968" spans="1:12">
      <c r="A968" s="24" t="s">
        <v>140</v>
      </c>
      <c r="B968" s="24" t="s">
        <v>345</v>
      </c>
      <c r="C968" s="25">
        <v>45809</v>
      </c>
      <c r="D968" s="24" t="s">
        <v>2662</v>
      </c>
      <c r="E968" s="26">
        <v>0</v>
      </c>
      <c r="F968" s="26">
        <v>0</v>
      </c>
      <c r="G968" s="26">
        <v>0</v>
      </c>
      <c r="H968" s="26">
        <v>0</v>
      </c>
      <c r="I968" s="26">
        <v>0</v>
      </c>
      <c r="J968" s="26">
        <v>0</v>
      </c>
      <c r="K968" s="26">
        <v>0</v>
      </c>
      <c r="L968" s="27">
        <v>0</v>
      </c>
    </row>
    <row r="969" spans="1:12">
      <c r="A969" s="24" t="s">
        <v>140</v>
      </c>
      <c r="B969" s="24" t="s">
        <v>345</v>
      </c>
      <c r="C969" s="25">
        <v>45839</v>
      </c>
      <c r="D969" s="24" t="s">
        <v>2663</v>
      </c>
      <c r="E969" s="26">
        <v>0</v>
      </c>
      <c r="F969" s="26">
        <v>0</v>
      </c>
      <c r="G969" s="26">
        <v>0</v>
      </c>
      <c r="H969" s="26">
        <v>111417.66</v>
      </c>
      <c r="I969" s="26">
        <v>-111417.66</v>
      </c>
      <c r="J969" s="26">
        <v>0</v>
      </c>
      <c r="K969" s="26">
        <v>-111417.66</v>
      </c>
      <c r="L969" s="27">
        <v>0</v>
      </c>
    </row>
    <row r="970" spans="1:12">
      <c r="A970" s="24" t="s">
        <v>140</v>
      </c>
      <c r="B970" s="24" t="s">
        <v>345</v>
      </c>
      <c r="C970" s="25">
        <v>45870</v>
      </c>
      <c r="D970" s="24" t="s">
        <v>2664</v>
      </c>
      <c r="E970" s="26">
        <v>0</v>
      </c>
      <c r="F970" s="26">
        <v>0</v>
      </c>
      <c r="G970" s="26">
        <v>0</v>
      </c>
      <c r="H970" s="26">
        <v>116565.74</v>
      </c>
      <c r="I970" s="26">
        <v>-116565.74</v>
      </c>
      <c r="J970" s="26">
        <v>0</v>
      </c>
      <c r="K970" s="26">
        <v>-116565.74</v>
      </c>
      <c r="L970" s="27">
        <v>0</v>
      </c>
    </row>
    <row r="971" spans="1:12">
      <c r="A971" s="24" t="s">
        <v>140</v>
      </c>
      <c r="B971" s="24" t="s">
        <v>345</v>
      </c>
      <c r="C971" s="25">
        <v>45901</v>
      </c>
      <c r="D971" s="24" t="s">
        <v>2665</v>
      </c>
      <c r="E971" s="26">
        <v>55552.42</v>
      </c>
      <c r="F971" s="26">
        <v>0</v>
      </c>
      <c r="G971" s="26">
        <v>55552.42</v>
      </c>
      <c r="H971" s="26">
        <v>0</v>
      </c>
      <c r="I971" s="26">
        <v>55552.42</v>
      </c>
      <c r="J971" s="26">
        <v>0</v>
      </c>
      <c r="K971" s="26">
        <v>55552.42</v>
      </c>
      <c r="L971" s="27">
        <v>1</v>
      </c>
    </row>
    <row r="972" spans="1:12">
      <c r="A972" s="24" t="s">
        <v>140</v>
      </c>
      <c r="B972" s="24" t="s">
        <v>345</v>
      </c>
      <c r="C972" s="25">
        <v>45931</v>
      </c>
      <c r="D972" s="24" t="s">
        <v>2666</v>
      </c>
      <c r="E972" s="26">
        <v>68451.94</v>
      </c>
      <c r="F972" s="26">
        <v>0</v>
      </c>
      <c r="G972" s="26">
        <v>68451.94</v>
      </c>
      <c r="H972" s="26">
        <v>0</v>
      </c>
      <c r="I972" s="26">
        <v>68451.94</v>
      </c>
      <c r="J972" s="26">
        <v>0</v>
      </c>
      <c r="K972" s="26">
        <v>68451.94</v>
      </c>
      <c r="L972" s="27">
        <v>1</v>
      </c>
    </row>
    <row r="973" spans="1:12">
      <c r="A973" s="24" t="s">
        <v>140</v>
      </c>
      <c r="B973" s="24" t="s">
        <v>345</v>
      </c>
      <c r="C973" s="25">
        <v>45962</v>
      </c>
      <c r="D973" s="24" t="s">
        <v>2667</v>
      </c>
      <c r="E973" s="26">
        <v>76070.820000000007</v>
      </c>
      <c r="F973" s="26">
        <v>0</v>
      </c>
      <c r="G973" s="26">
        <v>76070.820000000007</v>
      </c>
      <c r="H973" s="26">
        <v>0</v>
      </c>
      <c r="I973" s="26">
        <v>76070.820000000007</v>
      </c>
      <c r="J973" s="26">
        <v>0</v>
      </c>
      <c r="K973" s="26">
        <v>76070.820000000007</v>
      </c>
      <c r="L973" s="27">
        <v>1</v>
      </c>
    </row>
    <row r="974" spans="1:12">
      <c r="A974" s="24" t="s">
        <v>140</v>
      </c>
      <c r="B974" s="24" t="s">
        <v>345</v>
      </c>
      <c r="C974" s="25">
        <v>45992</v>
      </c>
      <c r="D974" s="24" t="s">
        <v>2668</v>
      </c>
      <c r="E974" s="26">
        <v>88407.52</v>
      </c>
      <c r="F974" s="26">
        <v>0</v>
      </c>
      <c r="G974" s="26">
        <v>88407.52</v>
      </c>
      <c r="H974" s="26">
        <v>12757.7</v>
      </c>
      <c r="I974" s="26">
        <v>75649.820000000007</v>
      </c>
      <c r="J974" s="26">
        <v>0</v>
      </c>
      <c r="K974" s="26">
        <v>75649.820000000007</v>
      </c>
      <c r="L974" s="27">
        <v>0.85569440246712047</v>
      </c>
    </row>
    <row r="975" spans="1:12">
      <c r="A975" s="24" t="s">
        <v>29</v>
      </c>
      <c r="B975" s="24" t="s">
        <v>337</v>
      </c>
      <c r="C975" s="25">
        <v>45658</v>
      </c>
      <c r="D975" s="24" t="s">
        <v>2657</v>
      </c>
      <c r="E975" s="26">
        <v>0</v>
      </c>
      <c r="F975" s="26">
        <v>0</v>
      </c>
      <c r="G975" s="26">
        <v>0</v>
      </c>
      <c r="H975" s="26">
        <v>0</v>
      </c>
      <c r="I975" s="26">
        <v>0</v>
      </c>
      <c r="J975" s="26">
        <v>0</v>
      </c>
      <c r="K975" s="26">
        <v>0</v>
      </c>
      <c r="L975" s="27">
        <v>0</v>
      </c>
    </row>
    <row r="976" spans="1:12">
      <c r="A976" s="24" t="s">
        <v>29</v>
      </c>
      <c r="B976" s="24" t="s">
        <v>337</v>
      </c>
      <c r="C976" s="25">
        <v>45689</v>
      </c>
      <c r="D976" s="24" t="s">
        <v>2658</v>
      </c>
      <c r="E976" s="26">
        <v>0</v>
      </c>
      <c r="F976" s="26">
        <v>0</v>
      </c>
      <c r="G976" s="26">
        <v>0</v>
      </c>
      <c r="H976" s="26">
        <v>0</v>
      </c>
      <c r="I976" s="26">
        <v>0</v>
      </c>
      <c r="J976" s="26">
        <v>0</v>
      </c>
      <c r="K976" s="26">
        <v>0</v>
      </c>
      <c r="L976" s="27">
        <v>0</v>
      </c>
    </row>
    <row r="977" spans="1:12">
      <c r="A977" s="24" t="s">
        <v>29</v>
      </c>
      <c r="B977" s="24" t="s">
        <v>337</v>
      </c>
      <c r="C977" s="25">
        <v>45717</v>
      </c>
      <c r="D977" s="24" t="s">
        <v>2659</v>
      </c>
      <c r="E977" s="26">
        <v>0</v>
      </c>
      <c r="F977" s="26">
        <v>0</v>
      </c>
      <c r="G977" s="26">
        <v>0</v>
      </c>
      <c r="H977" s="26">
        <v>0</v>
      </c>
      <c r="I977" s="26">
        <v>0</v>
      </c>
      <c r="J977" s="26">
        <v>0</v>
      </c>
      <c r="K977" s="26">
        <v>0</v>
      </c>
      <c r="L977" s="27">
        <v>0</v>
      </c>
    </row>
    <row r="978" spans="1:12">
      <c r="A978" s="24" t="s">
        <v>29</v>
      </c>
      <c r="B978" s="24" t="s">
        <v>337</v>
      </c>
      <c r="C978" s="25">
        <v>45748</v>
      </c>
      <c r="D978" s="24" t="s">
        <v>2660</v>
      </c>
      <c r="E978" s="26">
        <v>0</v>
      </c>
      <c r="F978" s="26">
        <v>0</v>
      </c>
      <c r="G978" s="26">
        <v>0</v>
      </c>
      <c r="H978" s="26">
        <v>0</v>
      </c>
      <c r="I978" s="26">
        <v>0</v>
      </c>
      <c r="J978" s="26">
        <v>0</v>
      </c>
      <c r="K978" s="26">
        <v>0</v>
      </c>
      <c r="L978" s="27">
        <v>0</v>
      </c>
    </row>
    <row r="979" spans="1:12">
      <c r="A979" s="24" t="s">
        <v>29</v>
      </c>
      <c r="B979" s="24" t="s">
        <v>337</v>
      </c>
      <c r="C979" s="25">
        <v>45778</v>
      </c>
      <c r="D979" s="24" t="s">
        <v>2661</v>
      </c>
      <c r="E979" s="26">
        <v>0</v>
      </c>
      <c r="F979" s="26">
        <v>0</v>
      </c>
      <c r="G979" s="26">
        <v>0</v>
      </c>
      <c r="H979" s="26">
        <v>0</v>
      </c>
      <c r="I979" s="26">
        <v>0</v>
      </c>
      <c r="J979" s="26">
        <v>0</v>
      </c>
      <c r="K979" s="26">
        <v>0</v>
      </c>
      <c r="L979" s="27">
        <v>0</v>
      </c>
    </row>
    <row r="980" spans="1:12">
      <c r="A980" s="24" t="s">
        <v>29</v>
      </c>
      <c r="B980" s="24" t="s">
        <v>337</v>
      </c>
      <c r="C980" s="25">
        <v>45809</v>
      </c>
      <c r="D980" s="24" t="s">
        <v>2662</v>
      </c>
      <c r="E980" s="26">
        <v>0</v>
      </c>
      <c r="F980" s="26">
        <v>0</v>
      </c>
      <c r="G980" s="26">
        <v>0</v>
      </c>
      <c r="H980" s="26">
        <v>0</v>
      </c>
      <c r="I980" s="26">
        <v>0</v>
      </c>
      <c r="J980" s="26">
        <v>0</v>
      </c>
      <c r="K980" s="26">
        <v>0</v>
      </c>
      <c r="L980" s="27">
        <v>0</v>
      </c>
    </row>
    <row r="981" spans="1:12">
      <c r="A981" s="24" t="s">
        <v>29</v>
      </c>
      <c r="B981" s="24" t="s">
        <v>337</v>
      </c>
      <c r="C981" s="25">
        <v>45839</v>
      </c>
      <c r="D981" s="24" t="s">
        <v>2663</v>
      </c>
      <c r="E981" s="26">
        <v>0</v>
      </c>
      <c r="F981" s="26">
        <v>0</v>
      </c>
      <c r="G981" s="26">
        <v>0</v>
      </c>
      <c r="H981" s="26">
        <v>74646.240000000005</v>
      </c>
      <c r="I981" s="26">
        <v>-74646.240000000005</v>
      </c>
      <c r="J981" s="26">
        <v>0</v>
      </c>
      <c r="K981" s="26">
        <v>-74646.240000000005</v>
      </c>
      <c r="L981" s="27">
        <v>0</v>
      </c>
    </row>
    <row r="982" spans="1:12">
      <c r="A982" s="24" t="s">
        <v>29</v>
      </c>
      <c r="B982" s="24" t="s">
        <v>337</v>
      </c>
      <c r="C982" s="25">
        <v>45870</v>
      </c>
      <c r="D982" s="24" t="s">
        <v>2664</v>
      </c>
      <c r="E982" s="26">
        <v>38051.53</v>
      </c>
      <c r="F982" s="26">
        <v>0</v>
      </c>
      <c r="G982" s="26">
        <v>38051.53</v>
      </c>
      <c r="H982" s="26">
        <v>37712.769999999997</v>
      </c>
      <c r="I982" s="26">
        <v>338.76000000000198</v>
      </c>
      <c r="J982" s="26">
        <v>0</v>
      </c>
      <c r="K982" s="26">
        <v>338.76000000000198</v>
      </c>
      <c r="L982" s="27">
        <v>8.9026643606709647E-3</v>
      </c>
    </row>
    <row r="983" spans="1:12">
      <c r="A983" s="24" t="s">
        <v>29</v>
      </c>
      <c r="B983" s="24" t="s">
        <v>337</v>
      </c>
      <c r="C983" s="25">
        <v>45901</v>
      </c>
      <c r="D983" s="24" t="s">
        <v>2665</v>
      </c>
      <c r="E983" s="26">
        <v>32930.36</v>
      </c>
      <c r="F983" s="26">
        <v>0</v>
      </c>
      <c r="G983" s="26">
        <v>32930.36</v>
      </c>
      <c r="H983" s="26">
        <v>103954.9</v>
      </c>
      <c r="I983" s="26">
        <v>-71024.539999999994</v>
      </c>
      <c r="J983" s="26">
        <v>0</v>
      </c>
      <c r="K983" s="26">
        <v>-71024.539999999994</v>
      </c>
      <c r="L983" s="27">
        <v>-2.1568103112143322</v>
      </c>
    </row>
    <row r="984" spans="1:12">
      <c r="A984" s="24" t="s">
        <v>29</v>
      </c>
      <c r="B984" s="24" t="s">
        <v>337</v>
      </c>
      <c r="C984" s="25">
        <v>45931</v>
      </c>
      <c r="D984" s="24" t="s">
        <v>2666</v>
      </c>
      <c r="E984" s="26">
        <v>0</v>
      </c>
      <c r="F984" s="26">
        <v>0</v>
      </c>
      <c r="G984" s="26">
        <v>0</v>
      </c>
      <c r="H984" s="26">
        <v>0</v>
      </c>
      <c r="I984" s="26">
        <v>0</v>
      </c>
      <c r="J984" s="26">
        <v>0</v>
      </c>
      <c r="K984" s="26">
        <v>0</v>
      </c>
      <c r="L984" s="27">
        <v>0</v>
      </c>
    </row>
    <row r="985" spans="1:12">
      <c r="A985" s="24" t="s">
        <v>29</v>
      </c>
      <c r="B985" s="24" t="s">
        <v>337</v>
      </c>
      <c r="C985" s="25">
        <v>45962</v>
      </c>
      <c r="D985" s="24" t="s">
        <v>2667</v>
      </c>
      <c r="E985" s="26">
        <v>28357.45</v>
      </c>
      <c r="F985" s="26">
        <v>0</v>
      </c>
      <c r="G985" s="26">
        <v>28357.45</v>
      </c>
      <c r="H985" s="26">
        <v>0</v>
      </c>
      <c r="I985" s="26">
        <v>28357.45</v>
      </c>
      <c r="J985" s="26">
        <v>0</v>
      </c>
      <c r="K985" s="26">
        <v>28357.45</v>
      </c>
      <c r="L985" s="27">
        <v>1</v>
      </c>
    </row>
    <row r="986" spans="1:12">
      <c r="A986" s="24" t="s">
        <v>29</v>
      </c>
      <c r="B986" s="24" t="s">
        <v>337</v>
      </c>
      <c r="C986" s="25">
        <v>45992</v>
      </c>
      <c r="D986" s="24" t="s">
        <v>2668</v>
      </c>
      <c r="E986" s="26">
        <v>0</v>
      </c>
      <c r="F986" s="26">
        <v>0</v>
      </c>
      <c r="G986" s="26">
        <v>0</v>
      </c>
      <c r="H986" s="26">
        <v>0</v>
      </c>
      <c r="I986" s="26">
        <v>0</v>
      </c>
      <c r="J986" s="26">
        <v>0</v>
      </c>
      <c r="K986" s="26">
        <v>0</v>
      </c>
      <c r="L986" s="27">
        <v>0</v>
      </c>
    </row>
    <row r="987" spans="1:12">
      <c r="A987" s="24" t="s">
        <v>34</v>
      </c>
      <c r="B987" s="24" t="s">
        <v>318</v>
      </c>
      <c r="C987" s="25">
        <v>45658</v>
      </c>
      <c r="D987" s="24" t="s">
        <v>2657</v>
      </c>
      <c r="E987" s="26">
        <v>0</v>
      </c>
      <c r="F987" s="26">
        <v>0</v>
      </c>
      <c r="G987" s="26">
        <v>0</v>
      </c>
      <c r="H987" s="26">
        <v>0</v>
      </c>
      <c r="I987" s="26">
        <v>0</v>
      </c>
      <c r="J987" s="26">
        <v>0</v>
      </c>
      <c r="K987" s="26">
        <v>0</v>
      </c>
      <c r="L987" s="27">
        <v>0</v>
      </c>
    </row>
    <row r="988" spans="1:12">
      <c r="A988" s="24" t="s">
        <v>34</v>
      </c>
      <c r="B988" s="24" t="s">
        <v>318</v>
      </c>
      <c r="C988" s="25">
        <v>45689</v>
      </c>
      <c r="D988" s="24" t="s">
        <v>2658</v>
      </c>
      <c r="E988" s="26">
        <v>0</v>
      </c>
      <c r="F988" s="26">
        <v>0</v>
      </c>
      <c r="G988" s="26">
        <v>0</v>
      </c>
      <c r="H988" s="26">
        <v>0</v>
      </c>
      <c r="I988" s="26">
        <v>0</v>
      </c>
      <c r="J988" s="26">
        <v>0</v>
      </c>
      <c r="K988" s="26">
        <v>0</v>
      </c>
      <c r="L988" s="27">
        <v>0</v>
      </c>
    </row>
    <row r="989" spans="1:12">
      <c r="A989" s="24" t="s">
        <v>34</v>
      </c>
      <c r="B989" s="24" t="s">
        <v>318</v>
      </c>
      <c r="C989" s="25">
        <v>45717</v>
      </c>
      <c r="D989" s="24" t="s">
        <v>2659</v>
      </c>
      <c r="E989" s="26">
        <v>0</v>
      </c>
      <c r="F989" s="26">
        <v>0</v>
      </c>
      <c r="G989" s="26">
        <v>0</v>
      </c>
      <c r="H989" s="26">
        <v>0</v>
      </c>
      <c r="I989" s="26">
        <v>0</v>
      </c>
      <c r="J989" s="26">
        <v>0</v>
      </c>
      <c r="K989" s="26">
        <v>0</v>
      </c>
      <c r="L989" s="27">
        <v>0</v>
      </c>
    </row>
    <row r="990" spans="1:12">
      <c r="A990" s="24" t="s">
        <v>34</v>
      </c>
      <c r="B990" s="24" t="s">
        <v>318</v>
      </c>
      <c r="C990" s="25">
        <v>45748</v>
      </c>
      <c r="D990" s="24" t="s">
        <v>2660</v>
      </c>
      <c r="E990" s="26">
        <v>0</v>
      </c>
      <c r="F990" s="26">
        <v>0</v>
      </c>
      <c r="G990" s="26">
        <v>0</v>
      </c>
      <c r="H990" s="26">
        <v>0</v>
      </c>
      <c r="I990" s="26">
        <v>0</v>
      </c>
      <c r="J990" s="26">
        <v>0</v>
      </c>
      <c r="K990" s="26">
        <v>0</v>
      </c>
      <c r="L990" s="27">
        <v>0</v>
      </c>
    </row>
    <row r="991" spans="1:12">
      <c r="A991" s="24" t="s">
        <v>34</v>
      </c>
      <c r="B991" s="24" t="s">
        <v>318</v>
      </c>
      <c r="C991" s="25">
        <v>45778</v>
      </c>
      <c r="D991" s="24" t="s">
        <v>2661</v>
      </c>
      <c r="E991" s="26">
        <v>0</v>
      </c>
      <c r="F991" s="26">
        <v>0</v>
      </c>
      <c r="G991" s="26">
        <v>0</v>
      </c>
      <c r="H991" s="26">
        <v>0</v>
      </c>
      <c r="I991" s="26">
        <v>0</v>
      </c>
      <c r="J991" s="26">
        <v>0</v>
      </c>
      <c r="K991" s="26">
        <v>0</v>
      </c>
      <c r="L991" s="27">
        <v>0</v>
      </c>
    </row>
    <row r="992" spans="1:12">
      <c r="A992" s="24" t="s">
        <v>34</v>
      </c>
      <c r="B992" s="24" t="s">
        <v>318</v>
      </c>
      <c r="C992" s="25">
        <v>45809</v>
      </c>
      <c r="D992" s="24" t="s">
        <v>2662</v>
      </c>
      <c r="E992" s="26">
        <v>0</v>
      </c>
      <c r="F992" s="26">
        <v>0</v>
      </c>
      <c r="G992" s="26">
        <v>0</v>
      </c>
      <c r="H992" s="26">
        <v>0</v>
      </c>
      <c r="I992" s="26">
        <v>0</v>
      </c>
      <c r="J992" s="26">
        <v>0</v>
      </c>
      <c r="K992" s="26">
        <v>0</v>
      </c>
      <c r="L992" s="27">
        <v>0</v>
      </c>
    </row>
    <row r="993" spans="1:12">
      <c r="A993" s="24" t="s">
        <v>34</v>
      </c>
      <c r="B993" s="24" t="s">
        <v>318</v>
      </c>
      <c r="C993" s="25">
        <v>45839</v>
      </c>
      <c r="D993" s="24" t="s">
        <v>2663</v>
      </c>
      <c r="E993" s="26">
        <v>7682.39</v>
      </c>
      <c r="F993" s="26">
        <v>0</v>
      </c>
      <c r="G993" s="26">
        <v>7682.39</v>
      </c>
      <c r="H993" s="26">
        <v>115805.67</v>
      </c>
      <c r="I993" s="26">
        <v>-108123.28</v>
      </c>
      <c r="J993" s="26">
        <v>0</v>
      </c>
      <c r="K993" s="26">
        <v>-108123.28</v>
      </c>
      <c r="L993" s="27">
        <v>-14.074172230256471</v>
      </c>
    </row>
    <row r="994" spans="1:12">
      <c r="A994" s="24" t="s">
        <v>34</v>
      </c>
      <c r="B994" s="24" t="s">
        <v>318</v>
      </c>
      <c r="C994" s="25">
        <v>45870</v>
      </c>
      <c r="D994" s="24" t="s">
        <v>2664</v>
      </c>
      <c r="E994" s="26">
        <v>0</v>
      </c>
      <c r="F994" s="26">
        <v>0</v>
      </c>
      <c r="G994" s="26">
        <v>0</v>
      </c>
      <c r="H994" s="26">
        <v>0</v>
      </c>
      <c r="I994" s="26">
        <v>0</v>
      </c>
      <c r="J994" s="26">
        <v>0</v>
      </c>
      <c r="K994" s="26">
        <v>0</v>
      </c>
      <c r="L994" s="27">
        <v>0</v>
      </c>
    </row>
    <row r="995" spans="1:12">
      <c r="A995" s="24" t="s">
        <v>34</v>
      </c>
      <c r="B995" s="24" t="s">
        <v>318</v>
      </c>
      <c r="C995" s="25">
        <v>45901</v>
      </c>
      <c r="D995" s="24" t="s">
        <v>2665</v>
      </c>
      <c r="E995" s="26">
        <v>8338.7999999999993</v>
      </c>
      <c r="F995" s="26">
        <v>0</v>
      </c>
      <c r="G995" s="26">
        <v>8338.7999999999993</v>
      </c>
      <c r="H995" s="26">
        <v>0</v>
      </c>
      <c r="I995" s="26">
        <v>8338.7999999999993</v>
      </c>
      <c r="J995" s="26">
        <v>0</v>
      </c>
      <c r="K995" s="26">
        <v>8338.7999999999993</v>
      </c>
      <c r="L995" s="27">
        <v>1</v>
      </c>
    </row>
    <row r="996" spans="1:12">
      <c r="A996" s="24" t="s">
        <v>34</v>
      </c>
      <c r="B996" s="24" t="s">
        <v>318</v>
      </c>
      <c r="C996" s="25">
        <v>45931</v>
      </c>
      <c r="D996" s="24" t="s">
        <v>2666</v>
      </c>
      <c r="E996" s="26">
        <v>8393.14</v>
      </c>
      <c r="F996" s="26">
        <v>0</v>
      </c>
      <c r="G996" s="26">
        <v>8393.14</v>
      </c>
      <c r="H996" s="26">
        <v>0</v>
      </c>
      <c r="I996" s="26">
        <v>8393.14</v>
      </c>
      <c r="J996" s="26">
        <v>0</v>
      </c>
      <c r="K996" s="26">
        <v>8393.14</v>
      </c>
      <c r="L996" s="27">
        <v>1</v>
      </c>
    </row>
    <row r="997" spans="1:12">
      <c r="A997" s="24" t="s">
        <v>34</v>
      </c>
      <c r="B997" s="24" t="s">
        <v>318</v>
      </c>
      <c r="C997" s="25">
        <v>45962</v>
      </c>
      <c r="D997" s="24" t="s">
        <v>2667</v>
      </c>
      <c r="E997" s="26">
        <v>12744.64</v>
      </c>
      <c r="F997" s="26">
        <v>0</v>
      </c>
      <c r="G997" s="26">
        <v>12744.64</v>
      </c>
      <c r="H997" s="26">
        <v>0</v>
      </c>
      <c r="I997" s="26">
        <v>12744.64</v>
      </c>
      <c r="J997" s="26">
        <v>0</v>
      </c>
      <c r="K997" s="26">
        <v>12744.64</v>
      </c>
      <c r="L997" s="27">
        <v>1</v>
      </c>
    </row>
    <row r="998" spans="1:12">
      <c r="A998" s="24" t="s">
        <v>34</v>
      </c>
      <c r="B998" s="24" t="s">
        <v>318</v>
      </c>
      <c r="C998" s="25">
        <v>45992</v>
      </c>
      <c r="D998" s="24" t="s">
        <v>2668</v>
      </c>
      <c r="E998" s="26">
        <v>0</v>
      </c>
      <c r="F998" s="26">
        <v>11850.56</v>
      </c>
      <c r="G998" s="26">
        <v>-11850.56</v>
      </c>
      <c r="H998" s="26">
        <v>114657.78</v>
      </c>
      <c r="I998" s="26">
        <v>-126508.34</v>
      </c>
      <c r="J998" s="26">
        <v>0</v>
      </c>
      <c r="K998" s="26">
        <v>-126508.34</v>
      </c>
      <c r="L998" s="27">
        <v>10.675304795722729</v>
      </c>
    </row>
    <row r="999" spans="1:12">
      <c r="A999" s="24" t="s">
        <v>173</v>
      </c>
      <c r="B999" s="24" t="s">
        <v>345</v>
      </c>
      <c r="C999" s="25">
        <v>45658</v>
      </c>
      <c r="D999" s="24" t="s">
        <v>2657</v>
      </c>
      <c r="E999" s="26">
        <v>0</v>
      </c>
      <c r="F999" s="26">
        <v>0</v>
      </c>
      <c r="G999" s="26">
        <v>0</v>
      </c>
      <c r="H999" s="26">
        <v>0</v>
      </c>
      <c r="I999" s="26">
        <v>0</v>
      </c>
      <c r="J999" s="26">
        <v>0</v>
      </c>
      <c r="K999" s="26">
        <v>0</v>
      </c>
      <c r="L999" s="27">
        <v>0</v>
      </c>
    </row>
    <row r="1000" spans="1:12">
      <c r="A1000" s="24" t="s">
        <v>173</v>
      </c>
      <c r="B1000" s="24" t="s">
        <v>345</v>
      </c>
      <c r="C1000" s="25">
        <v>45689</v>
      </c>
      <c r="D1000" s="24" t="s">
        <v>2658</v>
      </c>
      <c r="E1000" s="26">
        <v>0</v>
      </c>
      <c r="F1000" s="26">
        <v>0</v>
      </c>
      <c r="G1000" s="26">
        <v>0</v>
      </c>
      <c r="H1000" s="26">
        <v>0</v>
      </c>
      <c r="I1000" s="26">
        <v>0</v>
      </c>
      <c r="J1000" s="26">
        <v>0</v>
      </c>
      <c r="K1000" s="26">
        <v>0</v>
      </c>
      <c r="L1000" s="27">
        <v>0</v>
      </c>
    </row>
    <row r="1001" spans="1:12">
      <c r="A1001" s="24" t="s">
        <v>173</v>
      </c>
      <c r="B1001" s="24" t="s">
        <v>345</v>
      </c>
      <c r="C1001" s="25">
        <v>45717</v>
      </c>
      <c r="D1001" s="24" t="s">
        <v>2659</v>
      </c>
      <c r="E1001" s="26">
        <v>0</v>
      </c>
      <c r="F1001" s="26">
        <v>0</v>
      </c>
      <c r="G1001" s="26">
        <v>0</v>
      </c>
      <c r="H1001" s="26">
        <v>0</v>
      </c>
      <c r="I1001" s="26">
        <v>0</v>
      </c>
      <c r="J1001" s="26">
        <v>0</v>
      </c>
      <c r="K1001" s="26">
        <v>0</v>
      </c>
      <c r="L1001" s="27">
        <v>0</v>
      </c>
    </row>
    <row r="1002" spans="1:12">
      <c r="A1002" s="24" t="s">
        <v>173</v>
      </c>
      <c r="B1002" s="24" t="s">
        <v>345</v>
      </c>
      <c r="C1002" s="25">
        <v>45748</v>
      </c>
      <c r="D1002" s="24" t="s">
        <v>2660</v>
      </c>
      <c r="E1002" s="26">
        <v>0</v>
      </c>
      <c r="F1002" s="26">
        <v>0</v>
      </c>
      <c r="G1002" s="26">
        <v>0</v>
      </c>
      <c r="H1002" s="26">
        <v>0</v>
      </c>
      <c r="I1002" s="26">
        <v>0</v>
      </c>
      <c r="J1002" s="26">
        <v>0</v>
      </c>
      <c r="K1002" s="26">
        <v>0</v>
      </c>
      <c r="L1002" s="27">
        <v>0</v>
      </c>
    </row>
    <row r="1003" spans="1:12">
      <c r="A1003" s="24" t="s">
        <v>173</v>
      </c>
      <c r="B1003" s="24" t="s">
        <v>345</v>
      </c>
      <c r="C1003" s="25">
        <v>45778</v>
      </c>
      <c r="D1003" s="24" t="s">
        <v>2661</v>
      </c>
      <c r="E1003" s="26">
        <v>0</v>
      </c>
      <c r="F1003" s="26">
        <v>0</v>
      </c>
      <c r="G1003" s="26">
        <v>0</v>
      </c>
      <c r="H1003" s="26">
        <v>0</v>
      </c>
      <c r="I1003" s="26">
        <v>0</v>
      </c>
      <c r="J1003" s="26">
        <v>0</v>
      </c>
      <c r="K1003" s="26">
        <v>0</v>
      </c>
      <c r="L1003" s="27">
        <v>0</v>
      </c>
    </row>
    <row r="1004" spans="1:12">
      <c r="A1004" s="24" t="s">
        <v>173</v>
      </c>
      <c r="B1004" s="24" t="s">
        <v>345</v>
      </c>
      <c r="C1004" s="25">
        <v>45809</v>
      </c>
      <c r="D1004" s="24" t="s">
        <v>2662</v>
      </c>
      <c r="E1004" s="26">
        <v>0</v>
      </c>
      <c r="F1004" s="26">
        <v>0</v>
      </c>
      <c r="G1004" s="26">
        <v>0</v>
      </c>
      <c r="H1004" s="26">
        <v>0</v>
      </c>
      <c r="I1004" s="26">
        <v>0</v>
      </c>
      <c r="J1004" s="26">
        <v>0</v>
      </c>
      <c r="K1004" s="26">
        <v>0</v>
      </c>
      <c r="L1004" s="27">
        <v>0</v>
      </c>
    </row>
    <row r="1005" spans="1:12">
      <c r="A1005" s="24" t="s">
        <v>173</v>
      </c>
      <c r="B1005" s="24" t="s">
        <v>345</v>
      </c>
      <c r="C1005" s="25">
        <v>45839</v>
      </c>
      <c r="D1005" s="24" t="s">
        <v>2663</v>
      </c>
      <c r="E1005" s="26">
        <v>26678.07</v>
      </c>
      <c r="F1005" s="26">
        <v>0</v>
      </c>
      <c r="G1005" s="26">
        <v>26678.07</v>
      </c>
      <c r="H1005" s="26">
        <v>0</v>
      </c>
      <c r="I1005" s="26">
        <v>26678.07</v>
      </c>
      <c r="J1005" s="26">
        <v>0</v>
      </c>
      <c r="K1005" s="26">
        <v>26678.07</v>
      </c>
      <c r="L1005" s="27">
        <v>1</v>
      </c>
    </row>
    <row r="1006" spans="1:12">
      <c r="A1006" s="24" t="s">
        <v>173</v>
      </c>
      <c r="B1006" s="24" t="s">
        <v>345</v>
      </c>
      <c r="C1006" s="25">
        <v>45870</v>
      </c>
      <c r="D1006" s="24" t="s">
        <v>2664</v>
      </c>
      <c r="E1006" s="26">
        <v>17307.849999999999</v>
      </c>
      <c r="F1006" s="26">
        <v>0</v>
      </c>
      <c r="G1006" s="26">
        <v>17307.849999999999</v>
      </c>
      <c r="H1006" s="26">
        <v>62719.23</v>
      </c>
      <c r="I1006" s="26">
        <v>-45411.38</v>
      </c>
      <c r="J1006" s="26">
        <v>0</v>
      </c>
      <c r="K1006" s="26">
        <v>-45411.38</v>
      </c>
      <c r="L1006" s="27">
        <v>-2.6237447169925789</v>
      </c>
    </row>
    <row r="1007" spans="1:12">
      <c r="A1007" s="24" t="s">
        <v>173</v>
      </c>
      <c r="B1007" s="24" t="s">
        <v>345</v>
      </c>
      <c r="C1007" s="25">
        <v>45901</v>
      </c>
      <c r="D1007" s="24" t="s">
        <v>2665</v>
      </c>
      <c r="E1007" s="26">
        <v>20686.97</v>
      </c>
      <c r="F1007" s="26">
        <v>0</v>
      </c>
      <c r="G1007" s="26">
        <v>20686.97</v>
      </c>
      <c r="H1007" s="26">
        <v>0</v>
      </c>
      <c r="I1007" s="26">
        <v>20686.97</v>
      </c>
      <c r="J1007" s="26">
        <v>0</v>
      </c>
      <c r="K1007" s="26">
        <v>20686.97</v>
      </c>
      <c r="L1007" s="27">
        <v>1</v>
      </c>
    </row>
    <row r="1008" spans="1:12">
      <c r="A1008" s="24" t="s">
        <v>173</v>
      </c>
      <c r="B1008" s="24" t="s">
        <v>345</v>
      </c>
      <c r="C1008" s="25">
        <v>45931</v>
      </c>
      <c r="D1008" s="24" t="s">
        <v>2666</v>
      </c>
      <c r="E1008" s="26">
        <v>32008.01</v>
      </c>
      <c r="F1008" s="26">
        <v>0</v>
      </c>
      <c r="G1008" s="26">
        <v>32008.01</v>
      </c>
      <c r="H1008" s="26">
        <v>0</v>
      </c>
      <c r="I1008" s="26">
        <v>32008.01</v>
      </c>
      <c r="J1008" s="26">
        <v>0</v>
      </c>
      <c r="K1008" s="26">
        <v>32008.01</v>
      </c>
      <c r="L1008" s="27">
        <v>1</v>
      </c>
    </row>
    <row r="1009" spans="1:12">
      <c r="A1009" s="24" t="s">
        <v>173</v>
      </c>
      <c r="B1009" s="24" t="s">
        <v>345</v>
      </c>
      <c r="C1009" s="25">
        <v>45962</v>
      </c>
      <c r="D1009" s="24" t="s">
        <v>2667</v>
      </c>
      <c r="E1009" s="26">
        <v>0</v>
      </c>
      <c r="F1009" s="26">
        <v>0</v>
      </c>
      <c r="G1009" s="26">
        <v>0</v>
      </c>
      <c r="H1009" s="26">
        <v>0</v>
      </c>
      <c r="I1009" s="26">
        <v>0</v>
      </c>
      <c r="J1009" s="26">
        <v>0</v>
      </c>
      <c r="K1009" s="26">
        <v>0</v>
      </c>
      <c r="L1009" s="27">
        <v>0</v>
      </c>
    </row>
    <row r="1010" spans="1:12">
      <c r="A1010" s="24" t="s">
        <v>173</v>
      </c>
      <c r="B1010" s="24" t="s">
        <v>345</v>
      </c>
      <c r="C1010" s="25">
        <v>45992</v>
      </c>
      <c r="D1010" s="24" t="s">
        <v>2668</v>
      </c>
      <c r="E1010" s="26">
        <v>23700.43</v>
      </c>
      <c r="F1010" s="26">
        <v>0</v>
      </c>
      <c r="G1010" s="26">
        <v>23700.43</v>
      </c>
      <c r="H1010" s="26">
        <v>0</v>
      </c>
      <c r="I1010" s="26">
        <v>23700.43</v>
      </c>
      <c r="J1010" s="26">
        <v>0</v>
      </c>
      <c r="K1010" s="26">
        <v>23700.43</v>
      </c>
      <c r="L1010" s="27">
        <v>1</v>
      </c>
    </row>
    <row r="1011" spans="1:12">
      <c r="A1011" s="24" t="s">
        <v>249</v>
      </c>
      <c r="B1011" s="24" t="s">
        <v>329</v>
      </c>
      <c r="C1011" s="25">
        <v>45658</v>
      </c>
      <c r="D1011" s="24" t="s">
        <v>2657</v>
      </c>
      <c r="E1011" s="26">
        <v>0</v>
      </c>
      <c r="F1011" s="26">
        <v>0</v>
      </c>
      <c r="G1011" s="26">
        <v>0</v>
      </c>
      <c r="H1011" s="26">
        <v>0</v>
      </c>
      <c r="I1011" s="26">
        <v>0</v>
      </c>
      <c r="J1011" s="26">
        <v>0</v>
      </c>
      <c r="K1011" s="26">
        <v>0</v>
      </c>
      <c r="L1011" s="27">
        <v>0</v>
      </c>
    </row>
    <row r="1012" spans="1:12">
      <c r="A1012" s="24" t="s">
        <v>249</v>
      </c>
      <c r="B1012" s="24" t="s">
        <v>329</v>
      </c>
      <c r="C1012" s="25">
        <v>45689</v>
      </c>
      <c r="D1012" s="24" t="s">
        <v>2658</v>
      </c>
      <c r="E1012" s="26">
        <v>0</v>
      </c>
      <c r="F1012" s="26">
        <v>0</v>
      </c>
      <c r="G1012" s="26">
        <v>0</v>
      </c>
      <c r="H1012" s="26">
        <v>0</v>
      </c>
      <c r="I1012" s="26">
        <v>0</v>
      </c>
      <c r="J1012" s="26">
        <v>0</v>
      </c>
      <c r="K1012" s="26">
        <v>0</v>
      </c>
      <c r="L1012" s="27">
        <v>0</v>
      </c>
    </row>
    <row r="1013" spans="1:12">
      <c r="A1013" s="24" t="s">
        <v>249</v>
      </c>
      <c r="B1013" s="24" t="s">
        <v>329</v>
      </c>
      <c r="C1013" s="25">
        <v>45717</v>
      </c>
      <c r="D1013" s="24" t="s">
        <v>2659</v>
      </c>
      <c r="E1013" s="26">
        <v>0</v>
      </c>
      <c r="F1013" s="26">
        <v>0</v>
      </c>
      <c r="G1013" s="26">
        <v>0</v>
      </c>
      <c r="H1013" s="26">
        <v>0</v>
      </c>
      <c r="I1013" s="26">
        <v>0</v>
      </c>
      <c r="J1013" s="26">
        <v>0</v>
      </c>
      <c r="K1013" s="26">
        <v>0</v>
      </c>
      <c r="L1013" s="27">
        <v>0</v>
      </c>
    </row>
    <row r="1014" spans="1:12">
      <c r="A1014" s="24" t="s">
        <v>249</v>
      </c>
      <c r="B1014" s="24" t="s">
        <v>329</v>
      </c>
      <c r="C1014" s="25">
        <v>45748</v>
      </c>
      <c r="D1014" s="24" t="s">
        <v>2660</v>
      </c>
      <c r="E1014" s="26">
        <v>0</v>
      </c>
      <c r="F1014" s="26">
        <v>0</v>
      </c>
      <c r="G1014" s="26">
        <v>0</v>
      </c>
      <c r="H1014" s="26">
        <v>0</v>
      </c>
      <c r="I1014" s="26">
        <v>0</v>
      </c>
      <c r="J1014" s="26">
        <v>0</v>
      </c>
      <c r="K1014" s="26">
        <v>0</v>
      </c>
      <c r="L1014" s="27">
        <v>0</v>
      </c>
    </row>
    <row r="1015" spans="1:12">
      <c r="A1015" s="24" t="s">
        <v>249</v>
      </c>
      <c r="B1015" s="24" t="s">
        <v>329</v>
      </c>
      <c r="C1015" s="25">
        <v>45778</v>
      </c>
      <c r="D1015" s="24" t="s">
        <v>2661</v>
      </c>
      <c r="E1015" s="26">
        <v>0</v>
      </c>
      <c r="F1015" s="26">
        <v>0</v>
      </c>
      <c r="G1015" s="26">
        <v>0</v>
      </c>
      <c r="H1015" s="26">
        <v>0</v>
      </c>
      <c r="I1015" s="26">
        <v>0</v>
      </c>
      <c r="J1015" s="26">
        <v>0</v>
      </c>
      <c r="K1015" s="26">
        <v>0</v>
      </c>
      <c r="L1015" s="27">
        <v>0</v>
      </c>
    </row>
    <row r="1016" spans="1:12">
      <c r="A1016" s="24" t="s">
        <v>249</v>
      </c>
      <c r="B1016" s="24" t="s">
        <v>329</v>
      </c>
      <c r="C1016" s="25">
        <v>45809</v>
      </c>
      <c r="D1016" s="24" t="s">
        <v>2662</v>
      </c>
      <c r="E1016" s="26">
        <v>0</v>
      </c>
      <c r="F1016" s="26">
        <v>0</v>
      </c>
      <c r="G1016" s="26">
        <v>0</v>
      </c>
      <c r="H1016" s="26">
        <v>0</v>
      </c>
      <c r="I1016" s="26">
        <v>0</v>
      </c>
      <c r="J1016" s="26">
        <v>0</v>
      </c>
      <c r="K1016" s="26">
        <v>0</v>
      </c>
      <c r="L1016" s="27">
        <v>0</v>
      </c>
    </row>
    <row r="1017" spans="1:12">
      <c r="A1017" s="24" t="s">
        <v>249</v>
      </c>
      <c r="B1017" s="24" t="s">
        <v>329</v>
      </c>
      <c r="C1017" s="25">
        <v>45839</v>
      </c>
      <c r="D1017" s="24" t="s">
        <v>2663</v>
      </c>
      <c r="E1017" s="26">
        <v>0</v>
      </c>
      <c r="F1017" s="26">
        <v>0</v>
      </c>
      <c r="G1017" s="26">
        <v>0</v>
      </c>
      <c r="H1017" s="26">
        <v>0</v>
      </c>
      <c r="I1017" s="26">
        <v>0</v>
      </c>
      <c r="J1017" s="26">
        <v>0</v>
      </c>
      <c r="K1017" s="26">
        <v>0</v>
      </c>
      <c r="L1017" s="27">
        <v>0</v>
      </c>
    </row>
    <row r="1018" spans="1:12">
      <c r="A1018" s="24" t="s">
        <v>249</v>
      </c>
      <c r="B1018" s="24" t="s">
        <v>329</v>
      </c>
      <c r="C1018" s="25">
        <v>45870</v>
      </c>
      <c r="D1018" s="24" t="s">
        <v>2664</v>
      </c>
      <c r="E1018" s="26">
        <v>0</v>
      </c>
      <c r="F1018" s="26">
        <v>0</v>
      </c>
      <c r="G1018" s="26">
        <v>0</v>
      </c>
      <c r="H1018" s="26">
        <v>0</v>
      </c>
      <c r="I1018" s="26">
        <v>0</v>
      </c>
      <c r="J1018" s="26">
        <v>0</v>
      </c>
      <c r="K1018" s="26">
        <v>0</v>
      </c>
      <c r="L1018" s="27">
        <v>0</v>
      </c>
    </row>
    <row r="1019" spans="1:12">
      <c r="A1019" s="24" t="s">
        <v>249</v>
      </c>
      <c r="B1019" s="24" t="s">
        <v>329</v>
      </c>
      <c r="C1019" s="25">
        <v>45901</v>
      </c>
      <c r="D1019" s="24" t="s">
        <v>2665</v>
      </c>
      <c r="E1019" s="26">
        <v>0</v>
      </c>
      <c r="F1019" s="26">
        <v>0</v>
      </c>
      <c r="G1019" s="26">
        <v>0</v>
      </c>
      <c r="H1019" s="26">
        <v>24848.38</v>
      </c>
      <c r="I1019" s="26">
        <v>-24848.38</v>
      </c>
      <c r="J1019" s="26">
        <v>0</v>
      </c>
      <c r="K1019" s="26">
        <v>-24848.38</v>
      </c>
      <c r="L1019" s="27">
        <v>0</v>
      </c>
    </row>
    <row r="1020" spans="1:12">
      <c r="A1020" s="24" t="s">
        <v>249</v>
      </c>
      <c r="B1020" s="24" t="s">
        <v>329</v>
      </c>
      <c r="C1020" s="25">
        <v>45931</v>
      </c>
      <c r="D1020" s="24" t="s">
        <v>2666</v>
      </c>
      <c r="E1020" s="26">
        <v>0</v>
      </c>
      <c r="F1020" s="26">
        <v>0</v>
      </c>
      <c r="G1020" s="26">
        <v>0</v>
      </c>
      <c r="H1020" s="26">
        <v>25002.47</v>
      </c>
      <c r="I1020" s="26">
        <v>-25002.47</v>
      </c>
      <c r="J1020" s="26">
        <v>0</v>
      </c>
      <c r="K1020" s="26">
        <v>-25002.47</v>
      </c>
      <c r="L1020" s="27">
        <v>0</v>
      </c>
    </row>
    <row r="1021" spans="1:12">
      <c r="A1021" s="24" t="s">
        <v>249</v>
      </c>
      <c r="B1021" s="24" t="s">
        <v>329</v>
      </c>
      <c r="C1021" s="25">
        <v>45962</v>
      </c>
      <c r="D1021" s="24" t="s">
        <v>2667</v>
      </c>
      <c r="E1021" s="26">
        <v>0</v>
      </c>
      <c r="F1021" s="26">
        <v>0</v>
      </c>
      <c r="G1021" s="26">
        <v>0</v>
      </c>
      <c r="H1021" s="26">
        <v>36080.83</v>
      </c>
      <c r="I1021" s="26">
        <v>-36080.83</v>
      </c>
      <c r="J1021" s="26">
        <v>0</v>
      </c>
      <c r="K1021" s="26">
        <v>-36080.83</v>
      </c>
      <c r="L1021" s="27">
        <v>0</v>
      </c>
    </row>
    <row r="1022" spans="1:12">
      <c r="A1022" s="24" t="s">
        <v>249</v>
      </c>
      <c r="B1022" s="24" t="s">
        <v>329</v>
      </c>
      <c r="C1022" s="25">
        <v>45992</v>
      </c>
      <c r="D1022" s="24" t="s">
        <v>2668</v>
      </c>
      <c r="E1022" s="26">
        <v>0</v>
      </c>
      <c r="F1022" s="26">
        <v>0</v>
      </c>
      <c r="G1022" s="26">
        <v>0</v>
      </c>
      <c r="H1022" s="26">
        <v>0</v>
      </c>
      <c r="I1022" s="26">
        <v>0</v>
      </c>
      <c r="J1022" s="26">
        <v>0</v>
      </c>
      <c r="K1022" s="26">
        <v>0</v>
      </c>
      <c r="L1022" s="27">
        <v>0</v>
      </c>
    </row>
    <row r="1023" spans="1:12">
      <c r="A1023" s="24" t="s">
        <v>147</v>
      </c>
      <c r="B1023" s="24" t="s">
        <v>345</v>
      </c>
      <c r="C1023" s="25">
        <v>45658</v>
      </c>
      <c r="D1023" s="24" t="s">
        <v>2657</v>
      </c>
      <c r="E1023" s="26">
        <v>0</v>
      </c>
      <c r="F1023" s="26">
        <v>0</v>
      </c>
      <c r="G1023" s="26">
        <v>0</v>
      </c>
      <c r="H1023" s="26">
        <v>0</v>
      </c>
      <c r="I1023" s="26">
        <v>0</v>
      </c>
      <c r="J1023" s="26">
        <v>0</v>
      </c>
      <c r="K1023" s="26">
        <v>0</v>
      </c>
      <c r="L1023" s="27">
        <v>0</v>
      </c>
    </row>
    <row r="1024" spans="1:12">
      <c r="A1024" s="24" t="s">
        <v>147</v>
      </c>
      <c r="B1024" s="24" t="s">
        <v>345</v>
      </c>
      <c r="C1024" s="25">
        <v>45689</v>
      </c>
      <c r="D1024" s="24" t="s">
        <v>2658</v>
      </c>
      <c r="E1024" s="26">
        <v>0</v>
      </c>
      <c r="F1024" s="26">
        <v>0</v>
      </c>
      <c r="G1024" s="26">
        <v>0</v>
      </c>
      <c r="H1024" s="26">
        <v>0</v>
      </c>
      <c r="I1024" s="26">
        <v>0</v>
      </c>
      <c r="J1024" s="26">
        <v>0</v>
      </c>
      <c r="K1024" s="26">
        <v>0</v>
      </c>
      <c r="L1024" s="27">
        <v>0</v>
      </c>
    </row>
    <row r="1025" spans="1:12">
      <c r="A1025" s="24" t="s">
        <v>147</v>
      </c>
      <c r="B1025" s="24" t="s">
        <v>345</v>
      </c>
      <c r="C1025" s="25">
        <v>45717</v>
      </c>
      <c r="D1025" s="24" t="s">
        <v>2659</v>
      </c>
      <c r="E1025" s="26">
        <v>0</v>
      </c>
      <c r="F1025" s="26">
        <v>0</v>
      </c>
      <c r="G1025" s="26">
        <v>0</v>
      </c>
      <c r="H1025" s="26">
        <v>0</v>
      </c>
      <c r="I1025" s="26">
        <v>0</v>
      </c>
      <c r="J1025" s="26">
        <v>0</v>
      </c>
      <c r="K1025" s="26">
        <v>0</v>
      </c>
      <c r="L1025" s="27">
        <v>0</v>
      </c>
    </row>
    <row r="1026" spans="1:12">
      <c r="A1026" s="24" t="s">
        <v>147</v>
      </c>
      <c r="B1026" s="24" t="s">
        <v>345</v>
      </c>
      <c r="C1026" s="25">
        <v>45748</v>
      </c>
      <c r="D1026" s="24" t="s">
        <v>2660</v>
      </c>
      <c r="E1026" s="26">
        <v>0</v>
      </c>
      <c r="F1026" s="26">
        <v>0</v>
      </c>
      <c r="G1026" s="26">
        <v>0</v>
      </c>
      <c r="H1026" s="26">
        <v>0</v>
      </c>
      <c r="I1026" s="26">
        <v>0</v>
      </c>
      <c r="J1026" s="26">
        <v>0</v>
      </c>
      <c r="K1026" s="26">
        <v>0</v>
      </c>
      <c r="L1026" s="27">
        <v>0</v>
      </c>
    </row>
    <row r="1027" spans="1:12">
      <c r="A1027" s="24" t="s">
        <v>147</v>
      </c>
      <c r="B1027" s="24" t="s">
        <v>345</v>
      </c>
      <c r="C1027" s="25">
        <v>45778</v>
      </c>
      <c r="D1027" s="24" t="s">
        <v>2661</v>
      </c>
      <c r="E1027" s="26">
        <v>0</v>
      </c>
      <c r="F1027" s="26">
        <v>0</v>
      </c>
      <c r="G1027" s="26">
        <v>0</v>
      </c>
      <c r="H1027" s="26">
        <v>0</v>
      </c>
      <c r="I1027" s="26">
        <v>0</v>
      </c>
      <c r="J1027" s="26">
        <v>0</v>
      </c>
      <c r="K1027" s="26">
        <v>0</v>
      </c>
      <c r="L1027" s="27">
        <v>0</v>
      </c>
    </row>
    <row r="1028" spans="1:12">
      <c r="A1028" s="24" t="s">
        <v>147</v>
      </c>
      <c r="B1028" s="24" t="s">
        <v>345</v>
      </c>
      <c r="C1028" s="25">
        <v>45809</v>
      </c>
      <c r="D1028" s="24" t="s">
        <v>2662</v>
      </c>
      <c r="E1028" s="26">
        <v>0</v>
      </c>
      <c r="F1028" s="26">
        <v>0</v>
      </c>
      <c r="G1028" s="26">
        <v>0</v>
      </c>
      <c r="H1028" s="26">
        <v>0</v>
      </c>
      <c r="I1028" s="26">
        <v>0</v>
      </c>
      <c r="J1028" s="26">
        <v>0</v>
      </c>
      <c r="K1028" s="26">
        <v>0</v>
      </c>
      <c r="L1028" s="27">
        <v>0</v>
      </c>
    </row>
    <row r="1029" spans="1:12">
      <c r="A1029" s="24" t="s">
        <v>147</v>
      </c>
      <c r="B1029" s="24" t="s">
        <v>345</v>
      </c>
      <c r="C1029" s="25">
        <v>45839</v>
      </c>
      <c r="D1029" s="24" t="s">
        <v>2663</v>
      </c>
      <c r="E1029" s="26">
        <v>0</v>
      </c>
      <c r="F1029" s="26">
        <v>0</v>
      </c>
      <c r="G1029" s="26">
        <v>0</v>
      </c>
      <c r="H1029" s="26">
        <v>0</v>
      </c>
      <c r="I1029" s="26">
        <v>0</v>
      </c>
      <c r="J1029" s="26">
        <v>0</v>
      </c>
      <c r="K1029" s="26">
        <v>0</v>
      </c>
      <c r="L1029" s="27">
        <v>0</v>
      </c>
    </row>
    <row r="1030" spans="1:12">
      <c r="A1030" s="24" t="s">
        <v>147</v>
      </c>
      <c r="B1030" s="24" t="s">
        <v>345</v>
      </c>
      <c r="C1030" s="25">
        <v>45870</v>
      </c>
      <c r="D1030" s="24" t="s">
        <v>2664</v>
      </c>
      <c r="E1030" s="26">
        <v>20888.830000000002</v>
      </c>
      <c r="F1030" s="26">
        <v>0</v>
      </c>
      <c r="G1030" s="26">
        <v>20888.830000000002</v>
      </c>
      <c r="H1030" s="26">
        <v>0</v>
      </c>
      <c r="I1030" s="26">
        <v>20888.830000000002</v>
      </c>
      <c r="J1030" s="26">
        <v>0</v>
      </c>
      <c r="K1030" s="26">
        <v>20888.830000000002</v>
      </c>
      <c r="L1030" s="27">
        <v>1</v>
      </c>
    </row>
    <row r="1031" spans="1:12">
      <c r="A1031" s="24" t="s">
        <v>147</v>
      </c>
      <c r="B1031" s="24" t="s">
        <v>345</v>
      </c>
      <c r="C1031" s="25">
        <v>45901</v>
      </c>
      <c r="D1031" s="24" t="s">
        <v>2665</v>
      </c>
      <c r="E1031" s="26">
        <v>0</v>
      </c>
      <c r="F1031" s="26">
        <v>0</v>
      </c>
      <c r="G1031" s="26">
        <v>0</v>
      </c>
      <c r="H1031" s="26">
        <v>0</v>
      </c>
      <c r="I1031" s="26">
        <v>0</v>
      </c>
      <c r="J1031" s="26">
        <v>0</v>
      </c>
      <c r="K1031" s="26">
        <v>0</v>
      </c>
      <c r="L1031" s="27">
        <v>0</v>
      </c>
    </row>
    <row r="1032" spans="1:12">
      <c r="A1032" s="24" t="s">
        <v>147</v>
      </c>
      <c r="B1032" s="24" t="s">
        <v>345</v>
      </c>
      <c r="C1032" s="25">
        <v>45931</v>
      </c>
      <c r="D1032" s="24" t="s">
        <v>2666</v>
      </c>
      <c r="E1032" s="26">
        <v>0</v>
      </c>
      <c r="F1032" s="26">
        <v>0</v>
      </c>
      <c r="G1032" s="26">
        <v>0</v>
      </c>
      <c r="H1032" s="26">
        <v>0</v>
      </c>
      <c r="I1032" s="26">
        <v>0</v>
      </c>
      <c r="J1032" s="26">
        <v>0</v>
      </c>
      <c r="K1032" s="26">
        <v>0</v>
      </c>
      <c r="L1032" s="27">
        <v>0</v>
      </c>
    </row>
    <row r="1033" spans="1:12">
      <c r="A1033" s="24" t="s">
        <v>147</v>
      </c>
      <c r="B1033" s="24" t="s">
        <v>345</v>
      </c>
      <c r="C1033" s="25">
        <v>45962</v>
      </c>
      <c r="D1033" s="24" t="s">
        <v>2667</v>
      </c>
      <c r="E1033" s="26">
        <v>0</v>
      </c>
      <c r="F1033" s="26">
        <v>0</v>
      </c>
      <c r="G1033" s="26">
        <v>0</v>
      </c>
      <c r="H1033" s="26">
        <v>0</v>
      </c>
      <c r="I1033" s="26">
        <v>0</v>
      </c>
      <c r="J1033" s="26">
        <v>0</v>
      </c>
      <c r="K1033" s="26">
        <v>0</v>
      </c>
      <c r="L1033" s="27">
        <v>0</v>
      </c>
    </row>
    <row r="1034" spans="1:12">
      <c r="A1034" s="24" t="s">
        <v>147</v>
      </c>
      <c r="B1034" s="24" t="s">
        <v>345</v>
      </c>
      <c r="C1034" s="25">
        <v>45992</v>
      </c>
      <c r="D1034" s="24" t="s">
        <v>2668</v>
      </c>
      <c r="E1034" s="26">
        <v>50795.22</v>
      </c>
      <c r="F1034" s="26">
        <v>0</v>
      </c>
      <c r="G1034" s="26">
        <v>50795.22</v>
      </c>
      <c r="H1034" s="26">
        <v>60774.26</v>
      </c>
      <c r="I1034" s="26">
        <v>-9979.0400000000009</v>
      </c>
      <c r="J1034" s="26">
        <v>0</v>
      </c>
      <c r="K1034" s="26">
        <v>-9979.0400000000009</v>
      </c>
      <c r="L1034" s="27">
        <v>-0.19645628072877719</v>
      </c>
    </row>
    <row r="1035" spans="1:12">
      <c r="A1035" s="24" t="s">
        <v>185</v>
      </c>
      <c r="B1035" s="24" t="s">
        <v>329</v>
      </c>
      <c r="C1035" s="25">
        <v>45658</v>
      </c>
      <c r="D1035" s="24" t="s">
        <v>2657</v>
      </c>
      <c r="E1035" s="26">
        <v>0</v>
      </c>
      <c r="F1035" s="26">
        <v>0</v>
      </c>
      <c r="G1035" s="26">
        <v>0</v>
      </c>
      <c r="H1035" s="26">
        <v>0</v>
      </c>
      <c r="I1035" s="26">
        <v>0</v>
      </c>
      <c r="J1035" s="26">
        <v>0</v>
      </c>
      <c r="K1035" s="26">
        <v>0</v>
      </c>
      <c r="L1035" s="27">
        <v>0</v>
      </c>
    </row>
    <row r="1036" spans="1:12">
      <c r="A1036" s="24" t="s">
        <v>185</v>
      </c>
      <c r="B1036" s="24" t="s">
        <v>329</v>
      </c>
      <c r="C1036" s="25">
        <v>45689</v>
      </c>
      <c r="D1036" s="24" t="s">
        <v>2658</v>
      </c>
      <c r="E1036" s="26">
        <v>0</v>
      </c>
      <c r="F1036" s="26">
        <v>0</v>
      </c>
      <c r="G1036" s="26">
        <v>0</v>
      </c>
      <c r="H1036" s="26">
        <v>0</v>
      </c>
      <c r="I1036" s="26">
        <v>0</v>
      </c>
      <c r="J1036" s="26">
        <v>0</v>
      </c>
      <c r="K1036" s="26">
        <v>0</v>
      </c>
      <c r="L1036" s="27">
        <v>0</v>
      </c>
    </row>
    <row r="1037" spans="1:12">
      <c r="A1037" s="24" t="s">
        <v>185</v>
      </c>
      <c r="B1037" s="24" t="s">
        <v>329</v>
      </c>
      <c r="C1037" s="25">
        <v>45717</v>
      </c>
      <c r="D1037" s="24" t="s">
        <v>2659</v>
      </c>
      <c r="E1037" s="26">
        <v>0</v>
      </c>
      <c r="F1037" s="26">
        <v>0</v>
      </c>
      <c r="G1037" s="26">
        <v>0</v>
      </c>
      <c r="H1037" s="26">
        <v>0</v>
      </c>
      <c r="I1037" s="26">
        <v>0</v>
      </c>
      <c r="J1037" s="26">
        <v>0</v>
      </c>
      <c r="K1037" s="26">
        <v>0</v>
      </c>
      <c r="L1037" s="27">
        <v>0</v>
      </c>
    </row>
    <row r="1038" spans="1:12">
      <c r="A1038" s="24" t="s">
        <v>185</v>
      </c>
      <c r="B1038" s="24" t="s">
        <v>329</v>
      </c>
      <c r="C1038" s="25">
        <v>45748</v>
      </c>
      <c r="D1038" s="24" t="s">
        <v>2660</v>
      </c>
      <c r="E1038" s="26">
        <v>0</v>
      </c>
      <c r="F1038" s="26">
        <v>0</v>
      </c>
      <c r="G1038" s="26">
        <v>0</v>
      </c>
      <c r="H1038" s="26">
        <v>0</v>
      </c>
      <c r="I1038" s="26">
        <v>0</v>
      </c>
      <c r="J1038" s="26">
        <v>0</v>
      </c>
      <c r="K1038" s="26">
        <v>0</v>
      </c>
      <c r="L1038" s="27">
        <v>0</v>
      </c>
    </row>
    <row r="1039" spans="1:12">
      <c r="A1039" s="24" t="s">
        <v>185</v>
      </c>
      <c r="B1039" s="24" t="s">
        <v>329</v>
      </c>
      <c r="C1039" s="25">
        <v>45778</v>
      </c>
      <c r="D1039" s="24" t="s">
        <v>2661</v>
      </c>
      <c r="E1039" s="26">
        <v>0</v>
      </c>
      <c r="F1039" s="26">
        <v>0</v>
      </c>
      <c r="G1039" s="26">
        <v>0</v>
      </c>
      <c r="H1039" s="26">
        <v>0</v>
      </c>
      <c r="I1039" s="26">
        <v>0</v>
      </c>
      <c r="J1039" s="26">
        <v>0</v>
      </c>
      <c r="K1039" s="26">
        <v>0</v>
      </c>
      <c r="L1039" s="27">
        <v>0</v>
      </c>
    </row>
    <row r="1040" spans="1:12">
      <c r="A1040" s="24" t="s">
        <v>185</v>
      </c>
      <c r="B1040" s="24" t="s">
        <v>329</v>
      </c>
      <c r="C1040" s="25">
        <v>45809</v>
      </c>
      <c r="D1040" s="24" t="s">
        <v>2662</v>
      </c>
      <c r="E1040" s="26">
        <v>0</v>
      </c>
      <c r="F1040" s="26">
        <v>0</v>
      </c>
      <c r="G1040" s="26">
        <v>0</v>
      </c>
      <c r="H1040" s="26">
        <v>0</v>
      </c>
      <c r="I1040" s="26">
        <v>0</v>
      </c>
      <c r="J1040" s="26">
        <v>0</v>
      </c>
      <c r="K1040" s="26">
        <v>0</v>
      </c>
      <c r="L1040" s="27">
        <v>0</v>
      </c>
    </row>
    <row r="1041" spans="1:12">
      <c r="A1041" s="24" t="s">
        <v>185</v>
      </c>
      <c r="B1041" s="24" t="s">
        <v>329</v>
      </c>
      <c r="C1041" s="25">
        <v>45839</v>
      </c>
      <c r="D1041" s="24" t="s">
        <v>2663</v>
      </c>
      <c r="E1041" s="26">
        <v>40861.15</v>
      </c>
      <c r="F1041" s="26">
        <v>0</v>
      </c>
      <c r="G1041" s="26">
        <v>40861.15</v>
      </c>
      <c r="H1041" s="26">
        <v>0</v>
      </c>
      <c r="I1041" s="26">
        <v>40861.15</v>
      </c>
      <c r="J1041" s="26">
        <v>0</v>
      </c>
      <c r="K1041" s="26">
        <v>40861.15</v>
      </c>
      <c r="L1041" s="27">
        <v>1</v>
      </c>
    </row>
    <row r="1042" spans="1:12">
      <c r="A1042" s="24" t="s">
        <v>185</v>
      </c>
      <c r="B1042" s="24" t="s">
        <v>329</v>
      </c>
      <c r="C1042" s="25">
        <v>45870</v>
      </c>
      <c r="D1042" s="24" t="s">
        <v>2664</v>
      </c>
      <c r="E1042" s="26">
        <v>51089.32</v>
      </c>
      <c r="F1042" s="26">
        <v>0</v>
      </c>
      <c r="G1042" s="26">
        <v>51089.32</v>
      </c>
      <c r="H1042" s="26">
        <v>0</v>
      </c>
      <c r="I1042" s="26">
        <v>51089.32</v>
      </c>
      <c r="J1042" s="26">
        <v>0</v>
      </c>
      <c r="K1042" s="26">
        <v>51089.32</v>
      </c>
      <c r="L1042" s="27">
        <v>1</v>
      </c>
    </row>
    <row r="1043" spans="1:12">
      <c r="A1043" s="24" t="s">
        <v>185</v>
      </c>
      <c r="B1043" s="24" t="s">
        <v>329</v>
      </c>
      <c r="C1043" s="25">
        <v>45901</v>
      </c>
      <c r="D1043" s="24" t="s">
        <v>2665</v>
      </c>
      <c r="E1043" s="26">
        <v>26982.58</v>
      </c>
      <c r="F1043" s="26">
        <v>0</v>
      </c>
      <c r="G1043" s="26">
        <v>26982.58</v>
      </c>
      <c r="H1043" s="26">
        <v>0</v>
      </c>
      <c r="I1043" s="26">
        <v>26982.58</v>
      </c>
      <c r="J1043" s="26">
        <v>0</v>
      </c>
      <c r="K1043" s="26">
        <v>26982.58</v>
      </c>
      <c r="L1043" s="27">
        <v>1</v>
      </c>
    </row>
    <row r="1044" spans="1:12">
      <c r="A1044" s="24" t="s">
        <v>185</v>
      </c>
      <c r="B1044" s="24" t="s">
        <v>329</v>
      </c>
      <c r="C1044" s="25">
        <v>45931</v>
      </c>
      <c r="D1044" s="24" t="s">
        <v>2666</v>
      </c>
      <c r="E1044" s="26">
        <v>0</v>
      </c>
      <c r="F1044" s="26">
        <v>0</v>
      </c>
      <c r="G1044" s="26">
        <v>0</v>
      </c>
      <c r="H1044" s="26">
        <v>0</v>
      </c>
      <c r="I1044" s="26">
        <v>0</v>
      </c>
      <c r="J1044" s="26">
        <v>0</v>
      </c>
      <c r="K1044" s="26">
        <v>0</v>
      </c>
      <c r="L1044" s="27">
        <v>0</v>
      </c>
    </row>
    <row r="1045" spans="1:12">
      <c r="A1045" s="24" t="s">
        <v>185</v>
      </c>
      <c r="B1045" s="24" t="s">
        <v>329</v>
      </c>
      <c r="C1045" s="25">
        <v>45962</v>
      </c>
      <c r="D1045" s="24" t="s">
        <v>2667</v>
      </c>
      <c r="E1045" s="26">
        <v>39918.35</v>
      </c>
      <c r="F1045" s="26">
        <v>0</v>
      </c>
      <c r="G1045" s="26">
        <v>39918.35</v>
      </c>
      <c r="H1045" s="26">
        <v>0</v>
      </c>
      <c r="I1045" s="26">
        <v>39918.35</v>
      </c>
      <c r="J1045" s="26">
        <v>0</v>
      </c>
      <c r="K1045" s="26">
        <v>39918.35</v>
      </c>
      <c r="L1045" s="27">
        <v>1</v>
      </c>
    </row>
    <row r="1046" spans="1:12">
      <c r="A1046" s="24" t="s">
        <v>185</v>
      </c>
      <c r="B1046" s="24" t="s">
        <v>329</v>
      </c>
      <c r="C1046" s="25">
        <v>45992</v>
      </c>
      <c r="D1046" s="24" t="s">
        <v>2668</v>
      </c>
      <c r="E1046" s="26">
        <v>0</v>
      </c>
      <c r="F1046" s="26">
        <v>0</v>
      </c>
      <c r="G1046" s="26">
        <v>0</v>
      </c>
      <c r="H1046" s="26">
        <v>0</v>
      </c>
      <c r="I1046" s="26">
        <v>0</v>
      </c>
      <c r="J1046" s="26">
        <v>0</v>
      </c>
      <c r="K1046" s="26">
        <v>0</v>
      </c>
      <c r="L1046" s="27">
        <v>0</v>
      </c>
    </row>
    <row r="1047" spans="1:12">
      <c r="A1047" s="24" t="s">
        <v>226</v>
      </c>
      <c r="B1047" s="24" t="s">
        <v>329</v>
      </c>
      <c r="C1047" s="25">
        <v>45658</v>
      </c>
      <c r="D1047" s="24" t="s">
        <v>2657</v>
      </c>
      <c r="E1047" s="26">
        <v>0</v>
      </c>
      <c r="F1047" s="26">
        <v>0</v>
      </c>
      <c r="G1047" s="26">
        <v>0</v>
      </c>
      <c r="H1047" s="26">
        <v>0</v>
      </c>
      <c r="I1047" s="26">
        <v>0</v>
      </c>
      <c r="J1047" s="26">
        <v>0</v>
      </c>
      <c r="K1047" s="26">
        <v>0</v>
      </c>
      <c r="L1047" s="27">
        <v>0</v>
      </c>
    </row>
    <row r="1048" spans="1:12">
      <c r="A1048" s="24" t="s">
        <v>226</v>
      </c>
      <c r="B1048" s="24" t="s">
        <v>329</v>
      </c>
      <c r="C1048" s="25">
        <v>45689</v>
      </c>
      <c r="D1048" s="24" t="s">
        <v>2658</v>
      </c>
      <c r="E1048" s="26">
        <v>0</v>
      </c>
      <c r="F1048" s="26">
        <v>0</v>
      </c>
      <c r="G1048" s="26">
        <v>0</v>
      </c>
      <c r="H1048" s="26">
        <v>0</v>
      </c>
      <c r="I1048" s="26">
        <v>0</v>
      </c>
      <c r="J1048" s="26">
        <v>0</v>
      </c>
      <c r="K1048" s="26">
        <v>0</v>
      </c>
      <c r="L1048" s="27">
        <v>0</v>
      </c>
    </row>
    <row r="1049" spans="1:12">
      <c r="A1049" s="24" t="s">
        <v>226</v>
      </c>
      <c r="B1049" s="24" t="s">
        <v>329</v>
      </c>
      <c r="C1049" s="25">
        <v>45717</v>
      </c>
      <c r="D1049" s="24" t="s">
        <v>2659</v>
      </c>
      <c r="E1049" s="26">
        <v>0</v>
      </c>
      <c r="F1049" s="26">
        <v>0</v>
      </c>
      <c r="G1049" s="26">
        <v>0</v>
      </c>
      <c r="H1049" s="26">
        <v>0</v>
      </c>
      <c r="I1049" s="26">
        <v>0</v>
      </c>
      <c r="J1049" s="26">
        <v>0</v>
      </c>
      <c r="K1049" s="26">
        <v>0</v>
      </c>
      <c r="L1049" s="27">
        <v>0</v>
      </c>
    </row>
    <row r="1050" spans="1:12">
      <c r="A1050" s="24" t="s">
        <v>226</v>
      </c>
      <c r="B1050" s="24" t="s">
        <v>329</v>
      </c>
      <c r="C1050" s="25">
        <v>45748</v>
      </c>
      <c r="D1050" s="24" t="s">
        <v>2660</v>
      </c>
      <c r="E1050" s="26">
        <v>0</v>
      </c>
      <c r="F1050" s="26">
        <v>0</v>
      </c>
      <c r="G1050" s="26">
        <v>0</v>
      </c>
      <c r="H1050" s="26">
        <v>0</v>
      </c>
      <c r="I1050" s="26">
        <v>0</v>
      </c>
      <c r="J1050" s="26">
        <v>0</v>
      </c>
      <c r="K1050" s="26">
        <v>0</v>
      </c>
      <c r="L1050" s="27">
        <v>0</v>
      </c>
    </row>
    <row r="1051" spans="1:12">
      <c r="A1051" s="24" t="s">
        <v>226</v>
      </c>
      <c r="B1051" s="24" t="s">
        <v>329</v>
      </c>
      <c r="C1051" s="25">
        <v>45778</v>
      </c>
      <c r="D1051" s="24" t="s">
        <v>2661</v>
      </c>
      <c r="E1051" s="26">
        <v>0</v>
      </c>
      <c r="F1051" s="26">
        <v>0</v>
      </c>
      <c r="G1051" s="26">
        <v>0</v>
      </c>
      <c r="H1051" s="26">
        <v>0</v>
      </c>
      <c r="I1051" s="26">
        <v>0</v>
      </c>
      <c r="J1051" s="26">
        <v>0</v>
      </c>
      <c r="K1051" s="26">
        <v>0</v>
      </c>
      <c r="L1051" s="27">
        <v>0</v>
      </c>
    </row>
    <row r="1052" spans="1:12">
      <c r="A1052" s="24" t="s">
        <v>226</v>
      </c>
      <c r="B1052" s="24" t="s">
        <v>329</v>
      </c>
      <c r="C1052" s="25">
        <v>45809</v>
      </c>
      <c r="D1052" s="24" t="s">
        <v>2662</v>
      </c>
      <c r="E1052" s="26">
        <v>0</v>
      </c>
      <c r="F1052" s="26">
        <v>0</v>
      </c>
      <c r="G1052" s="26">
        <v>0</v>
      </c>
      <c r="H1052" s="26">
        <v>0</v>
      </c>
      <c r="I1052" s="26">
        <v>0</v>
      </c>
      <c r="J1052" s="26">
        <v>0</v>
      </c>
      <c r="K1052" s="26">
        <v>0</v>
      </c>
      <c r="L1052" s="27">
        <v>0</v>
      </c>
    </row>
    <row r="1053" spans="1:12">
      <c r="A1053" s="24" t="s">
        <v>226</v>
      </c>
      <c r="B1053" s="24" t="s">
        <v>329</v>
      </c>
      <c r="C1053" s="25">
        <v>45839</v>
      </c>
      <c r="D1053" s="24" t="s">
        <v>2663</v>
      </c>
      <c r="E1053" s="26">
        <v>0</v>
      </c>
      <c r="F1053" s="26">
        <v>0</v>
      </c>
      <c r="G1053" s="26">
        <v>0</v>
      </c>
      <c r="H1053" s="26">
        <v>0</v>
      </c>
      <c r="I1053" s="26">
        <v>0</v>
      </c>
      <c r="J1053" s="26">
        <v>0</v>
      </c>
      <c r="K1053" s="26">
        <v>0</v>
      </c>
      <c r="L1053" s="27">
        <v>0</v>
      </c>
    </row>
    <row r="1054" spans="1:12">
      <c r="A1054" s="24" t="s">
        <v>226</v>
      </c>
      <c r="B1054" s="24" t="s">
        <v>329</v>
      </c>
      <c r="C1054" s="25">
        <v>45870</v>
      </c>
      <c r="D1054" s="24" t="s">
        <v>2664</v>
      </c>
      <c r="E1054" s="26">
        <v>50529.4</v>
      </c>
      <c r="F1054" s="26">
        <v>0</v>
      </c>
      <c r="G1054" s="26">
        <v>50529.4</v>
      </c>
      <c r="H1054" s="26">
        <v>49780.98</v>
      </c>
      <c r="I1054" s="26">
        <v>748.41999999999825</v>
      </c>
      <c r="J1054" s="26">
        <v>0</v>
      </c>
      <c r="K1054" s="26">
        <v>748.41999999999825</v>
      </c>
      <c r="L1054" s="27">
        <v>1.4811575043440019E-2</v>
      </c>
    </row>
    <row r="1055" spans="1:12">
      <c r="A1055" s="24" t="s">
        <v>226</v>
      </c>
      <c r="B1055" s="24" t="s">
        <v>329</v>
      </c>
      <c r="C1055" s="25">
        <v>45901</v>
      </c>
      <c r="D1055" s="24" t="s">
        <v>2665</v>
      </c>
      <c r="E1055" s="26">
        <v>62613.67</v>
      </c>
      <c r="F1055" s="26">
        <v>0</v>
      </c>
      <c r="G1055" s="26">
        <v>62613.67</v>
      </c>
      <c r="H1055" s="26">
        <v>0</v>
      </c>
      <c r="I1055" s="26">
        <v>62613.67</v>
      </c>
      <c r="J1055" s="26">
        <v>0</v>
      </c>
      <c r="K1055" s="26">
        <v>62613.67</v>
      </c>
      <c r="L1055" s="27">
        <v>1</v>
      </c>
    </row>
    <row r="1056" spans="1:12">
      <c r="A1056" s="24" t="s">
        <v>226</v>
      </c>
      <c r="B1056" s="24" t="s">
        <v>329</v>
      </c>
      <c r="C1056" s="25">
        <v>45931</v>
      </c>
      <c r="D1056" s="24" t="s">
        <v>2666</v>
      </c>
      <c r="E1056" s="26">
        <v>68017.91</v>
      </c>
      <c r="F1056" s="26">
        <v>0</v>
      </c>
      <c r="G1056" s="26">
        <v>68017.91</v>
      </c>
      <c r="H1056" s="26">
        <v>0</v>
      </c>
      <c r="I1056" s="26">
        <v>68017.91</v>
      </c>
      <c r="J1056" s="26">
        <v>0</v>
      </c>
      <c r="K1056" s="26">
        <v>68017.91</v>
      </c>
      <c r="L1056" s="27">
        <v>1</v>
      </c>
    </row>
    <row r="1057" spans="1:12">
      <c r="A1057" s="24" t="s">
        <v>226</v>
      </c>
      <c r="B1057" s="24" t="s">
        <v>329</v>
      </c>
      <c r="C1057" s="25">
        <v>45962</v>
      </c>
      <c r="D1057" s="24" t="s">
        <v>2667</v>
      </c>
      <c r="E1057" s="26">
        <v>0</v>
      </c>
      <c r="F1057" s="26">
        <v>0</v>
      </c>
      <c r="G1057" s="26">
        <v>0</v>
      </c>
      <c r="H1057" s="26">
        <v>0</v>
      </c>
      <c r="I1057" s="26">
        <v>0</v>
      </c>
      <c r="J1057" s="26">
        <v>0</v>
      </c>
      <c r="K1057" s="26">
        <v>0</v>
      </c>
      <c r="L1057" s="27">
        <v>0</v>
      </c>
    </row>
    <row r="1058" spans="1:12">
      <c r="A1058" s="24" t="s">
        <v>226</v>
      </c>
      <c r="B1058" s="24" t="s">
        <v>329</v>
      </c>
      <c r="C1058" s="25">
        <v>45992</v>
      </c>
      <c r="D1058" s="24" t="s">
        <v>2668</v>
      </c>
      <c r="E1058" s="26">
        <v>0</v>
      </c>
      <c r="F1058" s="26">
        <v>0</v>
      </c>
      <c r="G1058" s="26">
        <v>0</v>
      </c>
      <c r="H1058" s="26">
        <v>0</v>
      </c>
      <c r="I1058" s="26">
        <v>0</v>
      </c>
      <c r="J1058" s="26">
        <v>0</v>
      </c>
      <c r="K1058" s="26">
        <v>0</v>
      </c>
      <c r="L1058" s="27">
        <v>0</v>
      </c>
    </row>
    <row r="1059" spans="1:12">
      <c r="A1059" s="24" t="s">
        <v>27</v>
      </c>
      <c r="B1059" s="24" t="s">
        <v>324</v>
      </c>
      <c r="C1059" s="25">
        <v>45658</v>
      </c>
      <c r="D1059" s="24" t="s">
        <v>2657</v>
      </c>
      <c r="E1059" s="26">
        <v>0</v>
      </c>
      <c r="F1059" s="26">
        <v>0</v>
      </c>
      <c r="G1059" s="26">
        <v>0</v>
      </c>
      <c r="H1059" s="26">
        <v>0</v>
      </c>
      <c r="I1059" s="26">
        <v>0</v>
      </c>
      <c r="J1059" s="26">
        <v>0</v>
      </c>
      <c r="K1059" s="26">
        <v>0</v>
      </c>
      <c r="L1059" s="27">
        <v>0</v>
      </c>
    </row>
    <row r="1060" spans="1:12">
      <c r="A1060" s="24" t="s">
        <v>27</v>
      </c>
      <c r="B1060" s="24" t="s">
        <v>324</v>
      </c>
      <c r="C1060" s="25">
        <v>45689</v>
      </c>
      <c r="D1060" s="24" t="s">
        <v>2658</v>
      </c>
      <c r="E1060" s="26">
        <v>0</v>
      </c>
      <c r="F1060" s="26">
        <v>0</v>
      </c>
      <c r="G1060" s="26">
        <v>0</v>
      </c>
      <c r="H1060" s="26">
        <v>0</v>
      </c>
      <c r="I1060" s="26">
        <v>0</v>
      </c>
      <c r="J1060" s="26">
        <v>0</v>
      </c>
      <c r="K1060" s="26">
        <v>0</v>
      </c>
      <c r="L1060" s="27">
        <v>0</v>
      </c>
    </row>
    <row r="1061" spans="1:12">
      <c r="A1061" s="24" t="s">
        <v>27</v>
      </c>
      <c r="B1061" s="24" t="s">
        <v>324</v>
      </c>
      <c r="C1061" s="25">
        <v>45717</v>
      </c>
      <c r="D1061" s="24" t="s">
        <v>2659</v>
      </c>
      <c r="E1061" s="26">
        <v>0</v>
      </c>
      <c r="F1061" s="26">
        <v>0</v>
      </c>
      <c r="G1061" s="26">
        <v>0</v>
      </c>
      <c r="H1061" s="26">
        <v>0</v>
      </c>
      <c r="I1061" s="26">
        <v>0</v>
      </c>
      <c r="J1061" s="26">
        <v>0</v>
      </c>
      <c r="K1061" s="26">
        <v>0</v>
      </c>
      <c r="L1061" s="27">
        <v>0</v>
      </c>
    </row>
    <row r="1062" spans="1:12">
      <c r="A1062" s="24" t="s">
        <v>27</v>
      </c>
      <c r="B1062" s="24" t="s">
        <v>324</v>
      </c>
      <c r="C1062" s="25">
        <v>45748</v>
      </c>
      <c r="D1062" s="24" t="s">
        <v>2660</v>
      </c>
      <c r="E1062" s="26">
        <v>0</v>
      </c>
      <c r="F1062" s="26">
        <v>0</v>
      </c>
      <c r="G1062" s="26">
        <v>0</v>
      </c>
      <c r="H1062" s="26">
        <v>0</v>
      </c>
      <c r="I1062" s="26">
        <v>0</v>
      </c>
      <c r="J1062" s="26">
        <v>0</v>
      </c>
      <c r="K1062" s="26">
        <v>0</v>
      </c>
      <c r="L1062" s="27">
        <v>0</v>
      </c>
    </row>
    <row r="1063" spans="1:12">
      <c r="A1063" s="24" t="s">
        <v>27</v>
      </c>
      <c r="B1063" s="24" t="s">
        <v>324</v>
      </c>
      <c r="C1063" s="25">
        <v>45778</v>
      </c>
      <c r="D1063" s="24" t="s">
        <v>2661</v>
      </c>
      <c r="E1063" s="26">
        <v>0</v>
      </c>
      <c r="F1063" s="26">
        <v>0</v>
      </c>
      <c r="G1063" s="26">
        <v>0</v>
      </c>
      <c r="H1063" s="26">
        <v>0</v>
      </c>
      <c r="I1063" s="26">
        <v>0</v>
      </c>
      <c r="J1063" s="26">
        <v>0</v>
      </c>
      <c r="K1063" s="26">
        <v>0</v>
      </c>
      <c r="L1063" s="27">
        <v>0</v>
      </c>
    </row>
    <row r="1064" spans="1:12">
      <c r="A1064" s="24" t="s">
        <v>27</v>
      </c>
      <c r="B1064" s="24" t="s">
        <v>324</v>
      </c>
      <c r="C1064" s="25">
        <v>45809</v>
      </c>
      <c r="D1064" s="24" t="s">
        <v>2662</v>
      </c>
      <c r="E1064" s="26">
        <v>0</v>
      </c>
      <c r="F1064" s="26">
        <v>0</v>
      </c>
      <c r="G1064" s="26">
        <v>0</v>
      </c>
      <c r="H1064" s="26">
        <v>0</v>
      </c>
      <c r="I1064" s="26">
        <v>0</v>
      </c>
      <c r="J1064" s="26">
        <v>0</v>
      </c>
      <c r="K1064" s="26">
        <v>0</v>
      </c>
      <c r="L1064" s="27">
        <v>0</v>
      </c>
    </row>
    <row r="1065" spans="1:12">
      <c r="A1065" s="24" t="s">
        <v>27</v>
      </c>
      <c r="B1065" s="24" t="s">
        <v>324</v>
      </c>
      <c r="C1065" s="25">
        <v>45839</v>
      </c>
      <c r="D1065" s="24" t="s">
        <v>2663</v>
      </c>
      <c r="E1065" s="26">
        <v>0</v>
      </c>
      <c r="F1065" s="26">
        <v>0</v>
      </c>
      <c r="G1065" s="26">
        <v>0</v>
      </c>
      <c r="H1065" s="26">
        <v>0</v>
      </c>
      <c r="I1065" s="26">
        <v>0</v>
      </c>
      <c r="J1065" s="26">
        <v>0</v>
      </c>
      <c r="K1065" s="26">
        <v>0</v>
      </c>
      <c r="L1065" s="27">
        <v>0</v>
      </c>
    </row>
    <row r="1066" spans="1:12">
      <c r="A1066" s="24" t="s">
        <v>27</v>
      </c>
      <c r="B1066" s="24" t="s">
        <v>324</v>
      </c>
      <c r="C1066" s="25">
        <v>45870</v>
      </c>
      <c r="D1066" s="24" t="s">
        <v>2664</v>
      </c>
      <c r="E1066" s="26">
        <v>66087.990000000005</v>
      </c>
      <c r="F1066" s="26">
        <v>0</v>
      </c>
      <c r="G1066" s="26">
        <v>66087.990000000005</v>
      </c>
      <c r="H1066" s="26">
        <v>45534.13</v>
      </c>
      <c r="I1066" s="26">
        <v>20553.860000000011</v>
      </c>
      <c r="J1066" s="26">
        <v>0</v>
      </c>
      <c r="K1066" s="26">
        <v>20553.860000000011</v>
      </c>
      <c r="L1066" s="27">
        <v>0.31100749167889669</v>
      </c>
    </row>
    <row r="1067" spans="1:12">
      <c r="A1067" s="24" t="s">
        <v>27</v>
      </c>
      <c r="B1067" s="24" t="s">
        <v>324</v>
      </c>
      <c r="C1067" s="25">
        <v>45901</v>
      </c>
      <c r="D1067" s="24" t="s">
        <v>2665</v>
      </c>
      <c r="E1067" s="26">
        <v>57086.55</v>
      </c>
      <c r="F1067" s="26">
        <v>0</v>
      </c>
      <c r="G1067" s="26">
        <v>57086.55</v>
      </c>
      <c r="H1067" s="26">
        <v>0</v>
      </c>
      <c r="I1067" s="26">
        <v>57086.55</v>
      </c>
      <c r="J1067" s="26">
        <v>0</v>
      </c>
      <c r="K1067" s="26">
        <v>57086.55</v>
      </c>
      <c r="L1067" s="27">
        <v>1</v>
      </c>
    </row>
    <row r="1068" spans="1:12">
      <c r="A1068" s="24" t="s">
        <v>27</v>
      </c>
      <c r="B1068" s="24" t="s">
        <v>324</v>
      </c>
      <c r="C1068" s="25">
        <v>45931</v>
      </c>
      <c r="D1068" s="24" t="s">
        <v>2666</v>
      </c>
      <c r="E1068" s="26">
        <v>62140.46</v>
      </c>
      <c r="F1068" s="26">
        <v>0</v>
      </c>
      <c r="G1068" s="26">
        <v>62140.46</v>
      </c>
      <c r="H1068" s="26">
        <v>0</v>
      </c>
      <c r="I1068" s="26">
        <v>62140.46</v>
      </c>
      <c r="J1068" s="26">
        <v>0</v>
      </c>
      <c r="K1068" s="26">
        <v>62140.46</v>
      </c>
      <c r="L1068" s="27">
        <v>1</v>
      </c>
    </row>
    <row r="1069" spans="1:12">
      <c r="A1069" s="24" t="s">
        <v>27</v>
      </c>
      <c r="B1069" s="24" t="s">
        <v>324</v>
      </c>
      <c r="C1069" s="25">
        <v>45962</v>
      </c>
      <c r="D1069" s="24" t="s">
        <v>2667</v>
      </c>
      <c r="E1069" s="26">
        <v>70442.929999999993</v>
      </c>
      <c r="F1069" s="26">
        <v>0</v>
      </c>
      <c r="G1069" s="26">
        <v>70442.929999999993</v>
      </c>
      <c r="H1069" s="26">
        <v>0</v>
      </c>
      <c r="I1069" s="26">
        <v>70442.929999999993</v>
      </c>
      <c r="J1069" s="26">
        <v>0</v>
      </c>
      <c r="K1069" s="26">
        <v>70442.929999999993</v>
      </c>
      <c r="L1069" s="27">
        <v>1</v>
      </c>
    </row>
    <row r="1070" spans="1:12">
      <c r="A1070" s="24" t="s">
        <v>27</v>
      </c>
      <c r="B1070" s="24" t="s">
        <v>324</v>
      </c>
      <c r="C1070" s="25">
        <v>45992</v>
      </c>
      <c r="D1070" s="24" t="s">
        <v>2668</v>
      </c>
      <c r="E1070" s="26">
        <v>54786.45</v>
      </c>
      <c r="F1070" s="26">
        <v>0</v>
      </c>
      <c r="G1070" s="26">
        <v>54786.45</v>
      </c>
      <c r="H1070" s="26">
        <v>0</v>
      </c>
      <c r="I1070" s="26">
        <v>54786.45</v>
      </c>
      <c r="J1070" s="26">
        <v>0</v>
      </c>
      <c r="K1070" s="26">
        <v>54786.45</v>
      </c>
      <c r="L1070" s="27">
        <v>1</v>
      </c>
    </row>
    <row r="1071" spans="1:12">
      <c r="A1071" s="24" t="s">
        <v>232</v>
      </c>
      <c r="B1071" s="24" t="s">
        <v>345</v>
      </c>
      <c r="C1071" s="25">
        <v>45658</v>
      </c>
      <c r="D1071" s="24" t="s">
        <v>2657</v>
      </c>
      <c r="E1071" s="26">
        <v>0</v>
      </c>
      <c r="F1071" s="26">
        <v>0</v>
      </c>
      <c r="G1071" s="26">
        <v>0</v>
      </c>
      <c r="H1071" s="26">
        <v>0</v>
      </c>
      <c r="I1071" s="26">
        <v>0</v>
      </c>
      <c r="J1071" s="26">
        <v>0</v>
      </c>
      <c r="K1071" s="26">
        <v>0</v>
      </c>
      <c r="L1071" s="27">
        <v>0</v>
      </c>
    </row>
    <row r="1072" spans="1:12">
      <c r="A1072" s="24" t="s">
        <v>232</v>
      </c>
      <c r="B1072" s="24" t="s">
        <v>345</v>
      </c>
      <c r="C1072" s="25">
        <v>45689</v>
      </c>
      <c r="D1072" s="24" t="s">
        <v>2658</v>
      </c>
      <c r="E1072" s="26">
        <v>0</v>
      </c>
      <c r="F1072" s="26">
        <v>0</v>
      </c>
      <c r="G1072" s="26">
        <v>0</v>
      </c>
      <c r="H1072" s="26">
        <v>0</v>
      </c>
      <c r="I1072" s="26">
        <v>0</v>
      </c>
      <c r="J1072" s="26">
        <v>0</v>
      </c>
      <c r="K1072" s="26">
        <v>0</v>
      </c>
      <c r="L1072" s="27">
        <v>0</v>
      </c>
    </row>
    <row r="1073" spans="1:12">
      <c r="A1073" s="24" t="s">
        <v>232</v>
      </c>
      <c r="B1073" s="24" t="s">
        <v>345</v>
      </c>
      <c r="C1073" s="25">
        <v>45717</v>
      </c>
      <c r="D1073" s="24" t="s">
        <v>2659</v>
      </c>
      <c r="E1073" s="26">
        <v>0</v>
      </c>
      <c r="F1073" s="26">
        <v>0</v>
      </c>
      <c r="G1073" s="26">
        <v>0</v>
      </c>
      <c r="H1073" s="26">
        <v>0</v>
      </c>
      <c r="I1073" s="26">
        <v>0</v>
      </c>
      <c r="J1073" s="26">
        <v>0</v>
      </c>
      <c r="K1073" s="26">
        <v>0</v>
      </c>
      <c r="L1073" s="27">
        <v>0</v>
      </c>
    </row>
    <row r="1074" spans="1:12">
      <c r="A1074" s="24" t="s">
        <v>232</v>
      </c>
      <c r="B1074" s="24" t="s">
        <v>345</v>
      </c>
      <c r="C1074" s="25">
        <v>45748</v>
      </c>
      <c r="D1074" s="24" t="s">
        <v>2660</v>
      </c>
      <c r="E1074" s="26">
        <v>0</v>
      </c>
      <c r="F1074" s="26">
        <v>0</v>
      </c>
      <c r="G1074" s="26">
        <v>0</v>
      </c>
      <c r="H1074" s="26">
        <v>0</v>
      </c>
      <c r="I1074" s="26">
        <v>0</v>
      </c>
      <c r="J1074" s="26">
        <v>0</v>
      </c>
      <c r="K1074" s="26">
        <v>0</v>
      </c>
      <c r="L1074" s="27">
        <v>0</v>
      </c>
    </row>
    <row r="1075" spans="1:12">
      <c r="A1075" s="24" t="s">
        <v>232</v>
      </c>
      <c r="B1075" s="24" t="s">
        <v>345</v>
      </c>
      <c r="C1075" s="25">
        <v>45778</v>
      </c>
      <c r="D1075" s="24" t="s">
        <v>2661</v>
      </c>
      <c r="E1075" s="26">
        <v>0</v>
      </c>
      <c r="F1075" s="26">
        <v>0</v>
      </c>
      <c r="G1075" s="26">
        <v>0</v>
      </c>
      <c r="H1075" s="26">
        <v>0</v>
      </c>
      <c r="I1075" s="26">
        <v>0</v>
      </c>
      <c r="J1075" s="26">
        <v>0</v>
      </c>
      <c r="K1075" s="26">
        <v>0</v>
      </c>
      <c r="L1075" s="27">
        <v>0</v>
      </c>
    </row>
    <row r="1076" spans="1:12">
      <c r="A1076" s="24" t="s">
        <v>232</v>
      </c>
      <c r="B1076" s="24" t="s">
        <v>345</v>
      </c>
      <c r="C1076" s="25">
        <v>45809</v>
      </c>
      <c r="D1076" s="24" t="s">
        <v>2662</v>
      </c>
      <c r="E1076" s="26">
        <v>0</v>
      </c>
      <c r="F1076" s="26">
        <v>0</v>
      </c>
      <c r="G1076" s="26">
        <v>0</v>
      </c>
      <c r="H1076" s="26">
        <v>0</v>
      </c>
      <c r="I1076" s="26">
        <v>0</v>
      </c>
      <c r="J1076" s="26">
        <v>0</v>
      </c>
      <c r="K1076" s="26">
        <v>0</v>
      </c>
      <c r="L1076" s="27">
        <v>0</v>
      </c>
    </row>
    <row r="1077" spans="1:12">
      <c r="A1077" s="24" t="s">
        <v>232</v>
      </c>
      <c r="B1077" s="24" t="s">
        <v>345</v>
      </c>
      <c r="C1077" s="25">
        <v>45839</v>
      </c>
      <c r="D1077" s="24" t="s">
        <v>2663</v>
      </c>
      <c r="E1077" s="26">
        <v>18743.73</v>
      </c>
      <c r="F1077" s="26">
        <v>0</v>
      </c>
      <c r="G1077" s="26">
        <v>18743.73</v>
      </c>
      <c r="H1077" s="26">
        <v>0</v>
      </c>
      <c r="I1077" s="26">
        <v>18743.73</v>
      </c>
      <c r="J1077" s="26">
        <v>0</v>
      </c>
      <c r="K1077" s="26">
        <v>18743.73</v>
      </c>
      <c r="L1077" s="27">
        <v>1</v>
      </c>
    </row>
    <row r="1078" spans="1:12">
      <c r="A1078" s="24" t="s">
        <v>232</v>
      </c>
      <c r="B1078" s="24" t="s">
        <v>345</v>
      </c>
      <c r="C1078" s="25">
        <v>45870</v>
      </c>
      <c r="D1078" s="24" t="s">
        <v>2664</v>
      </c>
      <c r="E1078" s="26">
        <v>9511.25</v>
      </c>
      <c r="F1078" s="26">
        <v>0</v>
      </c>
      <c r="G1078" s="26">
        <v>9511.25</v>
      </c>
      <c r="H1078" s="26">
        <v>45706.64</v>
      </c>
      <c r="I1078" s="26">
        <v>-36195.39</v>
      </c>
      <c r="J1078" s="26">
        <v>0</v>
      </c>
      <c r="K1078" s="26">
        <v>-36195.39</v>
      </c>
      <c r="L1078" s="27">
        <v>-3.8055344986200552</v>
      </c>
    </row>
    <row r="1079" spans="1:12">
      <c r="A1079" s="24" t="s">
        <v>232</v>
      </c>
      <c r="B1079" s="24" t="s">
        <v>345</v>
      </c>
      <c r="C1079" s="25">
        <v>45901</v>
      </c>
      <c r="D1079" s="24" t="s">
        <v>2665</v>
      </c>
      <c r="E1079" s="26">
        <v>14563.44</v>
      </c>
      <c r="F1079" s="26">
        <v>0</v>
      </c>
      <c r="G1079" s="26">
        <v>14563.44</v>
      </c>
      <c r="H1079" s="26">
        <v>0</v>
      </c>
      <c r="I1079" s="26">
        <v>14563.44</v>
      </c>
      <c r="J1079" s="26">
        <v>0</v>
      </c>
      <c r="K1079" s="26">
        <v>14563.44</v>
      </c>
      <c r="L1079" s="27">
        <v>1</v>
      </c>
    </row>
    <row r="1080" spans="1:12">
      <c r="A1080" s="24" t="s">
        <v>232</v>
      </c>
      <c r="B1080" s="24" t="s">
        <v>345</v>
      </c>
      <c r="C1080" s="25">
        <v>45931</v>
      </c>
      <c r="D1080" s="24" t="s">
        <v>2666</v>
      </c>
      <c r="E1080" s="26">
        <v>15958.38</v>
      </c>
      <c r="F1080" s="26">
        <v>0</v>
      </c>
      <c r="G1080" s="26">
        <v>15958.38</v>
      </c>
      <c r="H1080" s="26">
        <v>0</v>
      </c>
      <c r="I1080" s="26">
        <v>15958.38</v>
      </c>
      <c r="J1080" s="26">
        <v>0</v>
      </c>
      <c r="K1080" s="26">
        <v>15958.38</v>
      </c>
      <c r="L1080" s="27">
        <v>1</v>
      </c>
    </row>
    <row r="1081" spans="1:12">
      <c r="A1081" s="24" t="s">
        <v>232</v>
      </c>
      <c r="B1081" s="24" t="s">
        <v>345</v>
      </c>
      <c r="C1081" s="25">
        <v>45962</v>
      </c>
      <c r="D1081" s="24" t="s">
        <v>2667</v>
      </c>
      <c r="E1081" s="26">
        <v>0</v>
      </c>
      <c r="F1081" s="26">
        <v>0</v>
      </c>
      <c r="G1081" s="26">
        <v>0</v>
      </c>
      <c r="H1081" s="26">
        <v>0</v>
      </c>
      <c r="I1081" s="26">
        <v>0</v>
      </c>
      <c r="J1081" s="26">
        <v>0</v>
      </c>
      <c r="K1081" s="26">
        <v>0</v>
      </c>
      <c r="L1081" s="27">
        <v>0</v>
      </c>
    </row>
    <row r="1082" spans="1:12">
      <c r="A1082" s="24" t="s">
        <v>232</v>
      </c>
      <c r="B1082" s="24" t="s">
        <v>345</v>
      </c>
      <c r="C1082" s="25">
        <v>45992</v>
      </c>
      <c r="D1082" s="24" t="s">
        <v>2668</v>
      </c>
      <c r="E1082" s="26">
        <v>23113.97</v>
      </c>
      <c r="F1082" s="26">
        <v>0</v>
      </c>
      <c r="G1082" s="26">
        <v>23113.97</v>
      </c>
      <c r="H1082" s="26">
        <v>0</v>
      </c>
      <c r="I1082" s="26">
        <v>23113.97</v>
      </c>
      <c r="J1082" s="26">
        <v>0</v>
      </c>
      <c r="K1082" s="26">
        <v>23113.97</v>
      </c>
      <c r="L1082" s="27">
        <v>1</v>
      </c>
    </row>
    <row r="1083" spans="1:12">
      <c r="A1083" s="24" t="s">
        <v>101</v>
      </c>
      <c r="B1083" s="24" t="s">
        <v>324</v>
      </c>
      <c r="C1083" s="25">
        <v>45658</v>
      </c>
      <c r="D1083" s="24" t="s">
        <v>2657</v>
      </c>
      <c r="E1083" s="26">
        <v>0</v>
      </c>
      <c r="F1083" s="26">
        <v>0</v>
      </c>
      <c r="G1083" s="26">
        <v>0</v>
      </c>
      <c r="H1083" s="26">
        <v>0</v>
      </c>
      <c r="I1083" s="26">
        <v>0</v>
      </c>
      <c r="J1083" s="26">
        <v>0</v>
      </c>
      <c r="K1083" s="26">
        <v>0</v>
      </c>
      <c r="L1083" s="27">
        <v>0</v>
      </c>
    </row>
    <row r="1084" spans="1:12">
      <c r="A1084" s="24" t="s">
        <v>101</v>
      </c>
      <c r="B1084" s="24" t="s">
        <v>324</v>
      </c>
      <c r="C1084" s="25">
        <v>45689</v>
      </c>
      <c r="D1084" s="24" t="s">
        <v>2658</v>
      </c>
      <c r="E1084" s="26">
        <v>0</v>
      </c>
      <c r="F1084" s="26">
        <v>0</v>
      </c>
      <c r="G1084" s="26">
        <v>0</v>
      </c>
      <c r="H1084" s="26">
        <v>0</v>
      </c>
      <c r="I1084" s="26">
        <v>0</v>
      </c>
      <c r="J1084" s="26">
        <v>0</v>
      </c>
      <c r="K1084" s="26">
        <v>0</v>
      </c>
      <c r="L1084" s="27">
        <v>0</v>
      </c>
    </row>
    <row r="1085" spans="1:12">
      <c r="A1085" s="24" t="s">
        <v>101</v>
      </c>
      <c r="B1085" s="24" t="s">
        <v>324</v>
      </c>
      <c r="C1085" s="25">
        <v>45717</v>
      </c>
      <c r="D1085" s="24" t="s">
        <v>2659</v>
      </c>
      <c r="E1085" s="26">
        <v>0</v>
      </c>
      <c r="F1085" s="26">
        <v>0</v>
      </c>
      <c r="G1085" s="26">
        <v>0</v>
      </c>
      <c r="H1085" s="26">
        <v>0</v>
      </c>
      <c r="I1085" s="26">
        <v>0</v>
      </c>
      <c r="J1085" s="26">
        <v>0</v>
      </c>
      <c r="K1085" s="26">
        <v>0</v>
      </c>
      <c r="L1085" s="27">
        <v>0</v>
      </c>
    </row>
    <row r="1086" spans="1:12">
      <c r="A1086" s="24" t="s">
        <v>101</v>
      </c>
      <c r="B1086" s="24" t="s">
        <v>324</v>
      </c>
      <c r="C1086" s="25">
        <v>45748</v>
      </c>
      <c r="D1086" s="24" t="s">
        <v>2660</v>
      </c>
      <c r="E1086" s="26">
        <v>0</v>
      </c>
      <c r="F1086" s="26">
        <v>0</v>
      </c>
      <c r="G1086" s="26">
        <v>0</v>
      </c>
      <c r="H1086" s="26">
        <v>0</v>
      </c>
      <c r="I1086" s="26">
        <v>0</v>
      </c>
      <c r="J1086" s="26">
        <v>0</v>
      </c>
      <c r="K1086" s="26">
        <v>0</v>
      </c>
      <c r="L1086" s="27">
        <v>0</v>
      </c>
    </row>
    <row r="1087" spans="1:12">
      <c r="A1087" s="24" t="s">
        <v>101</v>
      </c>
      <c r="B1087" s="24" t="s">
        <v>324</v>
      </c>
      <c r="C1087" s="25">
        <v>45778</v>
      </c>
      <c r="D1087" s="24" t="s">
        <v>2661</v>
      </c>
      <c r="E1087" s="26">
        <v>0</v>
      </c>
      <c r="F1087" s="26">
        <v>0</v>
      </c>
      <c r="G1087" s="26">
        <v>0</v>
      </c>
      <c r="H1087" s="26">
        <v>0</v>
      </c>
      <c r="I1087" s="26">
        <v>0</v>
      </c>
      <c r="J1087" s="26">
        <v>0</v>
      </c>
      <c r="K1087" s="26">
        <v>0</v>
      </c>
      <c r="L1087" s="27">
        <v>0</v>
      </c>
    </row>
    <row r="1088" spans="1:12">
      <c r="A1088" s="24" t="s">
        <v>101</v>
      </c>
      <c r="B1088" s="24" t="s">
        <v>324</v>
      </c>
      <c r="C1088" s="25">
        <v>45809</v>
      </c>
      <c r="D1088" s="24" t="s">
        <v>2662</v>
      </c>
      <c r="E1088" s="26">
        <v>0</v>
      </c>
      <c r="F1088" s="26">
        <v>0</v>
      </c>
      <c r="G1088" s="26">
        <v>0</v>
      </c>
      <c r="H1088" s="26">
        <v>0</v>
      </c>
      <c r="I1088" s="26">
        <v>0</v>
      </c>
      <c r="J1088" s="26">
        <v>0</v>
      </c>
      <c r="K1088" s="26">
        <v>0</v>
      </c>
      <c r="L1088" s="27">
        <v>0</v>
      </c>
    </row>
    <row r="1089" spans="1:12">
      <c r="A1089" s="24" t="s">
        <v>101</v>
      </c>
      <c r="B1089" s="24" t="s">
        <v>324</v>
      </c>
      <c r="C1089" s="25">
        <v>45839</v>
      </c>
      <c r="D1089" s="24" t="s">
        <v>2663</v>
      </c>
      <c r="E1089" s="26">
        <v>20177.82</v>
      </c>
      <c r="F1089" s="26">
        <v>0</v>
      </c>
      <c r="G1089" s="26">
        <v>20177.82</v>
      </c>
      <c r="H1089" s="26">
        <v>0</v>
      </c>
      <c r="I1089" s="26">
        <v>20177.82</v>
      </c>
      <c r="J1089" s="26">
        <v>0</v>
      </c>
      <c r="K1089" s="26">
        <v>20177.82</v>
      </c>
      <c r="L1089" s="27">
        <v>1</v>
      </c>
    </row>
    <row r="1090" spans="1:12">
      <c r="A1090" s="24" t="s">
        <v>101</v>
      </c>
      <c r="B1090" s="24" t="s">
        <v>324</v>
      </c>
      <c r="C1090" s="25">
        <v>45870</v>
      </c>
      <c r="D1090" s="24" t="s">
        <v>2664</v>
      </c>
      <c r="E1090" s="26">
        <v>0</v>
      </c>
      <c r="F1090" s="26">
        <v>0</v>
      </c>
      <c r="G1090" s="26">
        <v>0</v>
      </c>
      <c r="H1090" s="26">
        <v>0</v>
      </c>
      <c r="I1090" s="26">
        <v>0</v>
      </c>
      <c r="J1090" s="26">
        <v>0</v>
      </c>
      <c r="K1090" s="26">
        <v>0</v>
      </c>
      <c r="L1090" s="27">
        <v>0</v>
      </c>
    </row>
    <row r="1091" spans="1:12">
      <c r="A1091" s="24" t="s">
        <v>101</v>
      </c>
      <c r="B1091" s="24" t="s">
        <v>324</v>
      </c>
      <c r="C1091" s="25">
        <v>45901</v>
      </c>
      <c r="D1091" s="24" t="s">
        <v>2665</v>
      </c>
      <c r="E1091" s="26">
        <v>0</v>
      </c>
      <c r="F1091" s="26">
        <v>0</v>
      </c>
      <c r="G1091" s="26">
        <v>0</v>
      </c>
      <c r="H1091" s="26">
        <v>0</v>
      </c>
      <c r="I1091" s="26">
        <v>0</v>
      </c>
      <c r="J1091" s="26">
        <v>0</v>
      </c>
      <c r="K1091" s="26">
        <v>0</v>
      </c>
      <c r="L1091" s="27">
        <v>0</v>
      </c>
    </row>
    <row r="1092" spans="1:12">
      <c r="A1092" s="24" t="s">
        <v>101</v>
      </c>
      <c r="B1092" s="24" t="s">
        <v>324</v>
      </c>
      <c r="C1092" s="25">
        <v>45931</v>
      </c>
      <c r="D1092" s="24" t="s">
        <v>2666</v>
      </c>
      <c r="E1092" s="26">
        <v>20909.05</v>
      </c>
      <c r="F1092" s="26">
        <v>0</v>
      </c>
      <c r="G1092" s="26">
        <v>20909.05</v>
      </c>
      <c r="H1092" s="26">
        <v>0</v>
      </c>
      <c r="I1092" s="26">
        <v>20909.05</v>
      </c>
      <c r="J1092" s="26">
        <v>0</v>
      </c>
      <c r="K1092" s="26">
        <v>20909.05</v>
      </c>
      <c r="L1092" s="27">
        <v>1</v>
      </c>
    </row>
    <row r="1093" spans="1:12">
      <c r="A1093" s="24" t="s">
        <v>101</v>
      </c>
      <c r="B1093" s="24" t="s">
        <v>324</v>
      </c>
      <c r="C1093" s="25">
        <v>45962</v>
      </c>
      <c r="D1093" s="24" t="s">
        <v>2667</v>
      </c>
      <c r="E1093" s="26">
        <v>37855.620000000003</v>
      </c>
      <c r="F1093" s="26">
        <v>0</v>
      </c>
      <c r="G1093" s="26">
        <v>37855.620000000003</v>
      </c>
      <c r="H1093" s="26">
        <v>0</v>
      </c>
      <c r="I1093" s="26">
        <v>37855.620000000003</v>
      </c>
      <c r="J1093" s="26">
        <v>0</v>
      </c>
      <c r="K1093" s="26">
        <v>37855.620000000003</v>
      </c>
      <c r="L1093" s="27">
        <v>1</v>
      </c>
    </row>
    <row r="1094" spans="1:12">
      <c r="A1094" s="24" t="s">
        <v>101</v>
      </c>
      <c r="B1094" s="24" t="s">
        <v>324</v>
      </c>
      <c r="C1094" s="25">
        <v>45992</v>
      </c>
      <c r="D1094" s="24" t="s">
        <v>2668</v>
      </c>
      <c r="E1094" s="26">
        <v>0</v>
      </c>
      <c r="F1094" s="26">
        <v>0</v>
      </c>
      <c r="G1094" s="26">
        <v>0</v>
      </c>
      <c r="H1094" s="26">
        <v>0</v>
      </c>
      <c r="I1094" s="26">
        <v>0</v>
      </c>
      <c r="J1094" s="26">
        <v>0</v>
      </c>
      <c r="K1094" s="26">
        <v>0</v>
      </c>
      <c r="L1094" s="27">
        <v>0</v>
      </c>
    </row>
    <row r="1095" spans="1:12">
      <c r="A1095" s="24" t="s">
        <v>294</v>
      </c>
      <c r="B1095" s="24" t="s">
        <v>324</v>
      </c>
      <c r="C1095" s="25">
        <v>45658</v>
      </c>
      <c r="D1095" s="24" t="s">
        <v>2657</v>
      </c>
      <c r="E1095" s="26">
        <v>0</v>
      </c>
      <c r="F1095" s="26">
        <v>0</v>
      </c>
      <c r="G1095" s="26">
        <v>0</v>
      </c>
      <c r="H1095" s="26">
        <v>0</v>
      </c>
      <c r="I1095" s="26">
        <v>0</v>
      </c>
      <c r="J1095" s="26">
        <v>0</v>
      </c>
      <c r="K1095" s="26">
        <v>0</v>
      </c>
      <c r="L1095" s="27">
        <v>0</v>
      </c>
    </row>
    <row r="1096" spans="1:12">
      <c r="A1096" s="24" t="s">
        <v>294</v>
      </c>
      <c r="B1096" s="24" t="s">
        <v>324</v>
      </c>
      <c r="C1096" s="25">
        <v>45689</v>
      </c>
      <c r="D1096" s="24" t="s">
        <v>2658</v>
      </c>
      <c r="E1096" s="26">
        <v>0</v>
      </c>
      <c r="F1096" s="26">
        <v>0</v>
      </c>
      <c r="G1096" s="26">
        <v>0</v>
      </c>
      <c r="H1096" s="26">
        <v>0</v>
      </c>
      <c r="I1096" s="26">
        <v>0</v>
      </c>
      <c r="J1096" s="26">
        <v>0</v>
      </c>
      <c r="K1096" s="26">
        <v>0</v>
      </c>
      <c r="L1096" s="27">
        <v>0</v>
      </c>
    </row>
    <row r="1097" spans="1:12">
      <c r="A1097" s="24" t="s">
        <v>294</v>
      </c>
      <c r="B1097" s="24" t="s">
        <v>324</v>
      </c>
      <c r="C1097" s="25">
        <v>45717</v>
      </c>
      <c r="D1097" s="24" t="s">
        <v>2659</v>
      </c>
      <c r="E1097" s="26">
        <v>0</v>
      </c>
      <c r="F1097" s="26">
        <v>0</v>
      </c>
      <c r="G1097" s="26">
        <v>0</v>
      </c>
      <c r="H1097" s="26">
        <v>0</v>
      </c>
      <c r="I1097" s="26">
        <v>0</v>
      </c>
      <c r="J1097" s="26">
        <v>0</v>
      </c>
      <c r="K1097" s="26">
        <v>0</v>
      </c>
      <c r="L1097" s="27">
        <v>0</v>
      </c>
    </row>
    <row r="1098" spans="1:12">
      <c r="A1098" s="24" t="s">
        <v>294</v>
      </c>
      <c r="B1098" s="24" t="s">
        <v>324</v>
      </c>
      <c r="C1098" s="25">
        <v>45748</v>
      </c>
      <c r="D1098" s="24" t="s">
        <v>2660</v>
      </c>
      <c r="E1098" s="26">
        <v>0</v>
      </c>
      <c r="F1098" s="26">
        <v>0</v>
      </c>
      <c r="G1098" s="26">
        <v>0</v>
      </c>
      <c r="H1098" s="26">
        <v>0</v>
      </c>
      <c r="I1098" s="26">
        <v>0</v>
      </c>
      <c r="J1098" s="26">
        <v>0</v>
      </c>
      <c r="K1098" s="26">
        <v>0</v>
      </c>
      <c r="L1098" s="27">
        <v>0</v>
      </c>
    </row>
    <row r="1099" spans="1:12">
      <c r="A1099" s="24" t="s">
        <v>294</v>
      </c>
      <c r="B1099" s="24" t="s">
        <v>324</v>
      </c>
      <c r="C1099" s="25">
        <v>45778</v>
      </c>
      <c r="D1099" s="24" t="s">
        <v>2661</v>
      </c>
      <c r="E1099" s="26">
        <v>0</v>
      </c>
      <c r="F1099" s="26">
        <v>0</v>
      </c>
      <c r="G1099" s="26">
        <v>0</v>
      </c>
      <c r="H1099" s="26">
        <v>0</v>
      </c>
      <c r="I1099" s="26">
        <v>0</v>
      </c>
      <c r="J1099" s="26">
        <v>0</v>
      </c>
      <c r="K1099" s="26">
        <v>0</v>
      </c>
      <c r="L1099" s="27">
        <v>0</v>
      </c>
    </row>
    <row r="1100" spans="1:12">
      <c r="A1100" s="24" t="s">
        <v>294</v>
      </c>
      <c r="B1100" s="24" t="s">
        <v>324</v>
      </c>
      <c r="C1100" s="25">
        <v>45809</v>
      </c>
      <c r="D1100" s="24" t="s">
        <v>2662</v>
      </c>
      <c r="E1100" s="26">
        <v>0</v>
      </c>
      <c r="F1100" s="26">
        <v>0</v>
      </c>
      <c r="G1100" s="26">
        <v>0</v>
      </c>
      <c r="H1100" s="26">
        <v>0</v>
      </c>
      <c r="I1100" s="26">
        <v>0</v>
      </c>
      <c r="J1100" s="26">
        <v>0</v>
      </c>
      <c r="K1100" s="26">
        <v>0</v>
      </c>
      <c r="L1100" s="27">
        <v>0</v>
      </c>
    </row>
    <row r="1101" spans="1:12">
      <c r="A1101" s="24" t="s">
        <v>294</v>
      </c>
      <c r="B1101" s="24" t="s">
        <v>324</v>
      </c>
      <c r="C1101" s="25">
        <v>45839</v>
      </c>
      <c r="D1101" s="24" t="s">
        <v>2663</v>
      </c>
      <c r="E1101" s="26">
        <v>0</v>
      </c>
      <c r="F1101" s="26">
        <v>0</v>
      </c>
      <c r="G1101" s="26">
        <v>0</v>
      </c>
      <c r="H1101" s="26">
        <v>0</v>
      </c>
      <c r="I1101" s="26">
        <v>0</v>
      </c>
      <c r="J1101" s="26">
        <v>0</v>
      </c>
      <c r="K1101" s="26">
        <v>0</v>
      </c>
      <c r="L1101" s="27">
        <v>0</v>
      </c>
    </row>
    <row r="1102" spans="1:12">
      <c r="A1102" s="24" t="s">
        <v>294</v>
      </c>
      <c r="B1102" s="24" t="s">
        <v>324</v>
      </c>
      <c r="C1102" s="25">
        <v>45870</v>
      </c>
      <c r="D1102" s="24" t="s">
        <v>2664</v>
      </c>
      <c r="E1102" s="26">
        <v>0</v>
      </c>
      <c r="F1102" s="26">
        <v>0</v>
      </c>
      <c r="G1102" s="26">
        <v>0</v>
      </c>
      <c r="H1102" s="26">
        <v>0</v>
      </c>
      <c r="I1102" s="26">
        <v>0</v>
      </c>
      <c r="J1102" s="26">
        <v>0</v>
      </c>
      <c r="K1102" s="26">
        <v>0</v>
      </c>
      <c r="L1102" s="27">
        <v>0</v>
      </c>
    </row>
    <row r="1103" spans="1:12">
      <c r="A1103" s="24" t="s">
        <v>294</v>
      </c>
      <c r="B1103" s="24" t="s">
        <v>324</v>
      </c>
      <c r="C1103" s="25">
        <v>45901</v>
      </c>
      <c r="D1103" s="24" t="s">
        <v>2665</v>
      </c>
      <c r="E1103" s="26">
        <v>0</v>
      </c>
      <c r="F1103" s="26">
        <v>0</v>
      </c>
      <c r="G1103" s="26">
        <v>0</v>
      </c>
      <c r="H1103" s="26">
        <v>0</v>
      </c>
      <c r="I1103" s="26">
        <v>0</v>
      </c>
      <c r="J1103" s="26">
        <v>0</v>
      </c>
      <c r="K1103" s="26">
        <v>0</v>
      </c>
      <c r="L1103" s="27">
        <v>0</v>
      </c>
    </row>
    <row r="1104" spans="1:12">
      <c r="A1104" s="24" t="s">
        <v>294</v>
      </c>
      <c r="B1104" s="24" t="s">
        <v>324</v>
      </c>
      <c r="C1104" s="25">
        <v>45931</v>
      </c>
      <c r="D1104" s="24" t="s">
        <v>2666</v>
      </c>
      <c r="E1104" s="26">
        <v>0</v>
      </c>
      <c r="F1104" s="26">
        <v>0</v>
      </c>
      <c r="G1104" s="26">
        <v>0</v>
      </c>
      <c r="H1104" s="26">
        <v>0</v>
      </c>
      <c r="I1104" s="26">
        <v>0</v>
      </c>
      <c r="J1104" s="26">
        <v>0</v>
      </c>
      <c r="K1104" s="26">
        <v>0</v>
      </c>
      <c r="L1104" s="27">
        <v>0</v>
      </c>
    </row>
    <row r="1105" spans="1:12">
      <c r="A1105" s="24" t="s">
        <v>294</v>
      </c>
      <c r="B1105" s="24" t="s">
        <v>324</v>
      </c>
      <c r="C1105" s="25">
        <v>45962</v>
      </c>
      <c r="D1105" s="24" t="s">
        <v>2667</v>
      </c>
      <c r="E1105" s="26">
        <v>0</v>
      </c>
      <c r="F1105" s="26">
        <v>0</v>
      </c>
      <c r="G1105" s="26">
        <v>0</v>
      </c>
      <c r="H1105" s="26">
        <v>0</v>
      </c>
      <c r="I1105" s="26">
        <v>0</v>
      </c>
      <c r="J1105" s="26">
        <v>0</v>
      </c>
      <c r="K1105" s="26">
        <v>0</v>
      </c>
      <c r="L1105" s="27">
        <v>0</v>
      </c>
    </row>
    <row r="1106" spans="1:12">
      <c r="A1106" s="24" t="s">
        <v>294</v>
      </c>
      <c r="B1106" s="24" t="s">
        <v>324</v>
      </c>
      <c r="C1106" s="25">
        <v>45992</v>
      </c>
      <c r="D1106" s="24" t="s">
        <v>2668</v>
      </c>
      <c r="E1106" s="26">
        <v>0</v>
      </c>
      <c r="F1106" s="26">
        <v>0</v>
      </c>
      <c r="G1106" s="26">
        <v>0</v>
      </c>
      <c r="H1106" s="26">
        <v>0</v>
      </c>
      <c r="I1106" s="26">
        <v>0</v>
      </c>
      <c r="J1106" s="26">
        <v>0</v>
      </c>
      <c r="K1106" s="26">
        <v>0</v>
      </c>
      <c r="L1106" s="27">
        <v>0</v>
      </c>
    </row>
    <row r="1107" spans="1:12">
      <c r="A1107" s="24" t="s">
        <v>170</v>
      </c>
      <c r="B1107" s="24" t="s">
        <v>345</v>
      </c>
      <c r="C1107" s="25">
        <v>45658</v>
      </c>
      <c r="D1107" s="24" t="s">
        <v>2657</v>
      </c>
      <c r="E1107" s="26">
        <v>0</v>
      </c>
      <c r="F1107" s="26">
        <v>0</v>
      </c>
      <c r="G1107" s="26">
        <v>0</v>
      </c>
      <c r="H1107" s="26">
        <v>0</v>
      </c>
      <c r="I1107" s="26">
        <v>0</v>
      </c>
      <c r="J1107" s="26">
        <v>0</v>
      </c>
      <c r="K1107" s="26">
        <v>0</v>
      </c>
      <c r="L1107" s="27">
        <v>0</v>
      </c>
    </row>
    <row r="1108" spans="1:12">
      <c r="A1108" s="24" t="s">
        <v>170</v>
      </c>
      <c r="B1108" s="24" t="s">
        <v>345</v>
      </c>
      <c r="C1108" s="25">
        <v>45689</v>
      </c>
      <c r="D1108" s="24" t="s">
        <v>2658</v>
      </c>
      <c r="E1108" s="26">
        <v>0</v>
      </c>
      <c r="F1108" s="26">
        <v>0</v>
      </c>
      <c r="G1108" s="26">
        <v>0</v>
      </c>
      <c r="H1108" s="26">
        <v>0</v>
      </c>
      <c r="I1108" s="26">
        <v>0</v>
      </c>
      <c r="J1108" s="26">
        <v>0</v>
      </c>
      <c r="K1108" s="26">
        <v>0</v>
      </c>
      <c r="L1108" s="27">
        <v>0</v>
      </c>
    </row>
    <row r="1109" spans="1:12">
      <c r="A1109" s="24" t="s">
        <v>170</v>
      </c>
      <c r="B1109" s="24" t="s">
        <v>345</v>
      </c>
      <c r="C1109" s="25">
        <v>45717</v>
      </c>
      <c r="D1109" s="24" t="s">
        <v>2659</v>
      </c>
      <c r="E1109" s="26">
        <v>0</v>
      </c>
      <c r="F1109" s="26">
        <v>0</v>
      </c>
      <c r="G1109" s="26">
        <v>0</v>
      </c>
      <c r="H1109" s="26">
        <v>0</v>
      </c>
      <c r="I1109" s="26">
        <v>0</v>
      </c>
      <c r="J1109" s="26">
        <v>0</v>
      </c>
      <c r="K1109" s="26">
        <v>0</v>
      </c>
      <c r="L1109" s="27">
        <v>0</v>
      </c>
    </row>
    <row r="1110" spans="1:12">
      <c r="A1110" s="24" t="s">
        <v>170</v>
      </c>
      <c r="B1110" s="24" t="s">
        <v>345</v>
      </c>
      <c r="C1110" s="25">
        <v>45748</v>
      </c>
      <c r="D1110" s="24" t="s">
        <v>2660</v>
      </c>
      <c r="E1110" s="26">
        <v>0</v>
      </c>
      <c r="F1110" s="26">
        <v>0</v>
      </c>
      <c r="G1110" s="26">
        <v>0</v>
      </c>
      <c r="H1110" s="26">
        <v>0</v>
      </c>
      <c r="I1110" s="26">
        <v>0</v>
      </c>
      <c r="J1110" s="26">
        <v>0</v>
      </c>
      <c r="K1110" s="26">
        <v>0</v>
      </c>
      <c r="L1110" s="27">
        <v>0</v>
      </c>
    </row>
    <row r="1111" spans="1:12">
      <c r="A1111" s="24" t="s">
        <v>170</v>
      </c>
      <c r="B1111" s="24" t="s">
        <v>345</v>
      </c>
      <c r="C1111" s="25">
        <v>45778</v>
      </c>
      <c r="D1111" s="24" t="s">
        <v>2661</v>
      </c>
      <c r="E1111" s="26">
        <v>0</v>
      </c>
      <c r="F1111" s="26">
        <v>0</v>
      </c>
      <c r="G1111" s="26">
        <v>0</v>
      </c>
      <c r="H1111" s="26">
        <v>0</v>
      </c>
      <c r="I1111" s="26">
        <v>0</v>
      </c>
      <c r="J1111" s="26">
        <v>0</v>
      </c>
      <c r="K1111" s="26">
        <v>0</v>
      </c>
      <c r="L1111" s="27">
        <v>0</v>
      </c>
    </row>
    <row r="1112" spans="1:12">
      <c r="A1112" s="24" t="s">
        <v>170</v>
      </c>
      <c r="B1112" s="24" t="s">
        <v>345</v>
      </c>
      <c r="C1112" s="25">
        <v>45809</v>
      </c>
      <c r="D1112" s="24" t="s">
        <v>2662</v>
      </c>
      <c r="E1112" s="26">
        <v>0</v>
      </c>
      <c r="F1112" s="26">
        <v>0</v>
      </c>
      <c r="G1112" s="26">
        <v>0</v>
      </c>
      <c r="H1112" s="26">
        <v>0</v>
      </c>
      <c r="I1112" s="26">
        <v>0</v>
      </c>
      <c r="J1112" s="26">
        <v>0</v>
      </c>
      <c r="K1112" s="26">
        <v>0</v>
      </c>
      <c r="L1112" s="27">
        <v>0</v>
      </c>
    </row>
    <row r="1113" spans="1:12">
      <c r="A1113" s="24" t="s">
        <v>170</v>
      </c>
      <c r="B1113" s="24" t="s">
        <v>345</v>
      </c>
      <c r="C1113" s="25">
        <v>45839</v>
      </c>
      <c r="D1113" s="24" t="s">
        <v>2663</v>
      </c>
      <c r="E1113" s="26">
        <v>67205.42</v>
      </c>
      <c r="F1113" s="26">
        <v>0</v>
      </c>
      <c r="G1113" s="26">
        <v>67205.42</v>
      </c>
      <c r="H1113" s="26">
        <v>96487.13</v>
      </c>
      <c r="I1113" s="26">
        <v>-29281.71000000001</v>
      </c>
      <c r="J1113" s="26">
        <v>0</v>
      </c>
      <c r="K1113" s="26">
        <v>-29281.71000000001</v>
      </c>
      <c r="L1113" s="27">
        <v>-0.43570459049285032</v>
      </c>
    </row>
    <row r="1114" spans="1:12">
      <c r="A1114" s="24" t="s">
        <v>170</v>
      </c>
      <c r="B1114" s="24" t="s">
        <v>345</v>
      </c>
      <c r="C1114" s="25">
        <v>45870</v>
      </c>
      <c r="D1114" s="24" t="s">
        <v>2664</v>
      </c>
      <c r="E1114" s="26">
        <v>29738.240000000002</v>
      </c>
      <c r="F1114" s="26">
        <v>0</v>
      </c>
      <c r="G1114" s="26">
        <v>29738.240000000002</v>
      </c>
      <c r="H1114" s="26">
        <v>1819.11</v>
      </c>
      <c r="I1114" s="26">
        <v>27919.13</v>
      </c>
      <c r="J1114" s="26">
        <v>0</v>
      </c>
      <c r="K1114" s="26">
        <v>27919.13</v>
      </c>
      <c r="L1114" s="27">
        <v>0.93882926494641239</v>
      </c>
    </row>
    <row r="1115" spans="1:12">
      <c r="A1115" s="24" t="s">
        <v>170</v>
      </c>
      <c r="B1115" s="24" t="s">
        <v>345</v>
      </c>
      <c r="C1115" s="25">
        <v>45901</v>
      </c>
      <c r="D1115" s="24" t="s">
        <v>2665</v>
      </c>
      <c r="E1115" s="26">
        <v>52075.040000000001</v>
      </c>
      <c r="F1115" s="26">
        <v>0</v>
      </c>
      <c r="G1115" s="26">
        <v>52075.040000000001</v>
      </c>
      <c r="H1115" s="26">
        <v>0</v>
      </c>
      <c r="I1115" s="26">
        <v>52075.040000000001</v>
      </c>
      <c r="J1115" s="26">
        <v>0</v>
      </c>
      <c r="K1115" s="26">
        <v>52075.040000000001</v>
      </c>
      <c r="L1115" s="27">
        <v>1</v>
      </c>
    </row>
    <row r="1116" spans="1:12">
      <c r="A1116" s="24" t="s">
        <v>170</v>
      </c>
      <c r="B1116" s="24" t="s">
        <v>345</v>
      </c>
      <c r="C1116" s="25">
        <v>45931</v>
      </c>
      <c r="D1116" s="24" t="s">
        <v>2666</v>
      </c>
      <c r="E1116" s="26">
        <v>0</v>
      </c>
      <c r="F1116" s="26">
        <v>0</v>
      </c>
      <c r="G1116" s="26">
        <v>0</v>
      </c>
      <c r="H1116" s="26">
        <v>0</v>
      </c>
      <c r="I1116" s="26">
        <v>0</v>
      </c>
      <c r="J1116" s="26">
        <v>0</v>
      </c>
      <c r="K1116" s="26">
        <v>0</v>
      </c>
      <c r="L1116" s="27">
        <v>0</v>
      </c>
    </row>
    <row r="1117" spans="1:12">
      <c r="A1117" s="24" t="s">
        <v>170</v>
      </c>
      <c r="B1117" s="24" t="s">
        <v>345</v>
      </c>
      <c r="C1117" s="25">
        <v>45962</v>
      </c>
      <c r="D1117" s="24" t="s">
        <v>2667</v>
      </c>
      <c r="E1117" s="26">
        <v>0</v>
      </c>
      <c r="F1117" s="26">
        <v>0</v>
      </c>
      <c r="G1117" s="26">
        <v>0</v>
      </c>
      <c r="H1117" s="26">
        <v>21850.11</v>
      </c>
      <c r="I1117" s="26">
        <v>-21850.11</v>
      </c>
      <c r="J1117" s="26">
        <v>0</v>
      </c>
      <c r="K1117" s="26">
        <v>-21850.11</v>
      </c>
      <c r="L1117" s="27">
        <v>0</v>
      </c>
    </row>
    <row r="1118" spans="1:12">
      <c r="A1118" s="24" t="s">
        <v>170</v>
      </c>
      <c r="B1118" s="24" t="s">
        <v>345</v>
      </c>
      <c r="C1118" s="25">
        <v>45992</v>
      </c>
      <c r="D1118" s="24" t="s">
        <v>2668</v>
      </c>
      <c r="E1118" s="26">
        <v>0</v>
      </c>
      <c r="F1118" s="26">
        <v>0</v>
      </c>
      <c r="G1118" s="26">
        <v>0</v>
      </c>
      <c r="H1118" s="26">
        <v>1042.08</v>
      </c>
      <c r="I1118" s="26">
        <v>-1042.08</v>
      </c>
      <c r="J1118" s="26">
        <v>0</v>
      </c>
      <c r="K1118" s="26">
        <v>-1042.08</v>
      </c>
      <c r="L1118" s="27">
        <v>0</v>
      </c>
    </row>
    <row r="1119" spans="1:12">
      <c r="A1119" s="24" t="s">
        <v>298</v>
      </c>
      <c r="B1119" s="24" t="s">
        <v>329</v>
      </c>
      <c r="C1119" s="25">
        <v>45658</v>
      </c>
      <c r="D1119" s="24" t="s">
        <v>2657</v>
      </c>
      <c r="E1119" s="26">
        <v>0</v>
      </c>
      <c r="F1119" s="26">
        <v>0</v>
      </c>
      <c r="G1119" s="26">
        <v>0</v>
      </c>
      <c r="H1119" s="26">
        <v>0</v>
      </c>
      <c r="I1119" s="26">
        <v>0</v>
      </c>
      <c r="J1119" s="26">
        <v>0</v>
      </c>
      <c r="K1119" s="26">
        <v>0</v>
      </c>
      <c r="L1119" s="27">
        <v>0</v>
      </c>
    </row>
    <row r="1120" spans="1:12">
      <c r="A1120" s="24" t="s">
        <v>298</v>
      </c>
      <c r="B1120" s="24" t="s">
        <v>329</v>
      </c>
      <c r="C1120" s="25">
        <v>45689</v>
      </c>
      <c r="D1120" s="24" t="s">
        <v>2658</v>
      </c>
      <c r="E1120" s="26">
        <v>0</v>
      </c>
      <c r="F1120" s="26">
        <v>0</v>
      </c>
      <c r="G1120" s="26">
        <v>0</v>
      </c>
      <c r="H1120" s="26">
        <v>0</v>
      </c>
      <c r="I1120" s="26">
        <v>0</v>
      </c>
      <c r="J1120" s="26">
        <v>0</v>
      </c>
      <c r="K1120" s="26">
        <v>0</v>
      </c>
      <c r="L1120" s="27">
        <v>0</v>
      </c>
    </row>
    <row r="1121" spans="1:12">
      <c r="A1121" s="24" t="s">
        <v>298</v>
      </c>
      <c r="B1121" s="24" t="s">
        <v>329</v>
      </c>
      <c r="C1121" s="25">
        <v>45717</v>
      </c>
      <c r="D1121" s="24" t="s">
        <v>2659</v>
      </c>
      <c r="E1121" s="26">
        <v>0</v>
      </c>
      <c r="F1121" s="26">
        <v>0</v>
      </c>
      <c r="G1121" s="26">
        <v>0</v>
      </c>
      <c r="H1121" s="26">
        <v>0</v>
      </c>
      <c r="I1121" s="26">
        <v>0</v>
      </c>
      <c r="J1121" s="26">
        <v>0</v>
      </c>
      <c r="K1121" s="26">
        <v>0</v>
      </c>
      <c r="L1121" s="27">
        <v>0</v>
      </c>
    </row>
    <row r="1122" spans="1:12">
      <c r="A1122" s="24" t="s">
        <v>298</v>
      </c>
      <c r="B1122" s="24" t="s">
        <v>329</v>
      </c>
      <c r="C1122" s="25">
        <v>45748</v>
      </c>
      <c r="D1122" s="24" t="s">
        <v>2660</v>
      </c>
      <c r="E1122" s="26">
        <v>0</v>
      </c>
      <c r="F1122" s="26">
        <v>0</v>
      </c>
      <c r="G1122" s="26">
        <v>0</v>
      </c>
      <c r="H1122" s="26">
        <v>0</v>
      </c>
      <c r="I1122" s="26">
        <v>0</v>
      </c>
      <c r="J1122" s="26">
        <v>0</v>
      </c>
      <c r="K1122" s="26">
        <v>0</v>
      </c>
      <c r="L1122" s="27">
        <v>0</v>
      </c>
    </row>
    <row r="1123" spans="1:12">
      <c r="A1123" s="24" t="s">
        <v>298</v>
      </c>
      <c r="B1123" s="24" t="s">
        <v>329</v>
      </c>
      <c r="C1123" s="25">
        <v>45778</v>
      </c>
      <c r="D1123" s="24" t="s">
        <v>2661</v>
      </c>
      <c r="E1123" s="26">
        <v>0</v>
      </c>
      <c r="F1123" s="26">
        <v>0</v>
      </c>
      <c r="G1123" s="26">
        <v>0</v>
      </c>
      <c r="H1123" s="26">
        <v>0</v>
      </c>
      <c r="I1123" s="26">
        <v>0</v>
      </c>
      <c r="J1123" s="26">
        <v>0</v>
      </c>
      <c r="K1123" s="26">
        <v>0</v>
      </c>
      <c r="L1123" s="27">
        <v>0</v>
      </c>
    </row>
    <row r="1124" spans="1:12">
      <c r="A1124" s="24" t="s">
        <v>298</v>
      </c>
      <c r="B1124" s="24" t="s">
        <v>329</v>
      </c>
      <c r="C1124" s="25">
        <v>45809</v>
      </c>
      <c r="D1124" s="24" t="s">
        <v>2662</v>
      </c>
      <c r="E1124" s="26">
        <v>0</v>
      </c>
      <c r="F1124" s="26">
        <v>0</v>
      </c>
      <c r="G1124" s="26">
        <v>0</v>
      </c>
      <c r="H1124" s="26">
        <v>0</v>
      </c>
      <c r="I1124" s="26">
        <v>0</v>
      </c>
      <c r="J1124" s="26">
        <v>0</v>
      </c>
      <c r="K1124" s="26">
        <v>0</v>
      </c>
      <c r="L1124" s="27">
        <v>0</v>
      </c>
    </row>
    <row r="1125" spans="1:12">
      <c r="A1125" s="24" t="s">
        <v>298</v>
      </c>
      <c r="B1125" s="24" t="s">
        <v>329</v>
      </c>
      <c r="C1125" s="25">
        <v>45839</v>
      </c>
      <c r="D1125" s="24" t="s">
        <v>2663</v>
      </c>
      <c r="E1125" s="26">
        <v>0</v>
      </c>
      <c r="F1125" s="26">
        <v>0</v>
      </c>
      <c r="G1125" s="26">
        <v>0</v>
      </c>
      <c r="H1125" s="26">
        <v>64220.959999999999</v>
      </c>
      <c r="I1125" s="26">
        <v>-64220.959999999999</v>
      </c>
      <c r="J1125" s="26">
        <v>0</v>
      </c>
      <c r="K1125" s="26">
        <v>-64220.959999999999</v>
      </c>
      <c r="L1125" s="27">
        <v>0</v>
      </c>
    </row>
    <row r="1126" spans="1:12">
      <c r="A1126" s="24" t="s">
        <v>298</v>
      </c>
      <c r="B1126" s="24" t="s">
        <v>329</v>
      </c>
      <c r="C1126" s="25">
        <v>45870</v>
      </c>
      <c r="D1126" s="24" t="s">
        <v>2664</v>
      </c>
      <c r="E1126" s="26">
        <v>71774.78</v>
      </c>
      <c r="F1126" s="26">
        <v>0</v>
      </c>
      <c r="G1126" s="26">
        <v>71774.78</v>
      </c>
      <c r="H1126" s="26">
        <v>0</v>
      </c>
      <c r="I1126" s="26">
        <v>71774.78</v>
      </c>
      <c r="J1126" s="26">
        <v>0</v>
      </c>
      <c r="K1126" s="26">
        <v>71774.78</v>
      </c>
      <c r="L1126" s="27">
        <v>1</v>
      </c>
    </row>
    <row r="1127" spans="1:12">
      <c r="A1127" s="24" t="s">
        <v>298</v>
      </c>
      <c r="B1127" s="24" t="s">
        <v>329</v>
      </c>
      <c r="C1127" s="25">
        <v>45901</v>
      </c>
      <c r="D1127" s="24" t="s">
        <v>2665</v>
      </c>
      <c r="E1127" s="26">
        <v>50945.94</v>
      </c>
      <c r="F1127" s="26">
        <v>0</v>
      </c>
      <c r="G1127" s="26">
        <v>50945.94</v>
      </c>
      <c r="H1127" s="26">
        <v>0</v>
      </c>
      <c r="I1127" s="26">
        <v>50945.94</v>
      </c>
      <c r="J1127" s="26">
        <v>0</v>
      </c>
      <c r="K1127" s="26">
        <v>50945.94</v>
      </c>
      <c r="L1127" s="27">
        <v>1</v>
      </c>
    </row>
    <row r="1128" spans="1:12">
      <c r="A1128" s="24" t="s">
        <v>298</v>
      </c>
      <c r="B1128" s="24" t="s">
        <v>329</v>
      </c>
      <c r="C1128" s="25">
        <v>45931</v>
      </c>
      <c r="D1128" s="24" t="s">
        <v>2666</v>
      </c>
      <c r="E1128" s="26">
        <v>49466.71</v>
      </c>
      <c r="F1128" s="26">
        <v>0</v>
      </c>
      <c r="G1128" s="26">
        <v>49466.71</v>
      </c>
      <c r="H1128" s="26">
        <v>0</v>
      </c>
      <c r="I1128" s="26">
        <v>49466.71</v>
      </c>
      <c r="J1128" s="26">
        <v>0</v>
      </c>
      <c r="K1128" s="26">
        <v>49466.71</v>
      </c>
      <c r="L1128" s="27">
        <v>1</v>
      </c>
    </row>
    <row r="1129" spans="1:12">
      <c r="A1129" s="24" t="s">
        <v>298</v>
      </c>
      <c r="B1129" s="24" t="s">
        <v>329</v>
      </c>
      <c r="C1129" s="25">
        <v>45962</v>
      </c>
      <c r="D1129" s="24" t="s">
        <v>2667</v>
      </c>
      <c r="E1129" s="26">
        <v>0</v>
      </c>
      <c r="F1129" s="26">
        <v>0</v>
      </c>
      <c r="G1129" s="26">
        <v>0</v>
      </c>
      <c r="H1129" s="26">
        <v>0</v>
      </c>
      <c r="I1129" s="26">
        <v>0</v>
      </c>
      <c r="J1129" s="26">
        <v>0</v>
      </c>
      <c r="K1129" s="26">
        <v>0</v>
      </c>
      <c r="L1129" s="27">
        <v>0</v>
      </c>
    </row>
    <row r="1130" spans="1:12">
      <c r="A1130" s="24" t="s">
        <v>298</v>
      </c>
      <c r="B1130" s="24" t="s">
        <v>329</v>
      </c>
      <c r="C1130" s="25">
        <v>45992</v>
      </c>
      <c r="D1130" s="24" t="s">
        <v>2668</v>
      </c>
      <c r="E1130" s="26">
        <v>53984.82</v>
      </c>
      <c r="F1130" s="26">
        <v>0</v>
      </c>
      <c r="G1130" s="26">
        <v>53984.82</v>
      </c>
      <c r="H1130" s="26">
        <v>0</v>
      </c>
      <c r="I1130" s="26">
        <v>53984.82</v>
      </c>
      <c r="J1130" s="26">
        <v>0</v>
      </c>
      <c r="K1130" s="26">
        <v>53984.82</v>
      </c>
      <c r="L1130" s="27">
        <v>1</v>
      </c>
    </row>
    <row r="1131" spans="1:12">
      <c r="A1131" s="24" t="s">
        <v>228</v>
      </c>
      <c r="B1131" s="24" t="s">
        <v>337</v>
      </c>
      <c r="C1131" s="25">
        <v>45658</v>
      </c>
      <c r="D1131" s="24" t="s">
        <v>2657</v>
      </c>
      <c r="E1131" s="26">
        <v>0</v>
      </c>
      <c r="F1131" s="26">
        <v>0</v>
      </c>
      <c r="G1131" s="26">
        <v>0</v>
      </c>
      <c r="H1131" s="26">
        <v>0</v>
      </c>
      <c r="I1131" s="26">
        <v>0</v>
      </c>
      <c r="J1131" s="26">
        <v>0</v>
      </c>
      <c r="K1131" s="26">
        <v>0</v>
      </c>
      <c r="L1131" s="27">
        <v>0</v>
      </c>
    </row>
    <row r="1132" spans="1:12">
      <c r="A1132" s="24" t="s">
        <v>228</v>
      </c>
      <c r="B1132" s="24" t="s">
        <v>337</v>
      </c>
      <c r="C1132" s="25">
        <v>45689</v>
      </c>
      <c r="D1132" s="24" t="s">
        <v>2658</v>
      </c>
      <c r="E1132" s="26">
        <v>0</v>
      </c>
      <c r="F1132" s="26">
        <v>0</v>
      </c>
      <c r="G1132" s="26">
        <v>0</v>
      </c>
      <c r="H1132" s="26">
        <v>0</v>
      </c>
      <c r="I1132" s="26">
        <v>0</v>
      </c>
      <c r="J1132" s="26">
        <v>0</v>
      </c>
      <c r="K1132" s="26">
        <v>0</v>
      </c>
      <c r="L1132" s="27">
        <v>0</v>
      </c>
    </row>
    <row r="1133" spans="1:12">
      <c r="A1133" s="24" t="s">
        <v>228</v>
      </c>
      <c r="B1133" s="24" t="s">
        <v>337</v>
      </c>
      <c r="C1133" s="25">
        <v>45717</v>
      </c>
      <c r="D1133" s="24" t="s">
        <v>2659</v>
      </c>
      <c r="E1133" s="26">
        <v>0</v>
      </c>
      <c r="F1133" s="26">
        <v>0</v>
      </c>
      <c r="G1133" s="26">
        <v>0</v>
      </c>
      <c r="H1133" s="26">
        <v>0</v>
      </c>
      <c r="I1133" s="26">
        <v>0</v>
      </c>
      <c r="J1133" s="26">
        <v>0</v>
      </c>
      <c r="K1133" s="26">
        <v>0</v>
      </c>
      <c r="L1133" s="27">
        <v>0</v>
      </c>
    </row>
    <row r="1134" spans="1:12">
      <c r="A1134" s="24" t="s">
        <v>228</v>
      </c>
      <c r="B1134" s="24" t="s">
        <v>337</v>
      </c>
      <c r="C1134" s="25">
        <v>45748</v>
      </c>
      <c r="D1134" s="24" t="s">
        <v>2660</v>
      </c>
      <c r="E1134" s="26">
        <v>0</v>
      </c>
      <c r="F1134" s="26">
        <v>0</v>
      </c>
      <c r="G1134" s="26">
        <v>0</v>
      </c>
      <c r="H1134" s="26">
        <v>0</v>
      </c>
      <c r="I1134" s="26">
        <v>0</v>
      </c>
      <c r="J1134" s="26">
        <v>0</v>
      </c>
      <c r="K1134" s="26">
        <v>0</v>
      </c>
      <c r="L1134" s="27">
        <v>0</v>
      </c>
    </row>
    <row r="1135" spans="1:12">
      <c r="A1135" s="24" t="s">
        <v>228</v>
      </c>
      <c r="B1135" s="24" t="s">
        <v>337</v>
      </c>
      <c r="C1135" s="25">
        <v>45778</v>
      </c>
      <c r="D1135" s="24" t="s">
        <v>2661</v>
      </c>
      <c r="E1135" s="26">
        <v>0</v>
      </c>
      <c r="F1135" s="26">
        <v>0</v>
      </c>
      <c r="G1135" s="26">
        <v>0</v>
      </c>
      <c r="H1135" s="26">
        <v>0</v>
      </c>
      <c r="I1135" s="26">
        <v>0</v>
      </c>
      <c r="J1135" s="26">
        <v>0</v>
      </c>
      <c r="K1135" s="26">
        <v>0</v>
      </c>
      <c r="L1135" s="27">
        <v>0</v>
      </c>
    </row>
    <row r="1136" spans="1:12">
      <c r="A1136" s="24" t="s">
        <v>228</v>
      </c>
      <c r="B1136" s="24" t="s">
        <v>337</v>
      </c>
      <c r="C1136" s="25">
        <v>45809</v>
      </c>
      <c r="D1136" s="24" t="s">
        <v>2662</v>
      </c>
      <c r="E1136" s="26">
        <v>0</v>
      </c>
      <c r="F1136" s="26">
        <v>0</v>
      </c>
      <c r="G1136" s="26">
        <v>0</v>
      </c>
      <c r="H1136" s="26">
        <v>0</v>
      </c>
      <c r="I1136" s="26">
        <v>0</v>
      </c>
      <c r="J1136" s="26">
        <v>0</v>
      </c>
      <c r="K1136" s="26">
        <v>0</v>
      </c>
      <c r="L1136" s="27">
        <v>0</v>
      </c>
    </row>
    <row r="1137" spans="1:12">
      <c r="A1137" s="24" t="s">
        <v>228</v>
      </c>
      <c r="B1137" s="24" t="s">
        <v>337</v>
      </c>
      <c r="C1137" s="25">
        <v>45839</v>
      </c>
      <c r="D1137" s="24" t="s">
        <v>2663</v>
      </c>
      <c r="E1137" s="26">
        <v>0</v>
      </c>
      <c r="F1137" s="26">
        <v>0</v>
      </c>
      <c r="G1137" s="26">
        <v>0</v>
      </c>
      <c r="H1137" s="26">
        <v>0</v>
      </c>
      <c r="I1137" s="26">
        <v>0</v>
      </c>
      <c r="J1137" s="26">
        <v>0</v>
      </c>
      <c r="K1137" s="26">
        <v>0</v>
      </c>
      <c r="L1137" s="27">
        <v>0</v>
      </c>
    </row>
    <row r="1138" spans="1:12">
      <c r="A1138" s="24" t="s">
        <v>228</v>
      </c>
      <c r="B1138" s="24" t="s">
        <v>337</v>
      </c>
      <c r="C1138" s="25">
        <v>45870</v>
      </c>
      <c r="D1138" s="24" t="s">
        <v>2664</v>
      </c>
      <c r="E1138" s="26">
        <v>0</v>
      </c>
      <c r="F1138" s="26">
        <v>0</v>
      </c>
      <c r="G1138" s="26">
        <v>0</v>
      </c>
      <c r="H1138" s="26">
        <v>0</v>
      </c>
      <c r="I1138" s="26">
        <v>0</v>
      </c>
      <c r="J1138" s="26">
        <v>0</v>
      </c>
      <c r="K1138" s="26">
        <v>0</v>
      </c>
      <c r="L1138" s="27">
        <v>0</v>
      </c>
    </row>
    <row r="1139" spans="1:12">
      <c r="A1139" s="24" t="s">
        <v>228</v>
      </c>
      <c r="B1139" s="24" t="s">
        <v>337</v>
      </c>
      <c r="C1139" s="25">
        <v>45901</v>
      </c>
      <c r="D1139" s="24" t="s">
        <v>2665</v>
      </c>
      <c r="E1139" s="26">
        <v>0</v>
      </c>
      <c r="F1139" s="26">
        <v>0</v>
      </c>
      <c r="G1139" s="26">
        <v>0</v>
      </c>
      <c r="H1139" s="26">
        <v>0</v>
      </c>
      <c r="I1139" s="26">
        <v>0</v>
      </c>
      <c r="J1139" s="26">
        <v>0</v>
      </c>
      <c r="K1139" s="26">
        <v>0</v>
      </c>
      <c r="L1139" s="27">
        <v>0</v>
      </c>
    </row>
    <row r="1140" spans="1:12">
      <c r="A1140" s="24" t="s">
        <v>228</v>
      </c>
      <c r="B1140" s="24" t="s">
        <v>337</v>
      </c>
      <c r="C1140" s="25">
        <v>45931</v>
      </c>
      <c r="D1140" s="24" t="s">
        <v>2666</v>
      </c>
      <c r="E1140" s="26">
        <v>0</v>
      </c>
      <c r="F1140" s="26">
        <v>77282.62</v>
      </c>
      <c r="G1140" s="26">
        <v>-77282.62</v>
      </c>
      <c r="H1140" s="26">
        <v>44263.68</v>
      </c>
      <c r="I1140" s="26">
        <v>-121546.3</v>
      </c>
      <c r="J1140" s="26">
        <v>0</v>
      </c>
      <c r="K1140" s="26">
        <v>-121546.3</v>
      </c>
      <c r="L1140" s="27">
        <v>1.5727507685427851</v>
      </c>
    </row>
    <row r="1141" spans="1:12">
      <c r="A1141" s="24" t="s">
        <v>228</v>
      </c>
      <c r="B1141" s="24" t="s">
        <v>337</v>
      </c>
      <c r="C1141" s="25">
        <v>45962</v>
      </c>
      <c r="D1141" s="24" t="s">
        <v>2667</v>
      </c>
      <c r="E1141" s="26">
        <v>0</v>
      </c>
      <c r="F1141" s="26">
        <v>0</v>
      </c>
      <c r="G1141" s="26">
        <v>0</v>
      </c>
      <c r="H1141" s="26">
        <v>0</v>
      </c>
      <c r="I1141" s="26">
        <v>0</v>
      </c>
      <c r="J1141" s="26">
        <v>0</v>
      </c>
      <c r="K1141" s="26">
        <v>0</v>
      </c>
      <c r="L1141" s="27">
        <v>0</v>
      </c>
    </row>
    <row r="1142" spans="1:12">
      <c r="A1142" s="24" t="s">
        <v>228</v>
      </c>
      <c r="B1142" s="24" t="s">
        <v>337</v>
      </c>
      <c r="C1142" s="25">
        <v>45992</v>
      </c>
      <c r="D1142" s="24" t="s">
        <v>2668</v>
      </c>
      <c r="E1142" s="26">
        <v>0</v>
      </c>
      <c r="F1142" s="26">
        <v>0</v>
      </c>
      <c r="G1142" s="26">
        <v>0</v>
      </c>
      <c r="H1142" s="26">
        <v>0</v>
      </c>
      <c r="I1142" s="26">
        <v>0</v>
      </c>
      <c r="J1142" s="26">
        <v>0</v>
      </c>
      <c r="K1142" s="26">
        <v>0</v>
      </c>
      <c r="L1142" s="27">
        <v>0</v>
      </c>
    </row>
    <row r="1143" spans="1:12">
      <c r="A1143" s="24" t="s">
        <v>260</v>
      </c>
      <c r="B1143" s="24" t="s">
        <v>345</v>
      </c>
      <c r="C1143" s="25">
        <v>45658</v>
      </c>
      <c r="D1143" s="24" t="s">
        <v>2657</v>
      </c>
      <c r="E1143" s="26">
        <v>0</v>
      </c>
      <c r="F1143" s="26">
        <v>0</v>
      </c>
      <c r="G1143" s="26">
        <v>0</v>
      </c>
      <c r="H1143" s="26">
        <v>0</v>
      </c>
      <c r="I1143" s="26">
        <v>0</v>
      </c>
      <c r="J1143" s="26">
        <v>0</v>
      </c>
      <c r="K1143" s="26">
        <v>0</v>
      </c>
      <c r="L1143" s="27">
        <v>0</v>
      </c>
    </row>
    <row r="1144" spans="1:12">
      <c r="A1144" s="24" t="s">
        <v>260</v>
      </c>
      <c r="B1144" s="24" t="s">
        <v>345</v>
      </c>
      <c r="C1144" s="25">
        <v>45689</v>
      </c>
      <c r="D1144" s="24" t="s">
        <v>2658</v>
      </c>
      <c r="E1144" s="26">
        <v>0</v>
      </c>
      <c r="F1144" s="26">
        <v>0</v>
      </c>
      <c r="G1144" s="26">
        <v>0</v>
      </c>
      <c r="H1144" s="26">
        <v>0</v>
      </c>
      <c r="I1144" s="26">
        <v>0</v>
      </c>
      <c r="J1144" s="26">
        <v>0</v>
      </c>
      <c r="K1144" s="26">
        <v>0</v>
      </c>
      <c r="L1144" s="27">
        <v>0</v>
      </c>
    </row>
    <row r="1145" spans="1:12">
      <c r="A1145" s="24" t="s">
        <v>260</v>
      </c>
      <c r="B1145" s="24" t="s">
        <v>345</v>
      </c>
      <c r="C1145" s="25">
        <v>45717</v>
      </c>
      <c r="D1145" s="24" t="s">
        <v>2659</v>
      </c>
      <c r="E1145" s="26">
        <v>0</v>
      </c>
      <c r="F1145" s="26">
        <v>0</v>
      </c>
      <c r="G1145" s="26">
        <v>0</v>
      </c>
      <c r="H1145" s="26">
        <v>0</v>
      </c>
      <c r="I1145" s="26">
        <v>0</v>
      </c>
      <c r="J1145" s="26">
        <v>0</v>
      </c>
      <c r="K1145" s="26">
        <v>0</v>
      </c>
      <c r="L1145" s="27">
        <v>0</v>
      </c>
    </row>
    <row r="1146" spans="1:12">
      <c r="A1146" s="24" t="s">
        <v>260</v>
      </c>
      <c r="B1146" s="24" t="s">
        <v>345</v>
      </c>
      <c r="C1146" s="25">
        <v>45748</v>
      </c>
      <c r="D1146" s="24" t="s">
        <v>2660</v>
      </c>
      <c r="E1146" s="26">
        <v>0</v>
      </c>
      <c r="F1146" s="26">
        <v>0</v>
      </c>
      <c r="G1146" s="26">
        <v>0</v>
      </c>
      <c r="H1146" s="26">
        <v>0</v>
      </c>
      <c r="I1146" s="26">
        <v>0</v>
      </c>
      <c r="J1146" s="26">
        <v>0</v>
      </c>
      <c r="K1146" s="26">
        <v>0</v>
      </c>
      <c r="L1146" s="27">
        <v>0</v>
      </c>
    </row>
    <row r="1147" spans="1:12">
      <c r="A1147" s="24" t="s">
        <v>260</v>
      </c>
      <c r="B1147" s="24" t="s">
        <v>345</v>
      </c>
      <c r="C1147" s="25">
        <v>45778</v>
      </c>
      <c r="D1147" s="24" t="s">
        <v>2661</v>
      </c>
      <c r="E1147" s="26">
        <v>0</v>
      </c>
      <c r="F1147" s="26">
        <v>0</v>
      </c>
      <c r="G1147" s="26">
        <v>0</v>
      </c>
      <c r="H1147" s="26">
        <v>0</v>
      </c>
      <c r="I1147" s="26">
        <v>0</v>
      </c>
      <c r="J1147" s="26">
        <v>0</v>
      </c>
      <c r="K1147" s="26">
        <v>0</v>
      </c>
      <c r="L1147" s="27">
        <v>0</v>
      </c>
    </row>
    <row r="1148" spans="1:12">
      <c r="A1148" s="24" t="s">
        <v>260</v>
      </c>
      <c r="B1148" s="24" t="s">
        <v>345</v>
      </c>
      <c r="C1148" s="25">
        <v>45809</v>
      </c>
      <c r="D1148" s="24" t="s">
        <v>2662</v>
      </c>
      <c r="E1148" s="26">
        <v>0</v>
      </c>
      <c r="F1148" s="26">
        <v>0</v>
      </c>
      <c r="G1148" s="26">
        <v>0</v>
      </c>
      <c r="H1148" s="26">
        <v>0</v>
      </c>
      <c r="I1148" s="26">
        <v>0</v>
      </c>
      <c r="J1148" s="26">
        <v>0</v>
      </c>
      <c r="K1148" s="26">
        <v>0</v>
      </c>
      <c r="L1148" s="27">
        <v>0</v>
      </c>
    </row>
    <row r="1149" spans="1:12">
      <c r="A1149" s="24" t="s">
        <v>260</v>
      </c>
      <c r="B1149" s="24" t="s">
        <v>345</v>
      </c>
      <c r="C1149" s="25">
        <v>45839</v>
      </c>
      <c r="D1149" s="24" t="s">
        <v>2663</v>
      </c>
      <c r="E1149" s="26">
        <v>41201.160000000003</v>
      </c>
      <c r="F1149" s="26">
        <v>0</v>
      </c>
      <c r="G1149" s="26">
        <v>41201.160000000003</v>
      </c>
      <c r="H1149" s="26">
        <v>0</v>
      </c>
      <c r="I1149" s="26">
        <v>41201.160000000003</v>
      </c>
      <c r="J1149" s="26">
        <v>0</v>
      </c>
      <c r="K1149" s="26">
        <v>41201.160000000003</v>
      </c>
      <c r="L1149" s="27">
        <v>1</v>
      </c>
    </row>
    <row r="1150" spans="1:12">
      <c r="A1150" s="24" t="s">
        <v>260</v>
      </c>
      <c r="B1150" s="24" t="s">
        <v>345</v>
      </c>
      <c r="C1150" s="25">
        <v>45870</v>
      </c>
      <c r="D1150" s="24" t="s">
        <v>2664</v>
      </c>
      <c r="E1150" s="26">
        <v>0</v>
      </c>
      <c r="F1150" s="26">
        <v>0</v>
      </c>
      <c r="G1150" s="26">
        <v>0</v>
      </c>
      <c r="H1150" s="26">
        <v>0</v>
      </c>
      <c r="I1150" s="26">
        <v>0</v>
      </c>
      <c r="J1150" s="26">
        <v>0</v>
      </c>
      <c r="K1150" s="26">
        <v>0</v>
      </c>
      <c r="L1150" s="27">
        <v>0</v>
      </c>
    </row>
    <row r="1151" spans="1:12">
      <c r="A1151" s="24" t="s">
        <v>260</v>
      </c>
      <c r="B1151" s="24" t="s">
        <v>345</v>
      </c>
      <c r="C1151" s="25">
        <v>45901</v>
      </c>
      <c r="D1151" s="24" t="s">
        <v>2665</v>
      </c>
      <c r="E1151" s="26">
        <v>63287.85</v>
      </c>
      <c r="F1151" s="26">
        <v>0</v>
      </c>
      <c r="G1151" s="26">
        <v>63287.85</v>
      </c>
      <c r="H1151" s="26">
        <v>37947.96</v>
      </c>
      <c r="I1151" s="26">
        <v>25339.89</v>
      </c>
      <c r="J1151" s="26">
        <v>0</v>
      </c>
      <c r="K1151" s="26">
        <v>25339.89</v>
      </c>
      <c r="L1151" s="27">
        <v>0.40039107032392468</v>
      </c>
    </row>
    <row r="1152" spans="1:12">
      <c r="A1152" s="24" t="s">
        <v>260</v>
      </c>
      <c r="B1152" s="24" t="s">
        <v>345</v>
      </c>
      <c r="C1152" s="25">
        <v>45931</v>
      </c>
      <c r="D1152" s="24" t="s">
        <v>2666</v>
      </c>
      <c r="E1152" s="26">
        <v>0</v>
      </c>
      <c r="F1152" s="26">
        <v>0</v>
      </c>
      <c r="G1152" s="26">
        <v>0</v>
      </c>
      <c r="H1152" s="26">
        <v>0</v>
      </c>
      <c r="I1152" s="26">
        <v>0</v>
      </c>
      <c r="J1152" s="26">
        <v>0</v>
      </c>
      <c r="K1152" s="26">
        <v>0</v>
      </c>
      <c r="L1152" s="27">
        <v>0</v>
      </c>
    </row>
    <row r="1153" spans="1:12">
      <c r="A1153" s="24" t="s">
        <v>260</v>
      </c>
      <c r="B1153" s="24" t="s">
        <v>345</v>
      </c>
      <c r="C1153" s="25">
        <v>45962</v>
      </c>
      <c r="D1153" s="24" t="s">
        <v>2667</v>
      </c>
      <c r="E1153" s="26">
        <v>34304.300000000003</v>
      </c>
      <c r="F1153" s="26">
        <v>0</v>
      </c>
      <c r="G1153" s="26">
        <v>34304.300000000003</v>
      </c>
      <c r="H1153" s="26">
        <v>0</v>
      </c>
      <c r="I1153" s="26">
        <v>34304.300000000003</v>
      </c>
      <c r="J1153" s="26">
        <v>0</v>
      </c>
      <c r="K1153" s="26">
        <v>34304.300000000003</v>
      </c>
      <c r="L1153" s="27">
        <v>1</v>
      </c>
    </row>
    <row r="1154" spans="1:12">
      <c r="A1154" s="24" t="s">
        <v>260</v>
      </c>
      <c r="B1154" s="24" t="s">
        <v>345</v>
      </c>
      <c r="C1154" s="25">
        <v>45992</v>
      </c>
      <c r="D1154" s="24" t="s">
        <v>2668</v>
      </c>
      <c r="E1154" s="26">
        <v>0</v>
      </c>
      <c r="F1154" s="26">
        <v>0</v>
      </c>
      <c r="G1154" s="26">
        <v>0</v>
      </c>
      <c r="H1154" s="26">
        <v>78999.8</v>
      </c>
      <c r="I1154" s="26">
        <v>-78999.8</v>
      </c>
      <c r="J1154" s="26">
        <v>0</v>
      </c>
      <c r="K1154" s="26">
        <v>-78999.8</v>
      </c>
      <c r="L1154" s="27">
        <v>0</v>
      </c>
    </row>
    <row r="1155" spans="1:12">
      <c r="A1155" s="24" t="s">
        <v>124</v>
      </c>
      <c r="B1155" s="24" t="s">
        <v>345</v>
      </c>
      <c r="C1155" s="25">
        <v>45658</v>
      </c>
      <c r="D1155" s="24" t="s">
        <v>2657</v>
      </c>
      <c r="E1155" s="26">
        <v>0</v>
      </c>
      <c r="F1155" s="26">
        <v>0</v>
      </c>
      <c r="G1155" s="26">
        <v>0</v>
      </c>
      <c r="H1155" s="26">
        <v>0</v>
      </c>
      <c r="I1155" s="26">
        <v>0</v>
      </c>
      <c r="J1155" s="26">
        <v>0</v>
      </c>
      <c r="K1155" s="26">
        <v>0</v>
      </c>
      <c r="L1155" s="27">
        <v>0</v>
      </c>
    </row>
    <row r="1156" spans="1:12">
      <c r="A1156" s="24" t="s">
        <v>124</v>
      </c>
      <c r="B1156" s="24" t="s">
        <v>345</v>
      </c>
      <c r="C1156" s="25">
        <v>45689</v>
      </c>
      <c r="D1156" s="24" t="s">
        <v>2658</v>
      </c>
      <c r="E1156" s="26">
        <v>0</v>
      </c>
      <c r="F1156" s="26">
        <v>0</v>
      </c>
      <c r="G1156" s="26">
        <v>0</v>
      </c>
      <c r="H1156" s="26">
        <v>0</v>
      </c>
      <c r="I1156" s="26">
        <v>0</v>
      </c>
      <c r="J1156" s="26">
        <v>0</v>
      </c>
      <c r="K1156" s="26">
        <v>0</v>
      </c>
      <c r="L1156" s="27">
        <v>0</v>
      </c>
    </row>
    <row r="1157" spans="1:12">
      <c r="A1157" s="24" t="s">
        <v>124</v>
      </c>
      <c r="B1157" s="24" t="s">
        <v>345</v>
      </c>
      <c r="C1157" s="25">
        <v>45717</v>
      </c>
      <c r="D1157" s="24" t="s">
        <v>2659</v>
      </c>
      <c r="E1157" s="26">
        <v>0</v>
      </c>
      <c r="F1157" s="26">
        <v>0</v>
      </c>
      <c r="G1157" s="26">
        <v>0</v>
      </c>
      <c r="H1157" s="26">
        <v>0</v>
      </c>
      <c r="I1157" s="26">
        <v>0</v>
      </c>
      <c r="J1157" s="26">
        <v>0</v>
      </c>
      <c r="K1157" s="26">
        <v>0</v>
      </c>
      <c r="L1157" s="27">
        <v>0</v>
      </c>
    </row>
    <row r="1158" spans="1:12">
      <c r="A1158" s="24" t="s">
        <v>124</v>
      </c>
      <c r="B1158" s="24" t="s">
        <v>345</v>
      </c>
      <c r="C1158" s="25">
        <v>45748</v>
      </c>
      <c r="D1158" s="24" t="s">
        <v>2660</v>
      </c>
      <c r="E1158" s="26">
        <v>0</v>
      </c>
      <c r="F1158" s="26">
        <v>0</v>
      </c>
      <c r="G1158" s="26">
        <v>0</v>
      </c>
      <c r="H1158" s="26">
        <v>0</v>
      </c>
      <c r="I1158" s="26">
        <v>0</v>
      </c>
      <c r="J1158" s="26">
        <v>0</v>
      </c>
      <c r="K1158" s="26">
        <v>0</v>
      </c>
      <c r="L1158" s="27">
        <v>0</v>
      </c>
    </row>
    <row r="1159" spans="1:12">
      <c r="A1159" s="24" t="s">
        <v>124</v>
      </c>
      <c r="B1159" s="24" t="s">
        <v>345</v>
      </c>
      <c r="C1159" s="25">
        <v>45778</v>
      </c>
      <c r="D1159" s="24" t="s">
        <v>2661</v>
      </c>
      <c r="E1159" s="26">
        <v>0</v>
      </c>
      <c r="F1159" s="26">
        <v>0</v>
      </c>
      <c r="G1159" s="26">
        <v>0</v>
      </c>
      <c r="H1159" s="26">
        <v>0</v>
      </c>
      <c r="I1159" s="26">
        <v>0</v>
      </c>
      <c r="J1159" s="26">
        <v>0</v>
      </c>
      <c r="K1159" s="26">
        <v>0</v>
      </c>
      <c r="L1159" s="27">
        <v>0</v>
      </c>
    </row>
    <row r="1160" spans="1:12">
      <c r="A1160" s="24" t="s">
        <v>124</v>
      </c>
      <c r="B1160" s="24" t="s">
        <v>345</v>
      </c>
      <c r="C1160" s="25">
        <v>45809</v>
      </c>
      <c r="D1160" s="24" t="s">
        <v>2662</v>
      </c>
      <c r="E1160" s="26">
        <v>0</v>
      </c>
      <c r="F1160" s="26">
        <v>0</v>
      </c>
      <c r="G1160" s="26">
        <v>0</v>
      </c>
      <c r="H1160" s="26">
        <v>0</v>
      </c>
      <c r="I1160" s="26">
        <v>0</v>
      </c>
      <c r="J1160" s="26">
        <v>0</v>
      </c>
      <c r="K1160" s="26">
        <v>0</v>
      </c>
      <c r="L1160" s="27">
        <v>0</v>
      </c>
    </row>
    <row r="1161" spans="1:12">
      <c r="A1161" s="24" t="s">
        <v>124</v>
      </c>
      <c r="B1161" s="24" t="s">
        <v>345</v>
      </c>
      <c r="C1161" s="25">
        <v>45839</v>
      </c>
      <c r="D1161" s="24" t="s">
        <v>2663</v>
      </c>
      <c r="E1161" s="26">
        <v>11835.65</v>
      </c>
      <c r="F1161" s="26">
        <v>0</v>
      </c>
      <c r="G1161" s="26">
        <v>11835.65</v>
      </c>
      <c r="H1161" s="26">
        <v>0</v>
      </c>
      <c r="I1161" s="26">
        <v>11835.65</v>
      </c>
      <c r="J1161" s="26">
        <v>0</v>
      </c>
      <c r="K1161" s="26">
        <v>11835.65</v>
      </c>
      <c r="L1161" s="27">
        <v>1</v>
      </c>
    </row>
    <row r="1162" spans="1:12">
      <c r="A1162" s="24" t="s">
        <v>124</v>
      </c>
      <c r="B1162" s="24" t="s">
        <v>345</v>
      </c>
      <c r="C1162" s="25">
        <v>45870</v>
      </c>
      <c r="D1162" s="24" t="s">
        <v>2664</v>
      </c>
      <c r="E1162" s="26">
        <v>10596.8</v>
      </c>
      <c r="F1162" s="26">
        <v>0</v>
      </c>
      <c r="G1162" s="26">
        <v>10596.8</v>
      </c>
      <c r="H1162" s="26">
        <v>0</v>
      </c>
      <c r="I1162" s="26">
        <v>10596.8</v>
      </c>
      <c r="J1162" s="26">
        <v>0</v>
      </c>
      <c r="K1162" s="26">
        <v>10596.8</v>
      </c>
      <c r="L1162" s="27">
        <v>1</v>
      </c>
    </row>
    <row r="1163" spans="1:12">
      <c r="A1163" s="24" t="s">
        <v>124</v>
      </c>
      <c r="B1163" s="24" t="s">
        <v>345</v>
      </c>
      <c r="C1163" s="25">
        <v>45901</v>
      </c>
      <c r="D1163" s="24" t="s">
        <v>2665</v>
      </c>
      <c r="E1163" s="26">
        <v>0</v>
      </c>
      <c r="F1163" s="26">
        <v>0</v>
      </c>
      <c r="G1163" s="26">
        <v>0</v>
      </c>
      <c r="H1163" s="26">
        <v>0</v>
      </c>
      <c r="I1163" s="26">
        <v>0</v>
      </c>
      <c r="J1163" s="26">
        <v>0</v>
      </c>
      <c r="K1163" s="26">
        <v>0</v>
      </c>
      <c r="L1163" s="27">
        <v>0</v>
      </c>
    </row>
    <row r="1164" spans="1:12">
      <c r="A1164" s="24" t="s">
        <v>124</v>
      </c>
      <c r="B1164" s="24" t="s">
        <v>345</v>
      </c>
      <c r="C1164" s="25">
        <v>45931</v>
      </c>
      <c r="D1164" s="24" t="s">
        <v>2666</v>
      </c>
      <c r="E1164" s="26">
        <v>11963.32</v>
      </c>
      <c r="F1164" s="26">
        <v>0</v>
      </c>
      <c r="G1164" s="26">
        <v>11963.32</v>
      </c>
      <c r="H1164" s="26">
        <v>15322.64</v>
      </c>
      <c r="I1164" s="26">
        <v>-3359.32</v>
      </c>
      <c r="J1164" s="26">
        <v>0</v>
      </c>
      <c r="K1164" s="26">
        <v>-3359.32</v>
      </c>
      <c r="L1164" s="27">
        <v>-0.28080165037798871</v>
      </c>
    </row>
    <row r="1165" spans="1:12">
      <c r="A1165" s="24" t="s">
        <v>124</v>
      </c>
      <c r="B1165" s="24" t="s">
        <v>345</v>
      </c>
      <c r="C1165" s="25">
        <v>45962</v>
      </c>
      <c r="D1165" s="24" t="s">
        <v>2667</v>
      </c>
      <c r="E1165" s="26">
        <v>0</v>
      </c>
      <c r="F1165" s="26">
        <v>0</v>
      </c>
      <c r="G1165" s="26">
        <v>0</v>
      </c>
      <c r="H1165" s="26">
        <v>41750.71</v>
      </c>
      <c r="I1165" s="26">
        <v>-41750.71</v>
      </c>
      <c r="J1165" s="26">
        <v>0</v>
      </c>
      <c r="K1165" s="26">
        <v>-41750.71</v>
      </c>
      <c r="L1165" s="27">
        <v>0</v>
      </c>
    </row>
    <row r="1166" spans="1:12">
      <c r="A1166" s="24" t="s">
        <v>124</v>
      </c>
      <c r="B1166" s="24" t="s">
        <v>345</v>
      </c>
      <c r="C1166" s="25">
        <v>45992</v>
      </c>
      <c r="D1166" s="24" t="s">
        <v>2668</v>
      </c>
      <c r="E1166" s="26">
        <v>7817.88</v>
      </c>
      <c r="F1166" s="26">
        <v>1651.69</v>
      </c>
      <c r="G1166" s="26">
        <v>6166.1900000000014</v>
      </c>
      <c r="H1166" s="26">
        <v>0</v>
      </c>
      <c r="I1166" s="26">
        <v>6166.1900000000014</v>
      </c>
      <c r="J1166" s="26">
        <v>0</v>
      </c>
      <c r="K1166" s="26">
        <v>6166.1900000000014</v>
      </c>
      <c r="L1166" s="27">
        <v>1</v>
      </c>
    </row>
    <row r="1167" spans="1:12">
      <c r="A1167" s="24" t="s">
        <v>96</v>
      </c>
      <c r="B1167" s="24" t="s">
        <v>318</v>
      </c>
      <c r="C1167" s="25">
        <v>45658</v>
      </c>
      <c r="D1167" s="24" t="s">
        <v>2657</v>
      </c>
      <c r="E1167" s="26">
        <v>0</v>
      </c>
      <c r="F1167" s="26">
        <v>0</v>
      </c>
      <c r="G1167" s="26">
        <v>0</v>
      </c>
      <c r="H1167" s="26">
        <v>0</v>
      </c>
      <c r="I1167" s="26">
        <v>0</v>
      </c>
      <c r="J1167" s="26">
        <v>0</v>
      </c>
      <c r="K1167" s="26">
        <v>0</v>
      </c>
      <c r="L1167" s="27">
        <v>0</v>
      </c>
    </row>
    <row r="1168" spans="1:12">
      <c r="A1168" s="24" t="s">
        <v>96</v>
      </c>
      <c r="B1168" s="24" t="s">
        <v>318</v>
      </c>
      <c r="C1168" s="25">
        <v>45689</v>
      </c>
      <c r="D1168" s="24" t="s">
        <v>2658</v>
      </c>
      <c r="E1168" s="26">
        <v>0</v>
      </c>
      <c r="F1168" s="26">
        <v>0</v>
      </c>
      <c r="G1168" s="26">
        <v>0</v>
      </c>
      <c r="H1168" s="26">
        <v>0</v>
      </c>
      <c r="I1168" s="26">
        <v>0</v>
      </c>
      <c r="J1168" s="26">
        <v>0</v>
      </c>
      <c r="K1168" s="26">
        <v>0</v>
      </c>
      <c r="L1168" s="27">
        <v>0</v>
      </c>
    </row>
    <row r="1169" spans="1:12">
      <c r="A1169" s="24" t="s">
        <v>96</v>
      </c>
      <c r="B1169" s="24" t="s">
        <v>318</v>
      </c>
      <c r="C1169" s="25">
        <v>45717</v>
      </c>
      <c r="D1169" s="24" t="s">
        <v>2659</v>
      </c>
      <c r="E1169" s="26">
        <v>0</v>
      </c>
      <c r="F1169" s="26">
        <v>0</v>
      </c>
      <c r="G1169" s="26">
        <v>0</v>
      </c>
      <c r="H1169" s="26">
        <v>0</v>
      </c>
      <c r="I1169" s="26">
        <v>0</v>
      </c>
      <c r="J1169" s="26">
        <v>0</v>
      </c>
      <c r="K1169" s="26">
        <v>0</v>
      </c>
      <c r="L1169" s="27">
        <v>0</v>
      </c>
    </row>
    <row r="1170" spans="1:12">
      <c r="A1170" s="24" t="s">
        <v>96</v>
      </c>
      <c r="B1170" s="24" t="s">
        <v>318</v>
      </c>
      <c r="C1170" s="25">
        <v>45748</v>
      </c>
      <c r="D1170" s="24" t="s">
        <v>2660</v>
      </c>
      <c r="E1170" s="26">
        <v>0</v>
      </c>
      <c r="F1170" s="26">
        <v>0</v>
      </c>
      <c r="G1170" s="26">
        <v>0</v>
      </c>
      <c r="H1170" s="26">
        <v>0</v>
      </c>
      <c r="I1170" s="26">
        <v>0</v>
      </c>
      <c r="J1170" s="26">
        <v>0</v>
      </c>
      <c r="K1170" s="26">
        <v>0</v>
      </c>
      <c r="L1170" s="27">
        <v>0</v>
      </c>
    </row>
    <row r="1171" spans="1:12">
      <c r="A1171" s="24" t="s">
        <v>96</v>
      </c>
      <c r="B1171" s="24" t="s">
        <v>318</v>
      </c>
      <c r="C1171" s="25">
        <v>45778</v>
      </c>
      <c r="D1171" s="24" t="s">
        <v>2661</v>
      </c>
      <c r="E1171" s="26">
        <v>0</v>
      </c>
      <c r="F1171" s="26">
        <v>0</v>
      </c>
      <c r="G1171" s="26">
        <v>0</v>
      </c>
      <c r="H1171" s="26">
        <v>0</v>
      </c>
      <c r="I1171" s="26">
        <v>0</v>
      </c>
      <c r="J1171" s="26">
        <v>0</v>
      </c>
      <c r="K1171" s="26">
        <v>0</v>
      </c>
      <c r="L1171" s="27">
        <v>0</v>
      </c>
    </row>
    <row r="1172" spans="1:12">
      <c r="A1172" s="24" t="s">
        <v>96</v>
      </c>
      <c r="B1172" s="24" t="s">
        <v>318</v>
      </c>
      <c r="C1172" s="25">
        <v>45809</v>
      </c>
      <c r="D1172" s="24" t="s">
        <v>2662</v>
      </c>
      <c r="E1172" s="26">
        <v>0</v>
      </c>
      <c r="F1172" s="26">
        <v>0</v>
      </c>
      <c r="G1172" s="26">
        <v>0</v>
      </c>
      <c r="H1172" s="26">
        <v>0</v>
      </c>
      <c r="I1172" s="26">
        <v>0</v>
      </c>
      <c r="J1172" s="26">
        <v>0</v>
      </c>
      <c r="K1172" s="26">
        <v>0</v>
      </c>
      <c r="L1172" s="27">
        <v>0</v>
      </c>
    </row>
    <row r="1173" spans="1:12">
      <c r="A1173" s="24" t="s">
        <v>96</v>
      </c>
      <c r="B1173" s="24" t="s">
        <v>318</v>
      </c>
      <c r="C1173" s="25">
        <v>45839</v>
      </c>
      <c r="D1173" s="24" t="s">
        <v>2663</v>
      </c>
      <c r="E1173" s="26">
        <v>87840.4</v>
      </c>
      <c r="F1173" s="26">
        <v>0</v>
      </c>
      <c r="G1173" s="26">
        <v>87840.4</v>
      </c>
      <c r="H1173" s="26">
        <v>0</v>
      </c>
      <c r="I1173" s="26">
        <v>87840.4</v>
      </c>
      <c r="J1173" s="26">
        <v>0</v>
      </c>
      <c r="K1173" s="26">
        <v>87840.4</v>
      </c>
      <c r="L1173" s="27">
        <v>1</v>
      </c>
    </row>
    <row r="1174" spans="1:12">
      <c r="A1174" s="24" t="s">
        <v>96</v>
      </c>
      <c r="B1174" s="24" t="s">
        <v>318</v>
      </c>
      <c r="C1174" s="25">
        <v>45870</v>
      </c>
      <c r="D1174" s="24" t="s">
        <v>2664</v>
      </c>
      <c r="E1174" s="26">
        <v>0</v>
      </c>
      <c r="F1174" s="26">
        <v>0</v>
      </c>
      <c r="G1174" s="26">
        <v>0</v>
      </c>
      <c r="H1174" s="26">
        <v>0</v>
      </c>
      <c r="I1174" s="26">
        <v>0</v>
      </c>
      <c r="J1174" s="26">
        <v>0</v>
      </c>
      <c r="K1174" s="26">
        <v>0</v>
      </c>
      <c r="L1174" s="27">
        <v>0</v>
      </c>
    </row>
    <row r="1175" spans="1:12">
      <c r="A1175" s="24" t="s">
        <v>96</v>
      </c>
      <c r="B1175" s="24" t="s">
        <v>318</v>
      </c>
      <c r="C1175" s="25">
        <v>45901</v>
      </c>
      <c r="D1175" s="24" t="s">
        <v>2665</v>
      </c>
      <c r="E1175" s="26">
        <v>0</v>
      </c>
      <c r="F1175" s="26">
        <v>0</v>
      </c>
      <c r="G1175" s="26">
        <v>0</v>
      </c>
      <c r="H1175" s="26">
        <v>0</v>
      </c>
      <c r="I1175" s="26">
        <v>0</v>
      </c>
      <c r="J1175" s="26">
        <v>0</v>
      </c>
      <c r="K1175" s="26">
        <v>0</v>
      </c>
      <c r="L1175" s="27">
        <v>0</v>
      </c>
    </row>
    <row r="1176" spans="1:12">
      <c r="A1176" s="24" t="s">
        <v>96</v>
      </c>
      <c r="B1176" s="24" t="s">
        <v>318</v>
      </c>
      <c r="C1176" s="25">
        <v>45931</v>
      </c>
      <c r="D1176" s="24" t="s">
        <v>2666</v>
      </c>
      <c r="E1176" s="26">
        <v>93346.13</v>
      </c>
      <c r="F1176" s="26">
        <v>0</v>
      </c>
      <c r="G1176" s="26">
        <v>93346.13</v>
      </c>
      <c r="H1176" s="26">
        <v>35862.14</v>
      </c>
      <c r="I1176" s="26">
        <v>57483.990000000013</v>
      </c>
      <c r="J1176" s="26">
        <v>0</v>
      </c>
      <c r="K1176" s="26">
        <v>57483.990000000013</v>
      </c>
      <c r="L1176" s="27">
        <v>0.61581546015887323</v>
      </c>
    </row>
    <row r="1177" spans="1:12">
      <c r="A1177" s="24" t="s">
        <v>96</v>
      </c>
      <c r="B1177" s="24" t="s">
        <v>318</v>
      </c>
      <c r="C1177" s="25">
        <v>45962</v>
      </c>
      <c r="D1177" s="24" t="s">
        <v>2667</v>
      </c>
      <c r="E1177" s="26">
        <v>90513.51</v>
      </c>
      <c r="F1177" s="26">
        <v>0</v>
      </c>
      <c r="G1177" s="26">
        <v>90513.51</v>
      </c>
      <c r="H1177" s="26">
        <v>0</v>
      </c>
      <c r="I1177" s="26">
        <v>90513.51</v>
      </c>
      <c r="J1177" s="26">
        <v>0</v>
      </c>
      <c r="K1177" s="26">
        <v>90513.51</v>
      </c>
      <c r="L1177" s="27">
        <v>1</v>
      </c>
    </row>
    <row r="1178" spans="1:12">
      <c r="A1178" s="24" t="s">
        <v>96</v>
      </c>
      <c r="B1178" s="24" t="s">
        <v>318</v>
      </c>
      <c r="C1178" s="25">
        <v>45992</v>
      </c>
      <c r="D1178" s="24" t="s">
        <v>2668</v>
      </c>
      <c r="E1178" s="26">
        <v>0</v>
      </c>
      <c r="F1178" s="26">
        <v>0</v>
      </c>
      <c r="G1178" s="26">
        <v>0</v>
      </c>
      <c r="H1178" s="26">
        <v>0</v>
      </c>
      <c r="I1178" s="26">
        <v>0</v>
      </c>
      <c r="J1178" s="26">
        <v>0</v>
      </c>
      <c r="K1178" s="26">
        <v>0</v>
      </c>
      <c r="L1178" s="27">
        <v>0</v>
      </c>
    </row>
    <row r="1179" spans="1:12">
      <c r="A1179" s="24" t="s">
        <v>269</v>
      </c>
      <c r="B1179" s="24" t="s">
        <v>337</v>
      </c>
      <c r="C1179" s="25">
        <v>45658</v>
      </c>
      <c r="D1179" s="24" t="s">
        <v>2657</v>
      </c>
      <c r="E1179" s="26">
        <v>0</v>
      </c>
      <c r="F1179" s="26">
        <v>0</v>
      </c>
      <c r="G1179" s="26">
        <v>0</v>
      </c>
      <c r="H1179" s="26">
        <v>0</v>
      </c>
      <c r="I1179" s="26">
        <v>0</v>
      </c>
      <c r="J1179" s="26">
        <v>0</v>
      </c>
      <c r="K1179" s="26">
        <v>0</v>
      </c>
      <c r="L1179" s="27">
        <v>0</v>
      </c>
    </row>
    <row r="1180" spans="1:12">
      <c r="A1180" s="24" t="s">
        <v>269</v>
      </c>
      <c r="B1180" s="24" t="s">
        <v>337</v>
      </c>
      <c r="C1180" s="25">
        <v>45689</v>
      </c>
      <c r="D1180" s="24" t="s">
        <v>2658</v>
      </c>
      <c r="E1180" s="26">
        <v>0</v>
      </c>
      <c r="F1180" s="26">
        <v>0</v>
      </c>
      <c r="G1180" s="26">
        <v>0</v>
      </c>
      <c r="H1180" s="26">
        <v>0</v>
      </c>
      <c r="I1180" s="26">
        <v>0</v>
      </c>
      <c r="J1180" s="26">
        <v>0</v>
      </c>
      <c r="K1180" s="26">
        <v>0</v>
      </c>
      <c r="L1180" s="27">
        <v>0</v>
      </c>
    </row>
    <row r="1181" spans="1:12">
      <c r="A1181" s="24" t="s">
        <v>269</v>
      </c>
      <c r="B1181" s="24" t="s">
        <v>337</v>
      </c>
      <c r="C1181" s="25">
        <v>45717</v>
      </c>
      <c r="D1181" s="24" t="s">
        <v>2659</v>
      </c>
      <c r="E1181" s="26">
        <v>0</v>
      </c>
      <c r="F1181" s="26">
        <v>0</v>
      </c>
      <c r="G1181" s="26">
        <v>0</v>
      </c>
      <c r="H1181" s="26">
        <v>0</v>
      </c>
      <c r="I1181" s="26">
        <v>0</v>
      </c>
      <c r="J1181" s="26">
        <v>0</v>
      </c>
      <c r="K1181" s="26">
        <v>0</v>
      </c>
      <c r="L1181" s="27">
        <v>0</v>
      </c>
    </row>
    <row r="1182" spans="1:12">
      <c r="A1182" s="24" t="s">
        <v>269</v>
      </c>
      <c r="B1182" s="24" t="s">
        <v>337</v>
      </c>
      <c r="C1182" s="25">
        <v>45748</v>
      </c>
      <c r="D1182" s="24" t="s">
        <v>2660</v>
      </c>
      <c r="E1182" s="26">
        <v>0</v>
      </c>
      <c r="F1182" s="26">
        <v>0</v>
      </c>
      <c r="G1182" s="26">
        <v>0</v>
      </c>
      <c r="H1182" s="26">
        <v>0</v>
      </c>
      <c r="I1182" s="26">
        <v>0</v>
      </c>
      <c r="J1182" s="26">
        <v>0</v>
      </c>
      <c r="K1182" s="26">
        <v>0</v>
      </c>
      <c r="L1182" s="27">
        <v>0</v>
      </c>
    </row>
    <row r="1183" spans="1:12">
      <c r="A1183" s="24" t="s">
        <v>269</v>
      </c>
      <c r="B1183" s="24" t="s">
        <v>337</v>
      </c>
      <c r="C1183" s="25">
        <v>45778</v>
      </c>
      <c r="D1183" s="24" t="s">
        <v>2661</v>
      </c>
      <c r="E1183" s="26">
        <v>0</v>
      </c>
      <c r="F1183" s="26">
        <v>0</v>
      </c>
      <c r="G1183" s="26">
        <v>0</v>
      </c>
      <c r="H1183" s="26">
        <v>0</v>
      </c>
      <c r="I1183" s="26">
        <v>0</v>
      </c>
      <c r="J1183" s="26">
        <v>0</v>
      </c>
      <c r="K1183" s="26">
        <v>0</v>
      </c>
      <c r="L1183" s="27">
        <v>0</v>
      </c>
    </row>
    <row r="1184" spans="1:12">
      <c r="A1184" s="24" t="s">
        <v>269</v>
      </c>
      <c r="B1184" s="24" t="s">
        <v>337</v>
      </c>
      <c r="C1184" s="25">
        <v>45809</v>
      </c>
      <c r="D1184" s="24" t="s">
        <v>2662</v>
      </c>
      <c r="E1184" s="26">
        <v>0</v>
      </c>
      <c r="F1184" s="26">
        <v>0</v>
      </c>
      <c r="G1184" s="26">
        <v>0</v>
      </c>
      <c r="H1184" s="26">
        <v>0</v>
      </c>
      <c r="I1184" s="26">
        <v>0</v>
      </c>
      <c r="J1184" s="26">
        <v>0</v>
      </c>
      <c r="K1184" s="26">
        <v>0</v>
      </c>
      <c r="L1184" s="27">
        <v>0</v>
      </c>
    </row>
    <row r="1185" spans="1:12">
      <c r="A1185" s="24" t="s">
        <v>269</v>
      </c>
      <c r="B1185" s="24" t="s">
        <v>337</v>
      </c>
      <c r="C1185" s="25">
        <v>45839</v>
      </c>
      <c r="D1185" s="24" t="s">
        <v>2663</v>
      </c>
      <c r="E1185" s="26">
        <v>31900.9</v>
      </c>
      <c r="F1185" s="26">
        <v>0</v>
      </c>
      <c r="G1185" s="26">
        <v>31900.9</v>
      </c>
      <c r="H1185" s="26">
        <v>65587.070000000007</v>
      </c>
      <c r="I1185" s="26">
        <v>-33686.170000000013</v>
      </c>
      <c r="J1185" s="26">
        <v>0</v>
      </c>
      <c r="K1185" s="26">
        <v>-33686.170000000013</v>
      </c>
      <c r="L1185" s="27">
        <v>-1.05596299790915</v>
      </c>
    </row>
    <row r="1186" spans="1:12">
      <c r="A1186" s="24" t="s">
        <v>269</v>
      </c>
      <c r="B1186" s="24" t="s">
        <v>337</v>
      </c>
      <c r="C1186" s="25">
        <v>45870</v>
      </c>
      <c r="D1186" s="24" t="s">
        <v>2664</v>
      </c>
      <c r="E1186" s="26">
        <v>35872.19</v>
      </c>
      <c r="F1186" s="26">
        <v>0</v>
      </c>
      <c r="G1186" s="26">
        <v>35872.19</v>
      </c>
      <c r="H1186" s="26">
        <v>0</v>
      </c>
      <c r="I1186" s="26">
        <v>35872.19</v>
      </c>
      <c r="J1186" s="26">
        <v>0</v>
      </c>
      <c r="K1186" s="26">
        <v>35872.19</v>
      </c>
      <c r="L1186" s="27">
        <v>1</v>
      </c>
    </row>
    <row r="1187" spans="1:12">
      <c r="A1187" s="24" t="s">
        <v>269</v>
      </c>
      <c r="B1187" s="24" t="s">
        <v>337</v>
      </c>
      <c r="C1187" s="25">
        <v>45901</v>
      </c>
      <c r="D1187" s="24" t="s">
        <v>2665</v>
      </c>
      <c r="E1187" s="26">
        <v>0</v>
      </c>
      <c r="F1187" s="26">
        <v>0</v>
      </c>
      <c r="G1187" s="26">
        <v>0</v>
      </c>
      <c r="H1187" s="26">
        <v>0</v>
      </c>
      <c r="I1187" s="26">
        <v>0</v>
      </c>
      <c r="J1187" s="26">
        <v>0</v>
      </c>
      <c r="K1187" s="26">
        <v>0</v>
      </c>
      <c r="L1187" s="27">
        <v>0</v>
      </c>
    </row>
    <row r="1188" spans="1:12">
      <c r="A1188" s="24" t="s">
        <v>269</v>
      </c>
      <c r="B1188" s="24" t="s">
        <v>337</v>
      </c>
      <c r="C1188" s="25">
        <v>45931</v>
      </c>
      <c r="D1188" s="24" t="s">
        <v>2666</v>
      </c>
      <c r="E1188" s="26">
        <v>30319.96</v>
      </c>
      <c r="F1188" s="26">
        <v>0</v>
      </c>
      <c r="G1188" s="26">
        <v>30319.96</v>
      </c>
      <c r="H1188" s="26">
        <v>0</v>
      </c>
      <c r="I1188" s="26">
        <v>30319.96</v>
      </c>
      <c r="J1188" s="26">
        <v>0</v>
      </c>
      <c r="K1188" s="26">
        <v>30319.96</v>
      </c>
      <c r="L1188" s="27">
        <v>1</v>
      </c>
    </row>
    <row r="1189" spans="1:12">
      <c r="A1189" s="24" t="s">
        <v>269</v>
      </c>
      <c r="B1189" s="24" t="s">
        <v>337</v>
      </c>
      <c r="C1189" s="25">
        <v>45962</v>
      </c>
      <c r="D1189" s="24" t="s">
        <v>2667</v>
      </c>
      <c r="E1189" s="26">
        <v>0</v>
      </c>
      <c r="F1189" s="26">
        <v>0</v>
      </c>
      <c r="G1189" s="26">
        <v>0</v>
      </c>
      <c r="H1189" s="26">
        <v>0</v>
      </c>
      <c r="I1189" s="26">
        <v>0</v>
      </c>
      <c r="J1189" s="26">
        <v>0</v>
      </c>
      <c r="K1189" s="26">
        <v>0</v>
      </c>
      <c r="L1189" s="27">
        <v>0</v>
      </c>
    </row>
    <row r="1190" spans="1:12">
      <c r="A1190" s="24" t="s">
        <v>269</v>
      </c>
      <c r="B1190" s="24" t="s">
        <v>337</v>
      </c>
      <c r="C1190" s="25">
        <v>45992</v>
      </c>
      <c r="D1190" s="24" t="s">
        <v>2668</v>
      </c>
      <c r="E1190" s="26">
        <v>36761.410000000003</v>
      </c>
      <c r="F1190" s="26">
        <v>0</v>
      </c>
      <c r="G1190" s="26">
        <v>36761.410000000003</v>
      </c>
      <c r="H1190" s="26">
        <v>0</v>
      </c>
      <c r="I1190" s="26">
        <v>36761.410000000003</v>
      </c>
      <c r="J1190" s="26">
        <v>0</v>
      </c>
      <c r="K1190" s="26">
        <v>36761.410000000003</v>
      </c>
      <c r="L1190" s="27">
        <v>1</v>
      </c>
    </row>
    <row r="1191" spans="1:12">
      <c r="A1191" s="24" t="s">
        <v>40</v>
      </c>
      <c r="B1191" s="24" t="s">
        <v>329</v>
      </c>
      <c r="C1191" s="25">
        <v>45658</v>
      </c>
      <c r="D1191" s="24" t="s">
        <v>2657</v>
      </c>
      <c r="E1191" s="26">
        <v>0</v>
      </c>
      <c r="F1191" s="26">
        <v>0</v>
      </c>
      <c r="G1191" s="26">
        <v>0</v>
      </c>
      <c r="H1191" s="26">
        <v>0</v>
      </c>
      <c r="I1191" s="26">
        <v>0</v>
      </c>
      <c r="J1191" s="26">
        <v>0</v>
      </c>
      <c r="K1191" s="26">
        <v>0</v>
      </c>
      <c r="L1191" s="27">
        <v>0</v>
      </c>
    </row>
    <row r="1192" spans="1:12">
      <c r="A1192" s="24" t="s">
        <v>40</v>
      </c>
      <c r="B1192" s="24" t="s">
        <v>329</v>
      </c>
      <c r="C1192" s="25">
        <v>45689</v>
      </c>
      <c r="D1192" s="24" t="s">
        <v>2658</v>
      </c>
      <c r="E1192" s="26">
        <v>0</v>
      </c>
      <c r="F1192" s="26">
        <v>0</v>
      </c>
      <c r="G1192" s="26">
        <v>0</v>
      </c>
      <c r="H1192" s="26">
        <v>0</v>
      </c>
      <c r="I1192" s="26">
        <v>0</v>
      </c>
      <c r="J1192" s="26">
        <v>0</v>
      </c>
      <c r="K1192" s="26">
        <v>0</v>
      </c>
      <c r="L1192" s="27">
        <v>0</v>
      </c>
    </row>
    <row r="1193" spans="1:12">
      <c r="A1193" s="24" t="s">
        <v>40</v>
      </c>
      <c r="B1193" s="24" t="s">
        <v>329</v>
      </c>
      <c r="C1193" s="25">
        <v>45717</v>
      </c>
      <c r="D1193" s="24" t="s">
        <v>2659</v>
      </c>
      <c r="E1193" s="26">
        <v>0</v>
      </c>
      <c r="F1193" s="26">
        <v>0</v>
      </c>
      <c r="G1193" s="26">
        <v>0</v>
      </c>
      <c r="H1193" s="26">
        <v>0</v>
      </c>
      <c r="I1193" s="26">
        <v>0</v>
      </c>
      <c r="J1193" s="26">
        <v>0</v>
      </c>
      <c r="K1193" s="26">
        <v>0</v>
      </c>
      <c r="L1193" s="27">
        <v>0</v>
      </c>
    </row>
    <row r="1194" spans="1:12">
      <c r="A1194" s="24" t="s">
        <v>40</v>
      </c>
      <c r="B1194" s="24" t="s">
        <v>329</v>
      </c>
      <c r="C1194" s="25">
        <v>45748</v>
      </c>
      <c r="D1194" s="24" t="s">
        <v>2660</v>
      </c>
      <c r="E1194" s="26">
        <v>0</v>
      </c>
      <c r="F1194" s="26">
        <v>0</v>
      </c>
      <c r="G1194" s="26">
        <v>0</v>
      </c>
      <c r="H1194" s="26">
        <v>0</v>
      </c>
      <c r="I1194" s="26">
        <v>0</v>
      </c>
      <c r="J1194" s="26">
        <v>0</v>
      </c>
      <c r="K1194" s="26">
        <v>0</v>
      </c>
      <c r="L1194" s="27">
        <v>0</v>
      </c>
    </row>
    <row r="1195" spans="1:12">
      <c r="A1195" s="24" t="s">
        <v>40</v>
      </c>
      <c r="B1195" s="24" t="s">
        <v>329</v>
      </c>
      <c r="C1195" s="25">
        <v>45778</v>
      </c>
      <c r="D1195" s="24" t="s">
        <v>2661</v>
      </c>
      <c r="E1195" s="26">
        <v>0</v>
      </c>
      <c r="F1195" s="26">
        <v>0</v>
      </c>
      <c r="G1195" s="26">
        <v>0</v>
      </c>
      <c r="H1195" s="26">
        <v>0</v>
      </c>
      <c r="I1195" s="26">
        <v>0</v>
      </c>
      <c r="J1195" s="26">
        <v>0</v>
      </c>
      <c r="K1195" s="26">
        <v>0</v>
      </c>
      <c r="L1195" s="27">
        <v>0</v>
      </c>
    </row>
    <row r="1196" spans="1:12">
      <c r="A1196" s="24" t="s">
        <v>40</v>
      </c>
      <c r="B1196" s="24" t="s">
        <v>329</v>
      </c>
      <c r="C1196" s="25">
        <v>45809</v>
      </c>
      <c r="D1196" s="24" t="s">
        <v>2662</v>
      </c>
      <c r="E1196" s="26">
        <v>0</v>
      </c>
      <c r="F1196" s="26">
        <v>0</v>
      </c>
      <c r="G1196" s="26">
        <v>0</v>
      </c>
      <c r="H1196" s="26">
        <v>0</v>
      </c>
      <c r="I1196" s="26">
        <v>0</v>
      </c>
      <c r="J1196" s="26">
        <v>0</v>
      </c>
      <c r="K1196" s="26">
        <v>0</v>
      </c>
      <c r="L1196" s="27">
        <v>0</v>
      </c>
    </row>
    <row r="1197" spans="1:12">
      <c r="A1197" s="24" t="s">
        <v>40</v>
      </c>
      <c r="B1197" s="24" t="s">
        <v>329</v>
      </c>
      <c r="C1197" s="25">
        <v>45839</v>
      </c>
      <c r="D1197" s="24" t="s">
        <v>2663</v>
      </c>
      <c r="E1197" s="26">
        <v>0</v>
      </c>
      <c r="F1197" s="26">
        <v>0</v>
      </c>
      <c r="G1197" s="26">
        <v>0</v>
      </c>
      <c r="H1197" s="26">
        <v>0</v>
      </c>
      <c r="I1197" s="26">
        <v>0</v>
      </c>
      <c r="J1197" s="26">
        <v>0</v>
      </c>
      <c r="K1197" s="26">
        <v>0</v>
      </c>
      <c r="L1197" s="27">
        <v>0</v>
      </c>
    </row>
    <row r="1198" spans="1:12">
      <c r="A1198" s="24" t="s">
        <v>40</v>
      </c>
      <c r="B1198" s="24" t="s">
        <v>329</v>
      </c>
      <c r="C1198" s="25">
        <v>45870</v>
      </c>
      <c r="D1198" s="24" t="s">
        <v>2664</v>
      </c>
      <c r="E1198" s="26">
        <v>0</v>
      </c>
      <c r="F1198" s="26">
        <v>0</v>
      </c>
      <c r="G1198" s="26">
        <v>0</v>
      </c>
      <c r="H1198" s="26">
        <v>74048.2</v>
      </c>
      <c r="I1198" s="26">
        <v>-74048.2</v>
      </c>
      <c r="J1198" s="26">
        <v>0</v>
      </c>
      <c r="K1198" s="26">
        <v>-74048.2</v>
      </c>
      <c r="L1198" s="27">
        <v>0</v>
      </c>
    </row>
    <row r="1199" spans="1:12">
      <c r="A1199" s="24" t="s">
        <v>40</v>
      </c>
      <c r="B1199" s="24" t="s">
        <v>329</v>
      </c>
      <c r="C1199" s="25">
        <v>45901</v>
      </c>
      <c r="D1199" s="24" t="s">
        <v>2665</v>
      </c>
      <c r="E1199" s="26">
        <v>0</v>
      </c>
      <c r="F1199" s="26">
        <v>0</v>
      </c>
      <c r="G1199" s="26">
        <v>0</v>
      </c>
      <c r="H1199" s="26">
        <v>113797.46</v>
      </c>
      <c r="I1199" s="26">
        <v>-113797.46</v>
      </c>
      <c r="J1199" s="26">
        <v>0</v>
      </c>
      <c r="K1199" s="26">
        <v>-113797.46</v>
      </c>
      <c r="L1199" s="27">
        <v>0</v>
      </c>
    </row>
    <row r="1200" spans="1:12">
      <c r="A1200" s="24" t="s">
        <v>40</v>
      </c>
      <c r="B1200" s="24" t="s">
        <v>329</v>
      </c>
      <c r="C1200" s="25">
        <v>45931</v>
      </c>
      <c r="D1200" s="24" t="s">
        <v>2666</v>
      </c>
      <c r="E1200" s="26">
        <v>0</v>
      </c>
      <c r="F1200" s="26">
        <v>0</v>
      </c>
      <c r="G1200" s="26">
        <v>0</v>
      </c>
      <c r="H1200" s="26">
        <v>71083.570000000007</v>
      </c>
      <c r="I1200" s="26">
        <v>-71083.570000000007</v>
      </c>
      <c r="J1200" s="26">
        <v>0</v>
      </c>
      <c r="K1200" s="26">
        <v>-71083.570000000007</v>
      </c>
      <c r="L1200" s="27">
        <v>0</v>
      </c>
    </row>
    <row r="1201" spans="1:12">
      <c r="A1201" s="24" t="s">
        <v>40</v>
      </c>
      <c r="B1201" s="24" t="s">
        <v>329</v>
      </c>
      <c r="C1201" s="25">
        <v>45962</v>
      </c>
      <c r="D1201" s="24" t="s">
        <v>2667</v>
      </c>
      <c r="E1201" s="26">
        <v>0</v>
      </c>
      <c r="F1201" s="26">
        <v>0</v>
      </c>
      <c r="G1201" s="26">
        <v>0</v>
      </c>
      <c r="H1201" s="26">
        <v>0</v>
      </c>
      <c r="I1201" s="26">
        <v>0</v>
      </c>
      <c r="J1201" s="26">
        <v>0</v>
      </c>
      <c r="K1201" s="26">
        <v>0</v>
      </c>
      <c r="L1201" s="27">
        <v>0</v>
      </c>
    </row>
    <row r="1202" spans="1:12">
      <c r="A1202" s="24" t="s">
        <v>40</v>
      </c>
      <c r="B1202" s="24" t="s">
        <v>329</v>
      </c>
      <c r="C1202" s="25">
        <v>45992</v>
      </c>
      <c r="D1202" s="24" t="s">
        <v>2668</v>
      </c>
      <c r="E1202" s="26">
        <v>0</v>
      </c>
      <c r="F1202" s="26">
        <v>0</v>
      </c>
      <c r="G1202" s="26">
        <v>0</v>
      </c>
      <c r="H1202" s="26">
        <v>0</v>
      </c>
      <c r="I1202" s="26">
        <v>0</v>
      </c>
      <c r="J1202" s="26">
        <v>0</v>
      </c>
      <c r="K1202" s="26">
        <v>0</v>
      </c>
      <c r="L1202" s="27">
        <v>0</v>
      </c>
    </row>
    <row r="1203" spans="1:12">
      <c r="A1203" s="24" t="s">
        <v>127</v>
      </c>
      <c r="B1203" s="24" t="s">
        <v>329</v>
      </c>
      <c r="C1203" s="25">
        <v>45658</v>
      </c>
      <c r="D1203" s="24" t="s">
        <v>2657</v>
      </c>
      <c r="E1203" s="26">
        <v>0</v>
      </c>
      <c r="F1203" s="26">
        <v>0</v>
      </c>
      <c r="G1203" s="26">
        <v>0</v>
      </c>
      <c r="H1203" s="26">
        <v>0</v>
      </c>
      <c r="I1203" s="26">
        <v>0</v>
      </c>
      <c r="J1203" s="26">
        <v>0</v>
      </c>
      <c r="K1203" s="26">
        <v>0</v>
      </c>
      <c r="L1203" s="27">
        <v>0</v>
      </c>
    </row>
    <row r="1204" spans="1:12">
      <c r="A1204" s="24" t="s">
        <v>127</v>
      </c>
      <c r="B1204" s="24" t="s">
        <v>329</v>
      </c>
      <c r="C1204" s="25">
        <v>45689</v>
      </c>
      <c r="D1204" s="24" t="s">
        <v>2658</v>
      </c>
      <c r="E1204" s="26">
        <v>0</v>
      </c>
      <c r="F1204" s="26">
        <v>0</v>
      </c>
      <c r="G1204" s="26">
        <v>0</v>
      </c>
      <c r="H1204" s="26">
        <v>0</v>
      </c>
      <c r="I1204" s="26">
        <v>0</v>
      </c>
      <c r="J1204" s="26">
        <v>0</v>
      </c>
      <c r="K1204" s="26">
        <v>0</v>
      </c>
      <c r="L1204" s="27">
        <v>0</v>
      </c>
    </row>
    <row r="1205" spans="1:12">
      <c r="A1205" s="24" t="s">
        <v>127</v>
      </c>
      <c r="B1205" s="24" t="s">
        <v>329</v>
      </c>
      <c r="C1205" s="25">
        <v>45717</v>
      </c>
      <c r="D1205" s="24" t="s">
        <v>2659</v>
      </c>
      <c r="E1205" s="26">
        <v>0</v>
      </c>
      <c r="F1205" s="26">
        <v>0</v>
      </c>
      <c r="G1205" s="26">
        <v>0</v>
      </c>
      <c r="H1205" s="26">
        <v>0</v>
      </c>
      <c r="I1205" s="26">
        <v>0</v>
      </c>
      <c r="J1205" s="26">
        <v>0</v>
      </c>
      <c r="K1205" s="26">
        <v>0</v>
      </c>
      <c r="L1205" s="27">
        <v>0</v>
      </c>
    </row>
    <row r="1206" spans="1:12">
      <c r="A1206" s="24" t="s">
        <v>127</v>
      </c>
      <c r="B1206" s="24" t="s">
        <v>329</v>
      </c>
      <c r="C1206" s="25">
        <v>45748</v>
      </c>
      <c r="D1206" s="24" t="s">
        <v>2660</v>
      </c>
      <c r="E1206" s="26">
        <v>0</v>
      </c>
      <c r="F1206" s="26">
        <v>0</v>
      </c>
      <c r="G1206" s="26">
        <v>0</v>
      </c>
      <c r="H1206" s="26">
        <v>0</v>
      </c>
      <c r="I1206" s="26">
        <v>0</v>
      </c>
      <c r="J1206" s="26">
        <v>0</v>
      </c>
      <c r="K1206" s="26">
        <v>0</v>
      </c>
      <c r="L1206" s="27">
        <v>0</v>
      </c>
    </row>
    <row r="1207" spans="1:12">
      <c r="A1207" s="24" t="s">
        <v>127</v>
      </c>
      <c r="B1207" s="24" t="s">
        <v>329</v>
      </c>
      <c r="C1207" s="25">
        <v>45778</v>
      </c>
      <c r="D1207" s="24" t="s">
        <v>2661</v>
      </c>
      <c r="E1207" s="26">
        <v>0</v>
      </c>
      <c r="F1207" s="26">
        <v>0</v>
      </c>
      <c r="G1207" s="26">
        <v>0</v>
      </c>
      <c r="H1207" s="26">
        <v>0</v>
      </c>
      <c r="I1207" s="26">
        <v>0</v>
      </c>
      <c r="J1207" s="26">
        <v>0</v>
      </c>
      <c r="K1207" s="26">
        <v>0</v>
      </c>
      <c r="L1207" s="27">
        <v>0</v>
      </c>
    </row>
    <row r="1208" spans="1:12">
      <c r="A1208" s="24" t="s">
        <v>127</v>
      </c>
      <c r="B1208" s="24" t="s">
        <v>329</v>
      </c>
      <c r="C1208" s="25">
        <v>45809</v>
      </c>
      <c r="D1208" s="24" t="s">
        <v>2662</v>
      </c>
      <c r="E1208" s="26">
        <v>0</v>
      </c>
      <c r="F1208" s="26">
        <v>0</v>
      </c>
      <c r="G1208" s="26">
        <v>0</v>
      </c>
      <c r="H1208" s="26">
        <v>0</v>
      </c>
      <c r="I1208" s="26">
        <v>0</v>
      </c>
      <c r="J1208" s="26">
        <v>0</v>
      </c>
      <c r="K1208" s="26">
        <v>0</v>
      </c>
      <c r="L1208" s="27">
        <v>0</v>
      </c>
    </row>
    <row r="1209" spans="1:12">
      <c r="A1209" s="24" t="s">
        <v>127</v>
      </c>
      <c r="B1209" s="24" t="s">
        <v>329</v>
      </c>
      <c r="C1209" s="25">
        <v>45839</v>
      </c>
      <c r="D1209" s="24" t="s">
        <v>2663</v>
      </c>
      <c r="E1209" s="26">
        <v>22849</v>
      </c>
      <c r="F1209" s="26">
        <v>0</v>
      </c>
      <c r="G1209" s="26">
        <v>22849</v>
      </c>
      <c r="H1209" s="26">
        <v>0</v>
      </c>
      <c r="I1209" s="26">
        <v>22849</v>
      </c>
      <c r="J1209" s="26">
        <v>0</v>
      </c>
      <c r="K1209" s="26">
        <v>22849</v>
      </c>
      <c r="L1209" s="27">
        <v>1</v>
      </c>
    </row>
    <row r="1210" spans="1:12">
      <c r="A1210" s="24" t="s">
        <v>127</v>
      </c>
      <c r="B1210" s="24" t="s">
        <v>329</v>
      </c>
      <c r="C1210" s="25">
        <v>45870</v>
      </c>
      <c r="D1210" s="24" t="s">
        <v>2664</v>
      </c>
      <c r="E1210" s="26">
        <v>27474.1</v>
      </c>
      <c r="F1210" s="26">
        <v>0</v>
      </c>
      <c r="G1210" s="26">
        <v>27474.1</v>
      </c>
      <c r="H1210" s="26">
        <v>0</v>
      </c>
      <c r="I1210" s="26">
        <v>27474.1</v>
      </c>
      <c r="J1210" s="26">
        <v>0</v>
      </c>
      <c r="K1210" s="26">
        <v>27474.1</v>
      </c>
      <c r="L1210" s="27">
        <v>1</v>
      </c>
    </row>
    <row r="1211" spans="1:12">
      <c r="A1211" s="24" t="s">
        <v>127</v>
      </c>
      <c r="B1211" s="24" t="s">
        <v>329</v>
      </c>
      <c r="C1211" s="25">
        <v>45901</v>
      </c>
      <c r="D1211" s="24" t="s">
        <v>2665</v>
      </c>
      <c r="E1211" s="26">
        <v>0</v>
      </c>
      <c r="F1211" s="26">
        <v>0</v>
      </c>
      <c r="G1211" s="26">
        <v>0</v>
      </c>
      <c r="H1211" s="26">
        <v>0</v>
      </c>
      <c r="I1211" s="26">
        <v>0</v>
      </c>
      <c r="J1211" s="26">
        <v>0</v>
      </c>
      <c r="K1211" s="26">
        <v>0</v>
      </c>
      <c r="L1211" s="27">
        <v>0</v>
      </c>
    </row>
    <row r="1212" spans="1:12">
      <c r="A1212" s="24" t="s">
        <v>127</v>
      </c>
      <c r="B1212" s="24" t="s">
        <v>329</v>
      </c>
      <c r="C1212" s="25">
        <v>45931</v>
      </c>
      <c r="D1212" s="24" t="s">
        <v>2666</v>
      </c>
      <c r="E1212" s="26">
        <v>14651.48</v>
      </c>
      <c r="F1212" s="26">
        <v>0</v>
      </c>
      <c r="G1212" s="26">
        <v>14651.48</v>
      </c>
      <c r="H1212" s="26">
        <v>4567.6400000000003</v>
      </c>
      <c r="I1212" s="26">
        <v>10083.84</v>
      </c>
      <c r="J1212" s="26">
        <v>0</v>
      </c>
      <c r="K1212" s="26">
        <v>10083.84</v>
      </c>
      <c r="L1212" s="27">
        <v>0.68824719414011415</v>
      </c>
    </row>
    <row r="1213" spans="1:12">
      <c r="A1213" s="24" t="s">
        <v>127</v>
      </c>
      <c r="B1213" s="24" t="s">
        <v>329</v>
      </c>
      <c r="C1213" s="25">
        <v>45962</v>
      </c>
      <c r="D1213" s="24" t="s">
        <v>2667</v>
      </c>
      <c r="E1213" s="26">
        <v>0</v>
      </c>
      <c r="F1213" s="26">
        <v>0</v>
      </c>
      <c r="G1213" s="26">
        <v>0</v>
      </c>
      <c r="H1213" s="26">
        <v>0</v>
      </c>
      <c r="I1213" s="26">
        <v>0</v>
      </c>
      <c r="J1213" s="26">
        <v>0</v>
      </c>
      <c r="K1213" s="26">
        <v>0</v>
      </c>
      <c r="L1213" s="27">
        <v>0</v>
      </c>
    </row>
    <row r="1214" spans="1:12">
      <c r="A1214" s="24" t="s">
        <v>127</v>
      </c>
      <c r="B1214" s="24" t="s">
        <v>329</v>
      </c>
      <c r="C1214" s="25">
        <v>45992</v>
      </c>
      <c r="D1214" s="24" t="s">
        <v>2668</v>
      </c>
      <c r="E1214" s="26">
        <v>26731.96</v>
      </c>
      <c r="F1214" s="26">
        <v>0</v>
      </c>
      <c r="G1214" s="26">
        <v>26731.96</v>
      </c>
      <c r="H1214" s="26">
        <v>0</v>
      </c>
      <c r="I1214" s="26">
        <v>26731.96</v>
      </c>
      <c r="J1214" s="26">
        <v>0</v>
      </c>
      <c r="K1214" s="26">
        <v>26731.96</v>
      </c>
      <c r="L1214" s="27">
        <v>1</v>
      </c>
    </row>
    <row r="1215" spans="1:12">
      <c r="A1215" s="24" t="s">
        <v>120</v>
      </c>
      <c r="B1215" s="24" t="s">
        <v>318</v>
      </c>
      <c r="C1215" s="25">
        <v>45658</v>
      </c>
      <c r="D1215" s="24" t="s">
        <v>2657</v>
      </c>
      <c r="E1215" s="26">
        <v>0</v>
      </c>
      <c r="F1215" s="26">
        <v>0</v>
      </c>
      <c r="G1215" s="26">
        <v>0</v>
      </c>
      <c r="H1215" s="26">
        <v>0</v>
      </c>
      <c r="I1215" s="26">
        <v>0</v>
      </c>
      <c r="J1215" s="26">
        <v>0</v>
      </c>
      <c r="K1215" s="26">
        <v>0</v>
      </c>
      <c r="L1215" s="27">
        <v>0</v>
      </c>
    </row>
    <row r="1216" spans="1:12">
      <c r="A1216" s="24" t="s">
        <v>120</v>
      </c>
      <c r="B1216" s="24" t="s">
        <v>318</v>
      </c>
      <c r="C1216" s="25">
        <v>45689</v>
      </c>
      <c r="D1216" s="24" t="s">
        <v>2658</v>
      </c>
      <c r="E1216" s="26">
        <v>0</v>
      </c>
      <c r="F1216" s="26">
        <v>0</v>
      </c>
      <c r="G1216" s="26">
        <v>0</v>
      </c>
      <c r="H1216" s="26">
        <v>0</v>
      </c>
      <c r="I1216" s="26">
        <v>0</v>
      </c>
      <c r="J1216" s="26">
        <v>0</v>
      </c>
      <c r="K1216" s="26">
        <v>0</v>
      </c>
      <c r="L1216" s="27">
        <v>0</v>
      </c>
    </row>
    <row r="1217" spans="1:12">
      <c r="A1217" s="24" t="s">
        <v>120</v>
      </c>
      <c r="B1217" s="24" t="s">
        <v>318</v>
      </c>
      <c r="C1217" s="25">
        <v>45717</v>
      </c>
      <c r="D1217" s="24" t="s">
        <v>2659</v>
      </c>
      <c r="E1217" s="26">
        <v>0</v>
      </c>
      <c r="F1217" s="26">
        <v>0</v>
      </c>
      <c r="G1217" s="26">
        <v>0</v>
      </c>
      <c r="H1217" s="26">
        <v>0</v>
      </c>
      <c r="I1217" s="26">
        <v>0</v>
      </c>
      <c r="J1217" s="26">
        <v>0</v>
      </c>
      <c r="K1217" s="26">
        <v>0</v>
      </c>
      <c r="L1217" s="27">
        <v>0</v>
      </c>
    </row>
    <row r="1218" spans="1:12">
      <c r="A1218" s="24" t="s">
        <v>120</v>
      </c>
      <c r="B1218" s="24" t="s">
        <v>318</v>
      </c>
      <c r="C1218" s="25">
        <v>45748</v>
      </c>
      <c r="D1218" s="24" t="s">
        <v>2660</v>
      </c>
      <c r="E1218" s="26">
        <v>0</v>
      </c>
      <c r="F1218" s="26">
        <v>0</v>
      </c>
      <c r="G1218" s="26">
        <v>0</v>
      </c>
      <c r="H1218" s="26">
        <v>0</v>
      </c>
      <c r="I1218" s="26">
        <v>0</v>
      </c>
      <c r="J1218" s="26">
        <v>0</v>
      </c>
      <c r="K1218" s="26">
        <v>0</v>
      </c>
      <c r="L1218" s="27">
        <v>0</v>
      </c>
    </row>
    <row r="1219" spans="1:12">
      <c r="A1219" s="24" t="s">
        <v>120</v>
      </c>
      <c r="B1219" s="24" t="s">
        <v>318</v>
      </c>
      <c r="C1219" s="25">
        <v>45778</v>
      </c>
      <c r="D1219" s="24" t="s">
        <v>2661</v>
      </c>
      <c r="E1219" s="26">
        <v>0</v>
      </c>
      <c r="F1219" s="26">
        <v>0</v>
      </c>
      <c r="G1219" s="26">
        <v>0</v>
      </c>
      <c r="H1219" s="26">
        <v>0</v>
      </c>
      <c r="I1219" s="26">
        <v>0</v>
      </c>
      <c r="J1219" s="26">
        <v>0</v>
      </c>
      <c r="K1219" s="26">
        <v>0</v>
      </c>
      <c r="L1219" s="27">
        <v>0</v>
      </c>
    </row>
    <row r="1220" spans="1:12">
      <c r="A1220" s="24" t="s">
        <v>120</v>
      </c>
      <c r="B1220" s="24" t="s">
        <v>318</v>
      </c>
      <c r="C1220" s="25">
        <v>45809</v>
      </c>
      <c r="D1220" s="24" t="s">
        <v>2662</v>
      </c>
      <c r="E1220" s="26">
        <v>0</v>
      </c>
      <c r="F1220" s="26">
        <v>0</v>
      </c>
      <c r="G1220" s="26">
        <v>0</v>
      </c>
      <c r="H1220" s="26">
        <v>0</v>
      </c>
      <c r="I1220" s="26">
        <v>0</v>
      </c>
      <c r="J1220" s="26">
        <v>0</v>
      </c>
      <c r="K1220" s="26">
        <v>0</v>
      </c>
      <c r="L1220" s="27">
        <v>0</v>
      </c>
    </row>
    <row r="1221" spans="1:12">
      <c r="A1221" s="24" t="s">
        <v>120</v>
      </c>
      <c r="B1221" s="24" t="s">
        <v>318</v>
      </c>
      <c r="C1221" s="25">
        <v>45839</v>
      </c>
      <c r="D1221" s="24" t="s">
        <v>2663</v>
      </c>
      <c r="E1221" s="26">
        <v>53899.27</v>
      </c>
      <c r="F1221" s="26">
        <v>0</v>
      </c>
      <c r="G1221" s="26">
        <v>53899.27</v>
      </c>
      <c r="H1221" s="26">
        <v>0</v>
      </c>
      <c r="I1221" s="26">
        <v>53899.27</v>
      </c>
      <c r="J1221" s="26">
        <v>0</v>
      </c>
      <c r="K1221" s="26">
        <v>53899.27</v>
      </c>
      <c r="L1221" s="27">
        <v>1</v>
      </c>
    </row>
    <row r="1222" spans="1:12">
      <c r="A1222" s="24" t="s">
        <v>120</v>
      </c>
      <c r="B1222" s="24" t="s">
        <v>318</v>
      </c>
      <c r="C1222" s="25">
        <v>45870</v>
      </c>
      <c r="D1222" s="24" t="s">
        <v>2664</v>
      </c>
      <c r="E1222" s="26">
        <v>40001.279999999999</v>
      </c>
      <c r="F1222" s="26">
        <v>0</v>
      </c>
      <c r="G1222" s="26">
        <v>40001.279999999999</v>
      </c>
      <c r="H1222" s="26">
        <v>0</v>
      </c>
      <c r="I1222" s="26">
        <v>40001.279999999999</v>
      </c>
      <c r="J1222" s="26">
        <v>0</v>
      </c>
      <c r="K1222" s="26">
        <v>40001.279999999999</v>
      </c>
      <c r="L1222" s="27">
        <v>1</v>
      </c>
    </row>
    <row r="1223" spans="1:12">
      <c r="A1223" s="24" t="s">
        <v>120</v>
      </c>
      <c r="B1223" s="24" t="s">
        <v>318</v>
      </c>
      <c r="C1223" s="25">
        <v>45901</v>
      </c>
      <c r="D1223" s="24" t="s">
        <v>2665</v>
      </c>
      <c r="E1223" s="26">
        <v>0</v>
      </c>
      <c r="F1223" s="26">
        <v>0</v>
      </c>
      <c r="G1223" s="26">
        <v>0</v>
      </c>
      <c r="H1223" s="26">
        <v>0</v>
      </c>
      <c r="I1223" s="26">
        <v>0</v>
      </c>
      <c r="J1223" s="26">
        <v>0</v>
      </c>
      <c r="K1223" s="26">
        <v>0</v>
      </c>
      <c r="L1223" s="27">
        <v>0</v>
      </c>
    </row>
    <row r="1224" spans="1:12">
      <c r="A1224" s="24" t="s">
        <v>120</v>
      </c>
      <c r="B1224" s="24" t="s">
        <v>318</v>
      </c>
      <c r="C1224" s="25">
        <v>45931</v>
      </c>
      <c r="D1224" s="24" t="s">
        <v>2666</v>
      </c>
      <c r="E1224" s="26">
        <v>56362.97</v>
      </c>
      <c r="F1224" s="26">
        <v>0</v>
      </c>
      <c r="G1224" s="26">
        <v>56362.97</v>
      </c>
      <c r="H1224" s="26">
        <v>117564.14</v>
      </c>
      <c r="I1224" s="26">
        <v>-61201.17</v>
      </c>
      <c r="J1224" s="26">
        <v>0</v>
      </c>
      <c r="K1224" s="26">
        <v>-61201.17</v>
      </c>
      <c r="L1224" s="27">
        <v>-1.085840047108944</v>
      </c>
    </row>
    <row r="1225" spans="1:12">
      <c r="A1225" s="24" t="s">
        <v>120</v>
      </c>
      <c r="B1225" s="24" t="s">
        <v>318</v>
      </c>
      <c r="C1225" s="25">
        <v>45962</v>
      </c>
      <c r="D1225" s="24" t="s">
        <v>2667</v>
      </c>
      <c r="E1225" s="26">
        <v>35269.480000000003</v>
      </c>
      <c r="F1225" s="26">
        <v>0</v>
      </c>
      <c r="G1225" s="26">
        <v>35269.480000000003</v>
      </c>
      <c r="H1225" s="26">
        <v>0</v>
      </c>
      <c r="I1225" s="26">
        <v>35269.480000000003</v>
      </c>
      <c r="J1225" s="26">
        <v>0</v>
      </c>
      <c r="K1225" s="26">
        <v>35269.480000000003</v>
      </c>
      <c r="L1225" s="27">
        <v>1</v>
      </c>
    </row>
    <row r="1226" spans="1:12">
      <c r="A1226" s="24" t="s">
        <v>120</v>
      </c>
      <c r="B1226" s="24" t="s">
        <v>318</v>
      </c>
      <c r="C1226" s="25">
        <v>45992</v>
      </c>
      <c r="D1226" s="24" t="s">
        <v>2668</v>
      </c>
      <c r="E1226" s="26">
        <v>0</v>
      </c>
      <c r="F1226" s="26">
        <v>0</v>
      </c>
      <c r="G1226" s="26">
        <v>0</v>
      </c>
      <c r="H1226" s="26">
        <v>0</v>
      </c>
      <c r="I1226" s="26">
        <v>0</v>
      </c>
      <c r="J1226" s="26">
        <v>0</v>
      </c>
      <c r="K1226" s="26">
        <v>0</v>
      </c>
      <c r="L1226" s="27">
        <v>0</v>
      </c>
    </row>
    <row r="1227" spans="1:12">
      <c r="A1227" s="24" t="s">
        <v>183</v>
      </c>
      <c r="B1227" s="24" t="s">
        <v>345</v>
      </c>
      <c r="C1227" s="25">
        <v>45658</v>
      </c>
      <c r="D1227" s="24" t="s">
        <v>2657</v>
      </c>
      <c r="E1227" s="26">
        <v>0</v>
      </c>
      <c r="F1227" s="26">
        <v>0</v>
      </c>
      <c r="G1227" s="26">
        <v>0</v>
      </c>
      <c r="H1227" s="26">
        <v>0</v>
      </c>
      <c r="I1227" s="26">
        <v>0</v>
      </c>
      <c r="J1227" s="26">
        <v>0</v>
      </c>
      <c r="K1227" s="26">
        <v>0</v>
      </c>
      <c r="L1227" s="27">
        <v>0</v>
      </c>
    </row>
    <row r="1228" spans="1:12">
      <c r="A1228" s="24" t="s">
        <v>183</v>
      </c>
      <c r="B1228" s="24" t="s">
        <v>345</v>
      </c>
      <c r="C1228" s="25">
        <v>45689</v>
      </c>
      <c r="D1228" s="24" t="s">
        <v>2658</v>
      </c>
      <c r="E1228" s="26">
        <v>0</v>
      </c>
      <c r="F1228" s="26">
        <v>0</v>
      </c>
      <c r="G1228" s="26">
        <v>0</v>
      </c>
      <c r="H1228" s="26">
        <v>0</v>
      </c>
      <c r="I1228" s="26">
        <v>0</v>
      </c>
      <c r="J1228" s="26">
        <v>0</v>
      </c>
      <c r="K1228" s="26">
        <v>0</v>
      </c>
      <c r="L1228" s="27">
        <v>0</v>
      </c>
    </row>
    <row r="1229" spans="1:12">
      <c r="A1229" s="24" t="s">
        <v>183</v>
      </c>
      <c r="B1229" s="24" t="s">
        <v>345</v>
      </c>
      <c r="C1229" s="25">
        <v>45717</v>
      </c>
      <c r="D1229" s="24" t="s">
        <v>2659</v>
      </c>
      <c r="E1229" s="26">
        <v>0</v>
      </c>
      <c r="F1229" s="26">
        <v>0</v>
      </c>
      <c r="G1229" s="26">
        <v>0</v>
      </c>
      <c r="H1229" s="26">
        <v>0</v>
      </c>
      <c r="I1229" s="26">
        <v>0</v>
      </c>
      <c r="J1229" s="26">
        <v>0</v>
      </c>
      <c r="K1229" s="26">
        <v>0</v>
      </c>
      <c r="L1229" s="27">
        <v>0</v>
      </c>
    </row>
    <row r="1230" spans="1:12">
      <c r="A1230" s="24" t="s">
        <v>183</v>
      </c>
      <c r="B1230" s="24" t="s">
        <v>345</v>
      </c>
      <c r="C1230" s="25">
        <v>45748</v>
      </c>
      <c r="D1230" s="24" t="s">
        <v>2660</v>
      </c>
      <c r="E1230" s="26">
        <v>0</v>
      </c>
      <c r="F1230" s="26">
        <v>0</v>
      </c>
      <c r="G1230" s="26">
        <v>0</v>
      </c>
      <c r="H1230" s="26">
        <v>0</v>
      </c>
      <c r="I1230" s="26">
        <v>0</v>
      </c>
      <c r="J1230" s="26">
        <v>0</v>
      </c>
      <c r="K1230" s="26">
        <v>0</v>
      </c>
      <c r="L1230" s="27">
        <v>0</v>
      </c>
    </row>
    <row r="1231" spans="1:12">
      <c r="A1231" s="24" t="s">
        <v>183</v>
      </c>
      <c r="B1231" s="24" t="s">
        <v>345</v>
      </c>
      <c r="C1231" s="25">
        <v>45778</v>
      </c>
      <c r="D1231" s="24" t="s">
        <v>2661</v>
      </c>
      <c r="E1231" s="26">
        <v>0</v>
      </c>
      <c r="F1231" s="26">
        <v>0</v>
      </c>
      <c r="G1231" s="26">
        <v>0</v>
      </c>
      <c r="H1231" s="26">
        <v>0</v>
      </c>
      <c r="I1231" s="26">
        <v>0</v>
      </c>
      <c r="J1231" s="26">
        <v>0</v>
      </c>
      <c r="K1231" s="26">
        <v>0</v>
      </c>
      <c r="L1231" s="27">
        <v>0</v>
      </c>
    </row>
    <row r="1232" spans="1:12">
      <c r="A1232" s="24" t="s">
        <v>183</v>
      </c>
      <c r="B1232" s="24" t="s">
        <v>345</v>
      </c>
      <c r="C1232" s="25">
        <v>45809</v>
      </c>
      <c r="D1232" s="24" t="s">
        <v>2662</v>
      </c>
      <c r="E1232" s="26">
        <v>0</v>
      </c>
      <c r="F1232" s="26">
        <v>0</v>
      </c>
      <c r="G1232" s="26">
        <v>0</v>
      </c>
      <c r="H1232" s="26">
        <v>0</v>
      </c>
      <c r="I1232" s="26">
        <v>0</v>
      </c>
      <c r="J1232" s="26">
        <v>0</v>
      </c>
      <c r="K1232" s="26">
        <v>0</v>
      </c>
      <c r="L1232" s="27">
        <v>0</v>
      </c>
    </row>
    <row r="1233" spans="1:12">
      <c r="A1233" s="24" t="s">
        <v>183</v>
      </c>
      <c r="B1233" s="24" t="s">
        <v>345</v>
      </c>
      <c r="C1233" s="25">
        <v>45839</v>
      </c>
      <c r="D1233" s="24" t="s">
        <v>2663</v>
      </c>
      <c r="E1233" s="26">
        <v>38458.07</v>
      </c>
      <c r="F1233" s="26">
        <v>0</v>
      </c>
      <c r="G1233" s="26">
        <v>38458.07</v>
      </c>
      <c r="H1233" s="26">
        <v>0</v>
      </c>
      <c r="I1233" s="26">
        <v>38458.07</v>
      </c>
      <c r="J1233" s="26">
        <v>0</v>
      </c>
      <c r="K1233" s="26">
        <v>38458.07</v>
      </c>
      <c r="L1233" s="27">
        <v>1</v>
      </c>
    </row>
    <row r="1234" spans="1:12">
      <c r="A1234" s="24" t="s">
        <v>183</v>
      </c>
      <c r="B1234" s="24" t="s">
        <v>345</v>
      </c>
      <c r="C1234" s="25">
        <v>45870</v>
      </c>
      <c r="D1234" s="24" t="s">
        <v>2664</v>
      </c>
      <c r="E1234" s="26">
        <v>0</v>
      </c>
      <c r="F1234" s="26">
        <v>0</v>
      </c>
      <c r="G1234" s="26">
        <v>0</v>
      </c>
      <c r="H1234" s="26">
        <v>99969.26</v>
      </c>
      <c r="I1234" s="26">
        <v>-99969.26</v>
      </c>
      <c r="J1234" s="26">
        <v>0</v>
      </c>
      <c r="K1234" s="26">
        <v>-99969.26</v>
      </c>
      <c r="L1234" s="27">
        <v>0</v>
      </c>
    </row>
    <row r="1235" spans="1:12">
      <c r="A1235" s="24" t="s">
        <v>183</v>
      </c>
      <c r="B1235" s="24" t="s">
        <v>345</v>
      </c>
      <c r="C1235" s="25">
        <v>45901</v>
      </c>
      <c r="D1235" s="24" t="s">
        <v>2665</v>
      </c>
      <c r="E1235" s="26">
        <v>0</v>
      </c>
      <c r="F1235" s="26">
        <v>0</v>
      </c>
      <c r="G1235" s="26">
        <v>0</v>
      </c>
      <c r="H1235" s="26">
        <v>0</v>
      </c>
      <c r="I1235" s="26">
        <v>0</v>
      </c>
      <c r="J1235" s="26">
        <v>0</v>
      </c>
      <c r="K1235" s="26">
        <v>0</v>
      </c>
      <c r="L1235" s="27">
        <v>0</v>
      </c>
    </row>
    <row r="1236" spans="1:12">
      <c r="A1236" s="24" t="s">
        <v>183</v>
      </c>
      <c r="B1236" s="24" t="s">
        <v>345</v>
      </c>
      <c r="C1236" s="25">
        <v>45931</v>
      </c>
      <c r="D1236" s="24" t="s">
        <v>2666</v>
      </c>
      <c r="E1236" s="26">
        <v>0</v>
      </c>
      <c r="F1236" s="26">
        <v>0</v>
      </c>
      <c r="G1236" s="26">
        <v>0</v>
      </c>
      <c r="H1236" s="26">
        <v>0</v>
      </c>
      <c r="I1236" s="26">
        <v>0</v>
      </c>
      <c r="J1236" s="26">
        <v>0</v>
      </c>
      <c r="K1236" s="26">
        <v>0</v>
      </c>
      <c r="L1236" s="27">
        <v>0</v>
      </c>
    </row>
    <row r="1237" spans="1:12">
      <c r="A1237" s="24" t="s">
        <v>183</v>
      </c>
      <c r="B1237" s="24" t="s">
        <v>345</v>
      </c>
      <c r="C1237" s="25">
        <v>45962</v>
      </c>
      <c r="D1237" s="24" t="s">
        <v>2667</v>
      </c>
      <c r="E1237" s="26">
        <v>42648.14</v>
      </c>
      <c r="F1237" s="26">
        <v>0</v>
      </c>
      <c r="G1237" s="26">
        <v>42648.14</v>
      </c>
      <c r="H1237" s="26">
        <v>52326.45</v>
      </c>
      <c r="I1237" s="26">
        <v>-9678.3099999999977</v>
      </c>
      <c r="J1237" s="26">
        <v>0</v>
      </c>
      <c r="K1237" s="26">
        <v>-9678.3099999999977</v>
      </c>
      <c r="L1237" s="27">
        <v>-0.2269339295922401</v>
      </c>
    </row>
    <row r="1238" spans="1:12">
      <c r="A1238" s="24" t="s">
        <v>183</v>
      </c>
      <c r="B1238" s="24" t="s">
        <v>345</v>
      </c>
      <c r="C1238" s="25">
        <v>45992</v>
      </c>
      <c r="D1238" s="24" t="s">
        <v>2668</v>
      </c>
      <c r="E1238" s="26">
        <v>15996.55</v>
      </c>
      <c r="F1238" s="26">
        <v>0</v>
      </c>
      <c r="G1238" s="26">
        <v>15996.55</v>
      </c>
      <c r="H1238" s="26">
        <v>0</v>
      </c>
      <c r="I1238" s="26">
        <v>15996.55</v>
      </c>
      <c r="J1238" s="26">
        <v>0</v>
      </c>
      <c r="K1238" s="26">
        <v>15996.55</v>
      </c>
      <c r="L1238" s="27">
        <v>1</v>
      </c>
    </row>
    <row r="1239" spans="1:12">
      <c r="A1239" s="24" t="s">
        <v>61</v>
      </c>
      <c r="B1239" s="24" t="s">
        <v>345</v>
      </c>
      <c r="C1239" s="25">
        <v>45658</v>
      </c>
      <c r="D1239" s="24" t="s">
        <v>2657</v>
      </c>
      <c r="E1239" s="26">
        <v>0</v>
      </c>
      <c r="F1239" s="26">
        <v>0</v>
      </c>
      <c r="G1239" s="26">
        <v>0</v>
      </c>
      <c r="H1239" s="26">
        <v>0</v>
      </c>
      <c r="I1239" s="26">
        <v>0</v>
      </c>
      <c r="J1239" s="26">
        <v>0</v>
      </c>
      <c r="K1239" s="26">
        <v>0</v>
      </c>
      <c r="L1239" s="27">
        <v>0</v>
      </c>
    </row>
    <row r="1240" spans="1:12">
      <c r="A1240" s="24" t="s">
        <v>61</v>
      </c>
      <c r="B1240" s="24" t="s">
        <v>345</v>
      </c>
      <c r="C1240" s="25">
        <v>45689</v>
      </c>
      <c r="D1240" s="24" t="s">
        <v>2658</v>
      </c>
      <c r="E1240" s="26">
        <v>0</v>
      </c>
      <c r="F1240" s="26">
        <v>0</v>
      </c>
      <c r="G1240" s="26">
        <v>0</v>
      </c>
      <c r="H1240" s="26">
        <v>0</v>
      </c>
      <c r="I1240" s="26">
        <v>0</v>
      </c>
      <c r="J1240" s="26">
        <v>0</v>
      </c>
      <c r="K1240" s="26">
        <v>0</v>
      </c>
      <c r="L1240" s="27">
        <v>0</v>
      </c>
    </row>
    <row r="1241" spans="1:12">
      <c r="A1241" s="24" t="s">
        <v>61</v>
      </c>
      <c r="B1241" s="24" t="s">
        <v>345</v>
      </c>
      <c r="C1241" s="25">
        <v>45717</v>
      </c>
      <c r="D1241" s="24" t="s">
        <v>2659</v>
      </c>
      <c r="E1241" s="26">
        <v>0</v>
      </c>
      <c r="F1241" s="26">
        <v>0</v>
      </c>
      <c r="G1241" s="26">
        <v>0</v>
      </c>
      <c r="H1241" s="26">
        <v>0</v>
      </c>
      <c r="I1241" s="26">
        <v>0</v>
      </c>
      <c r="J1241" s="26">
        <v>0</v>
      </c>
      <c r="K1241" s="26">
        <v>0</v>
      </c>
      <c r="L1241" s="27">
        <v>0</v>
      </c>
    </row>
    <row r="1242" spans="1:12">
      <c r="A1242" s="24" t="s">
        <v>61</v>
      </c>
      <c r="B1242" s="24" t="s">
        <v>345</v>
      </c>
      <c r="C1242" s="25">
        <v>45748</v>
      </c>
      <c r="D1242" s="24" t="s">
        <v>2660</v>
      </c>
      <c r="E1242" s="26">
        <v>0</v>
      </c>
      <c r="F1242" s="26">
        <v>0</v>
      </c>
      <c r="G1242" s="26">
        <v>0</v>
      </c>
      <c r="H1242" s="26">
        <v>0</v>
      </c>
      <c r="I1242" s="26">
        <v>0</v>
      </c>
      <c r="J1242" s="26">
        <v>0</v>
      </c>
      <c r="K1242" s="26">
        <v>0</v>
      </c>
      <c r="L1242" s="27">
        <v>0</v>
      </c>
    </row>
    <row r="1243" spans="1:12">
      <c r="A1243" s="24" t="s">
        <v>61</v>
      </c>
      <c r="B1243" s="24" t="s">
        <v>345</v>
      </c>
      <c r="C1243" s="25">
        <v>45778</v>
      </c>
      <c r="D1243" s="24" t="s">
        <v>2661</v>
      </c>
      <c r="E1243" s="26">
        <v>0</v>
      </c>
      <c r="F1243" s="26">
        <v>0</v>
      </c>
      <c r="G1243" s="26">
        <v>0</v>
      </c>
      <c r="H1243" s="26">
        <v>0</v>
      </c>
      <c r="I1243" s="26">
        <v>0</v>
      </c>
      <c r="J1243" s="26">
        <v>0</v>
      </c>
      <c r="K1243" s="26">
        <v>0</v>
      </c>
      <c r="L1243" s="27">
        <v>0</v>
      </c>
    </row>
    <row r="1244" spans="1:12">
      <c r="A1244" s="24" t="s">
        <v>61</v>
      </c>
      <c r="B1244" s="24" t="s">
        <v>345</v>
      </c>
      <c r="C1244" s="25">
        <v>45809</v>
      </c>
      <c r="D1244" s="24" t="s">
        <v>2662</v>
      </c>
      <c r="E1244" s="26">
        <v>0</v>
      </c>
      <c r="F1244" s="26">
        <v>0</v>
      </c>
      <c r="G1244" s="26">
        <v>0</v>
      </c>
      <c r="H1244" s="26">
        <v>0</v>
      </c>
      <c r="I1244" s="26">
        <v>0</v>
      </c>
      <c r="J1244" s="26">
        <v>0</v>
      </c>
      <c r="K1244" s="26">
        <v>0</v>
      </c>
      <c r="L1244" s="27">
        <v>0</v>
      </c>
    </row>
    <row r="1245" spans="1:12">
      <c r="A1245" s="24" t="s">
        <v>61</v>
      </c>
      <c r="B1245" s="24" t="s">
        <v>345</v>
      </c>
      <c r="C1245" s="25">
        <v>45839</v>
      </c>
      <c r="D1245" s="24" t="s">
        <v>2663</v>
      </c>
      <c r="E1245" s="26">
        <v>58620.26</v>
      </c>
      <c r="F1245" s="26">
        <v>0</v>
      </c>
      <c r="G1245" s="26">
        <v>58620.26</v>
      </c>
      <c r="H1245" s="26">
        <v>0</v>
      </c>
      <c r="I1245" s="26">
        <v>58620.26</v>
      </c>
      <c r="J1245" s="26">
        <v>0</v>
      </c>
      <c r="K1245" s="26">
        <v>58620.26</v>
      </c>
      <c r="L1245" s="27">
        <v>1</v>
      </c>
    </row>
    <row r="1246" spans="1:12">
      <c r="A1246" s="24" t="s">
        <v>61</v>
      </c>
      <c r="B1246" s="24" t="s">
        <v>345</v>
      </c>
      <c r="C1246" s="25">
        <v>45870</v>
      </c>
      <c r="D1246" s="24" t="s">
        <v>2664</v>
      </c>
      <c r="E1246" s="26">
        <v>0</v>
      </c>
      <c r="F1246" s="26">
        <v>0</v>
      </c>
      <c r="G1246" s="26">
        <v>0</v>
      </c>
      <c r="H1246" s="26">
        <v>0</v>
      </c>
      <c r="I1246" s="26">
        <v>0</v>
      </c>
      <c r="J1246" s="26">
        <v>0</v>
      </c>
      <c r="K1246" s="26">
        <v>0</v>
      </c>
      <c r="L1246" s="27">
        <v>0</v>
      </c>
    </row>
    <row r="1247" spans="1:12">
      <c r="A1247" s="24" t="s">
        <v>61</v>
      </c>
      <c r="B1247" s="24" t="s">
        <v>345</v>
      </c>
      <c r="C1247" s="25">
        <v>45901</v>
      </c>
      <c r="D1247" s="24" t="s">
        <v>2665</v>
      </c>
      <c r="E1247" s="26">
        <v>54748.81</v>
      </c>
      <c r="F1247" s="26">
        <v>204040.02</v>
      </c>
      <c r="G1247" s="26">
        <v>-149291.21</v>
      </c>
      <c r="H1247" s="26">
        <v>0</v>
      </c>
      <c r="I1247" s="26">
        <v>-149291.21</v>
      </c>
      <c r="J1247" s="26">
        <v>0</v>
      </c>
      <c r="K1247" s="26">
        <v>-149291.21</v>
      </c>
      <c r="L1247" s="27">
        <v>1</v>
      </c>
    </row>
    <row r="1248" spans="1:12">
      <c r="A1248" s="24" t="s">
        <v>61</v>
      </c>
      <c r="B1248" s="24" t="s">
        <v>345</v>
      </c>
      <c r="C1248" s="25">
        <v>45931</v>
      </c>
      <c r="D1248" s="24" t="s">
        <v>2666</v>
      </c>
      <c r="E1248" s="26">
        <v>33436.44</v>
      </c>
      <c r="F1248" s="26">
        <v>0</v>
      </c>
      <c r="G1248" s="26">
        <v>33436.44</v>
      </c>
      <c r="H1248" s="26">
        <v>0</v>
      </c>
      <c r="I1248" s="26">
        <v>33436.44</v>
      </c>
      <c r="J1248" s="26">
        <v>0</v>
      </c>
      <c r="K1248" s="26">
        <v>33436.44</v>
      </c>
      <c r="L1248" s="27">
        <v>1</v>
      </c>
    </row>
    <row r="1249" spans="1:12">
      <c r="A1249" s="24" t="s">
        <v>61</v>
      </c>
      <c r="B1249" s="24" t="s">
        <v>345</v>
      </c>
      <c r="C1249" s="25">
        <v>45962</v>
      </c>
      <c r="D1249" s="24" t="s">
        <v>2667</v>
      </c>
      <c r="E1249" s="26">
        <v>0</v>
      </c>
      <c r="F1249" s="26">
        <v>0</v>
      </c>
      <c r="G1249" s="26">
        <v>0</v>
      </c>
      <c r="H1249" s="26">
        <v>0</v>
      </c>
      <c r="I1249" s="26">
        <v>0</v>
      </c>
      <c r="J1249" s="26">
        <v>0</v>
      </c>
      <c r="K1249" s="26">
        <v>0</v>
      </c>
      <c r="L1249" s="27">
        <v>0</v>
      </c>
    </row>
    <row r="1250" spans="1:12">
      <c r="A1250" s="24" t="s">
        <v>61</v>
      </c>
      <c r="B1250" s="24" t="s">
        <v>345</v>
      </c>
      <c r="C1250" s="25">
        <v>45992</v>
      </c>
      <c r="D1250" s="24" t="s">
        <v>2668</v>
      </c>
      <c r="E1250" s="26">
        <v>24334.74</v>
      </c>
      <c r="F1250" s="26">
        <v>0</v>
      </c>
      <c r="G1250" s="26">
        <v>24334.74</v>
      </c>
      <c r="H1250" s="26">
        <v>0</v>
      </c>
      <c r="I1250" s="26">
        <v>24334.74</v>
      </c>
      <c r="J1250" s="26">
        <v>0</v>
      </c>
      <c r="K1250" s="26">
        <v>24334.74</v>
      </c>
      <c r="L1250" s="27">
        <v>1</v>
      </c>
    </row>
    <row r="1251" spans="1:12">
      <c r="A1251" s="24" t="s">
        <v>211</v>
      </c>
      <c r="B1251" s="24" t="s">
        <v>337</v>
      </c>
      <c r="C1251" s="25">
        <v>45658</v>
      </c>
      <c r="D1251" s="24" t="s">
        <v>2657</v>
      </c>
      <c r="E1251" s="26">
        <v>0</v>
      </c>
      <c r="F1251" s="26">
        <v>0</v>
      </c>
      <c r="G1251" s="26">
        <v>0</v>
      </c>
      <c r="H1251" s="26">
        <v>0</v>
      </c>
      <c r="I1251" s="26">
        <v>0</v>
      </c>
      <c r="J1251" s="26">
        <v>0</v>
      </c>
      <c r="K1251" s="26">
        <v>0</v>
      </c>
      <c r="L1251" s="27">
        <v>0</v>
      </c>
    </row>
    <row r="1252" spans="1:12">
      <c r="A1252" s="24" t="s">
        <v>211</v>
      </c>
      <c r="B1252" s="24" t="s">
        <v>337</v>
      </c>
      <c r="C1252" s="25">
        <v>45689</v>
      </c>
      <c r="D1252" s="24" t="s">
        <v>2658</v>
      </c>
      <c r="E1252" s="26">
        <v>0</v>
      </c>
      <c r="F1252" s="26">
        <v>0</v>
      </c>
      <c r="G1252" s="26">
        <v>0</v>
      </c>
      <c r="H1252" s="26">
        <v>0</v>
      </c>
      <c r="I1252" s="26">
        <v>0</v>
      </c>
      <c r="J1252" s="26">
        <v>0</v>
      </c>
      <c r="K1252" s="26">
        <v>0</v>
      </c>
      <c r="L1252" s="27">
        <v>0</v>
      </c>
    </row>
    <row r="1253" spans="1:12">
      <c r="A1253" s="24" t="s">
        <v>211</v>
      </c>
      <c r="B1253" s="24" t="s">
        <v>337</v>
      </c>
      <c r="C1253" s="25">
        <v>45717</v>
      </c>
      <c r="D1253" s="24" t="s">
        <v>2659</v>
      </c>
      <c r="E1253" s="26">
        <v>0</v>
      </c>
      <c r="F1253" s="26">
        <v>0</v>
      </c>
      <c r="G1253" s="26">
        <v>0</v>
      </c>
      <c r="H1253" s="26">
        <v>0</v>
      </c>
      <c r="I1253" s="26">
        <v>0</v>
      </c>
      <c r="J1253" s="26">
        <v>0</v>
      </c>
      <c r="K1253" s="26">
        <v>0</v>
      </c>
      <c r="L1253" s="27">
        <v>0</v>
      </c>
    </row>
    <row r="1254" spans="1:12">
      <c r="A1254" s="24" t="s">
        <v>211</v>
      </c>
      <c r="B1254" s="24" t="s">
        <v>337</v>
      </c>
      <c r="C1254" s="25">
        <v>45748</v>
      </c>
      <c r="D1254" s="24" t="s">
        <v>2660</v>
      </c>
      <c r="E1254" s="26">
        <v>0</v>
      </c>
      <c r="F1254" s="26">
        <v>0</v>
      </c>
      <c r="G1254" s="26">
        <v>0</v>
      </c>
      <c r="H1254" s="26">
        <v>0</v>
      </c>
      <c r="I1254" s="26">
        <v>0</v>
      </c>
      <c r="J1254" s="26">
        <v>0</v>
      </c>
      <c r="K1254" s="26">
        <v>0</v>
      </c>
      <c r="L1254" s="27">
        <v>0</v>
      </c>
    </row>
    <row r="1255" spans="1:12">
      <c r="A1255" s="24" t="s">
        <v>211</v>
      </c>
      <c r="B1255" s="24" t="s">
        <v>337</v>
      </c>
      <c r="C1255" s="25">
        <v>45778</v>
      </c>
      <c r="D1255" s="24" t="s">
        <v>2661</v>
      </c>
      <c r="E1255" s="26">
        <v>0</v>
      </c>
      <c r="F1255" s="26">
        <v>0</v>
      </c>
      <c r="G1255" s="26">
        <v>0</v>
      </c>
      <c r="H1255" s="26">
        <v>0</v>
      </c>
      <c r="I1255" s="26">
        <v>0</v>
      </c>
      <c r="J1255" s="26">
        <v>0</v>
      </c>
      <c r="K1255" s="26">
        <v>0</v>
      </c>
      <c r="L1255" s="27">
        <v>0</v>
      </c>
    </row>
    <row r="1256" spans="1:12">
      <c r="A1256" s="24" t="s">
        <v>211</v>
      </c>
      <c r="B1256" s="24" t="s">
        <v>337</v>
      </c>
      <c r="C1256" s="25">
        <v>45809</v>
      </c>
      <c r="D1256" s="24" t="s">
        <v>2662</v>
      </c>
      <c r="E1256" s="26">
        <v>0</v>
      </c>
      <c r="F1256" s="26">
        <v>0</v>
      </c>
      <c r="G1256" s="26">
        <v>0</v>
      </c>
      <c r="H1256" s="26">
        <v>0</v>
      </c>
      <c r="I1256" s="26">
        <v>0</v>
      </c>
      <c r="J1256" s="26">
        <v>0</v>
      </c>
      <c r="K1256" s="26">
        <v>0</v>
      </c>
      <c r="L1256" s="27">
        <v>0</v>
      </c>
    </row>
    <row r="1257" spans="1:12">
      <c r="A1257" s="24" t="s">
        <v>211</v>
      </c>
      <c r="B1257" s="24" t="s">
        <v>337</v>
      </c>
      <c r="C1257" s="25">
        <v>45839</v>
      </c>
      <c r="D1257" s="24" t="s">
        <v>2663</v>
      </c>
      <c r="E1257" s="26">
        <v>0</v>
      </c>
      <c r="F1257" s="26">
        <v>0</v>
      </c>
      <c r="G1257" s="26">
        <v>0</v>
      </c>
      <c r="H1257" s="26">
        <v>0</v>
      </c>
      <c r="I1257" s="26">
        <v>0</v>
      </c>
      <c r="J1257" s="26">
        <v>0</v>
      </c>
      <c r="K1257" s="26">
        <v>0</v>
      </c>
      <c r="L1257" s="27">
        <v>0</v>
      </c>
    </row>
    <row r="1258" spans="1:12">
      <c r="A1258" s="24" t="s">
        <v>211</v>
      </c>
      <c r="B1258" s="24" t="s">
        <v>337</v>
      </c>
      <c r="C1258" s="25">
        <v>45870</v>
      </c>
      <c r="D1258" s="24" t="s">
        <v>2664</v>
      </c>
      <c r="E1258" s="26">
        <v>16436.14</v>
      </c>
      <c r="F1258" s="26">
        <v>0</v>
      </c>
      <c r="G1258" s="26">
        <v>16436.14</v>
      </c>
      <c r="H1258" s="26">
        <v>0</v>
      </c>
      <c r="I1258" s="26">
        <v>16436.14</v>
      </c>
      <c r="J1258" s="26">
        <v>0</v>
      </c>
      <c r="K1258" s="26">
        <v>16436.14</v>
      </c>
      <c r="L1258" s="27">
        <v>1</v>
      </c>
    </row>
    <row r="1259" spans="1:12">
      <c r="A1259" s="24" t="s">
        <v>211</v>
      </c>
      <c r="B1259" s="24" t="s">
        <v>337</v>
      </c>
      <c r="C1259" s="25">
        <v>45901</v>
      </c>
      <c r="D1259" s="24" t="s">
        <v>2665</v>
      </c>
      <c r="E1259" s="26">
        <v>10763.56</v>
      </c>
      <c r="F1259" s="26">
        <v>0</v>
      </c>
      <c r="G1259" s="26">
        <v>10763.56</v>
      </c>
      <c r="H1259" s="26">
        <v>0</v>
      </c>
      <c r="I1259" s="26">
        <v>10763.56</v>
      </c>
      <c r="J1259" s="26">
        <v>0</v>
      </c>
      <c r="K1259" s="26">
        <v>10763.56</v>
      </c>
      <c r="L1259" s="27">
        <v>1</v>
      </c>
    </row>
    <row r="1260" spans="1:12">
      <c r="A1260" s="24" t="s">
        <v>211</v>
      </c>
      <c r="B1260" s="24" t="s">
        <v>337</v>
      </c>
      <c r="C1260" s="25">
        <v>45931</v>
      </c>
      <c r="D1260" s="24" t="s">
        <v>2666</v>
      </c>
      <c r="E1260" s="26">
        <v>13213.4</v>
      </c>
      <c r="F1260" s="26">
        <v>0</v>
      </c>
      <c r="G1260" s="26">
        <v>13213.4</v>
      </c>
      <c r="H1260" s="26">
        <v>0</v>
      </c>
      <c r="I1260" s="26">
        <v>13213.4</v>
      </c>
      <c r="J1260" s="26">
        <v>0</v>
      </c>
      <c r="K1260" s="26">
        <v>13213.4</v>
      </c>
      <c r="L1260" s="27">
        <v>1</v>
      </c>
    </row>
    <row r="1261" spans="1:12">
      <c r="A1261" s="24" t="s">
        <v>211</v>
      </c>
      <c r="B1261" s="24" t="s">
        <v>337</v>
      </c>
      <c r="C1261" s="25">
        <v>45962</v>
      </c>
      <c r="D1261" s="24" t="s">
        <v>2667</v>
      </c>
      <c r="E1261" s="26">
        <v>0</v>
      </c>
      <c r="F1261" s="26">
        <v>0</v>
      </c>
      <c r="G1261" s="26">
        <v>0</v>
      </c>
      <c r="H1261" s="26">
        <v>103576.06</v>
      </c>
      <c r="I1261" s="26">
        <v>-103576.06</v>
      </c>
      <c r="J1261" s="26">
        <v>0</v>
      </c>
      <c r="K1261" s="26">
        <v>-103576.06</v>
      </c>
      <c r="L1261" s="27">
        <v>0</v>
      </c>
    </row>
    <row r="1262" spans="1:12">
      <c r="A1262" s="24" t="s">
        <v>211</v>
      </c>
      <c r="B1262" s="24" t="s">
        <v>337</v>
      </c>
      <c r="C1262" s="25">
        <v>45992</v>
      </c>
      <c r="D1262" s="24" t="s">
        <v>2668</v>
      </c>
      <c r="E1262" s="26">
        <v>11142.33</v>
      </c>
      <c r="F1262" s="26">
        <v>0</v>
      </c>
      <c r="G1262" s="26">
        <v>11142.33</v>
      </c>
      <c r="H1262" s="26">
        <v>0</v>
      </c>
      <c r="I1262" s="26">
        <v>11142.33</v>
      </c>
      <c r="J1262" s="26">
        <v>0</v>
      </c>
      <c r="K1262" s="26">
        <v>11142.33</v>
      </c>
      <c r="L1262" s="27">
        <v>1</v>
      </c>
    </row>
    <row r="1263" spans="1:12">
      <c r="A1263" s="24" t="s">
        <v>73</v>
      </c>
      <c r="B1263" s="24" t="s">
        <v>329</v>
      </c>
      <c r="C1263" s="25">
        <v>45658</v>
      </c>
      <c r="D1263" s="24" t="s">
        <v>2657</v>
      </c>
      <c r="E1263" s="26">
        <v>0</v>
      </c>
      <c r="F1263" s="26">
        <v>0</v>
      </c>
      <c r="G1263" s="26">
        <v>0</v>
      </c>
      <c r="H1263" s="26">
        <v>0</v>
      </c>
      <c r="I1263" s="26">
        <v>0</v>
      </c>
      <c r="J1263" s="26">
        <v>0</v>
      </c>
      <c r="K1263" s="26">
        <v>0</v>
      </c>
      <c r="L1263" s="27">
        <v>0</v>
      </c>
    </row>
    <row r="1264" spans="1:12">
      <c r="A1264" s="24" t="s">
        <v>73</v>
      </c>
      <c r="B1264" s="24" t="s">
        <v>329</v>
      </c>
      <c r="C1264" s="25">
        <v>45689</v>
      </c>
      <c r="D1264" s="24" t="s">
        <v>2658</v>
      </c>
      <c r="E1264" s="26">
        <v>0</v>
      </c>
      <c r="F1264" s="26">
        <v>0</v>
      </c>
      <c r="G1264" s="26">
        <v>0</v>
      </c>
      <c r="H1264" s="26">
        <v>0</v>
      </c>
      <c r="I1264" s="26">
        <v>0</v>
      </c>
      <c r="J1264" s="26">
        <v>0</v>
      </c>
      <c r="K1264" s="26">
        <v>0</v>
      </c>
      <c r="L1264" s="27">
        <v>0</v>
      </c>
    </row>
    <row r="1265" spans="1:12">
      <c r="A1265" s="24" t="s">
        <v>73</v>
      </c>
      <c r="B1265" s="24" t="s">
        <v>329</v>
      </c>
      <c r="C1265" s="25">
        <v>45717</v>
      </c>
      <c r="D1265" s="24" t="s">
        <v>2659</v>
      </c>
      <c r="E1265" s="26">
        <v>0</v>
      </c>
      <c r="F1265" s="26">
        <v>0</v>
      </c>
      <c r="G1265" s="26">
        <v>0</v>
      </c>
      <c r="H1265" s="26">
        <v>0</v>
      </c>
      <c r="I1265" s="26">
        <v>0</v>
      </c>
      <c r="J1265" s="26">
        <v>0</v>
      </c>
      <c r="K1265" s="26">
        <v>0</v>
      </c>
      <c r="L1265" s="27">
        <v>0</v>
      </c>
    </row>
    <row r="1266" spans="1:12">
      <c r="A1266" s="24" t="s">
        <v>73</v>
      </c>
      <c r="B1266" s="24" t="s">
        <v>329</v>
      </c>
      <c r="C1266" s="25">
        <v>45748</v>
      </c>
      <c r="D1266" s="24" t="s">
        <v>2660</v>
      </c>
      <c r="E1266" s="26">
        <v>0</v>
      </c>
      <c r="F1266" s="26">
        <v>0</v>
      </c>
      <c r="G1266" s="26">
        <v>0</v>
      </c>
      <c r="H1266" s="26">
        <v>0</v>
      </c>
      <c r="I1266" s="26">
        <v>0</v>
      </c>
      <c r="J1266" s="26">
        <v>0</v>
      </c>
      <c r="K1266" s="26">
        <v>0</v>
      </c>
      <c r="L1266" s="27">
        <v>0</v>
      </c>
    </row>
    <row r="1267" spans="1:12">
      <c r="A1267" s="24" t="s">
        <v>73</v>
      </c>
      <c r="B1267" s="24" t="s">
        <v>329</v>
      </c>
      <c r="C1267" s="25">
        <v>45778</v>
      </c>
      <c r="D1267" s="24" t="s">
        <v>2661</v>
      </c>
      <c r="E1267" s="26">
        <v>0</v>
      </c>
      <c r="F1267" s="26">
        <v>0</v>
      </c>
      <c r="G1267" s="26">
        <v>0</v>
      </c>
      <c r="H1267" s="26">
        <v>0</v>
      </c>
      <c r="I1267" s="26">
        <v>0</v>
      </c>
      <c r="J1267" s="26">
        <v>0</v>
      </c>
      <c r="K1267" s="26">
        <v>0</v>
      </c>
      <c r="L1267" s="27">
        <v>0</v>
      </c>
    </row>
    <row r="1268" spans="1:12">
      <c r="A1268" s="24" t="s">
        <v>73</v>
      </c>
      <c r="B1268" s="24" t="s">
        <v>329</v>
      </c>
      <c r="C1268" s="25">
        <v>45809</v>
      </c>
      <c r="D1268" s="24" t="s">
        <v>2662</v>
      </c>
      <c r="E1268" s="26">
        <v>0</v>
      </c>
      <c r="F1268" s="26">
        <v>0</v>
      </c>
      <c r="G1268" s="26">
        <v>0</v>
      </c>
      <c r="H1268" s="26">
        <v>0</v>
      </c>
      <c r="I1268" s="26">
        <v>0</v>
      </c>
      <c r="J1268" s="26">
        <v>0</v>
      </c>
      <c r="K1268" s="26">
        <v>0</v>
      </c>
      <c r="L1268" s="27">
        <v>0</v>
      </c>
    </row>
    <row r="1269" spans="1:12">
      <c r="A1269" s="24" t="s">
        <v>73</v>
      </c>
      <c r="B1269" s="24" t="s">
        <v>329</v>
      </c>
      <c r="C1269" s="25">
        <v>45839</v>
      </c>
      <c r="D1269" s="24" t="s">
        <v>2663</v>
      </c>
      <c r="E1269" s="26">
        <v>0</v>
      </c>
      <c r="F1269" s="26">
        <v>0</v>
      </c>
      <c r="G1269" s="26">
        <v>0</v>
      </c>
      <c r="H1269" s="26">
        <v>0</v>
      </c>
      <c r="I1269" s="26">
        <v>0</v>
      </c>
      <c r="J1269" s="26">
        <v>0</v>
      </c>
      <c r="K1269" s="26">
        <v>0</v>
      </c>
      <c r="L1269" s="27">
        <v>0</v>
      </c>
    </row>
    <row r="1270" spans="1:12">
      <c r="A1270" s="24" t="s">
        <v>73</v>
      </c>
      <c r="B1270" s="24" t="s">
        <v>329</v>
      </c>
      <c r="C1270" s="25">
        <v>45870</v>
      </c>
      <c r="D1270" s="24" t="s">
        <v>2664</v>
      </c>
      <c r="E1270" s="26">
        <v>0</v>
      </c>
      <c r="F1270" s="26">
        <v>0</v>
      </c>
      <c r="G1270" s="26">
        <v>0</v>
      </c>
      <c r="H1270" s="26">
        <v>35862.61</v>
      </c>
      <c r="I1270" s="26">
        <v>-35862.61</v>
      </c>
      <c r="J1270" s="26">
        <v>0</v>
      </c>
      <c r="K1270" s="26">
        <v>-35862.61</v>
      </c>
      <c r="L1270" s="27">
        <v>0</v>
      </c>
    </row>
    <row r="1271" spans="1:12">
      <c r="A1271" s="24" t="s">
        <v>73</v>
      </c>
      <c r="B1271" s="24" t="s">
        <v>329</v>
      </c>
      <c r="C1271" s="25">
        <v>45901</v>
      </c>
      <c r="D1271" s="24" t="s">
        <v>2665</v>
      </c>
      <c r="E1271" s="26">
        <v>27348.39</v>
      </c>
      <c r="F1271" s="26">
        <v>0</v>
      </c>
      <c r="G1271" s="26">
        <v>27348.39</v>
      </c>
      <c r="H1271" s="26">
        <v>65409.88</v>
      </c>
      <c r="I1271" s="26">
        <v>-38061.49</v>
      </c>
      <c r="J1271" s="26">
        <v>0</v>
      </c>
      <c r="K1271" s="26">
        <v>-38061.49</v>
      </c>
      <c r="L1271" s="27">
        <v>-1.3917268987315159</v>
      </c>
    </row>
    <row r="1272" spans="1:12">
      <c r="A1272" s="24" t="s">
        <v>73</v>
      </c>
      <c r="B1272" s="24" t="s">
        <v>329</v>
      </c>
      <c r="C1272" s="25">
        <v>45931</v>
      </c>
      <c r="D1272" s="24" t="s">
        <v>2666</v>
      </c>
      <c r="E1272" s="26">
        <v>0</v>
      </c>
      <c r="F1272" s="26">
        <v>0</v>
      </c>
      <c r="G1272" s="26">
        <v>0</v>
      </c>
      <c r="H1272" s="26">
        <v>0</v>
      </c>
      <c r="I1272" s="26">
        <v>0</v>
      </c>
      <c r="J1272" s="26">
        <v>0</v>
      </c>
      <c r="K1272" s="26">
        <v>0</v>
      </c>
      <c r="L1272" s="27">
        <v>0</v>
      </c>
    </row>
    <row r="1273" spans="1:12">
      <c r="A1273" s="24" t="s">
        <v>73</v>
      </c>
      <c r="B1273" s="24" t="s">
        <v>329</v>
      </c>
      <c r="C1273" s="25">
        <v>45962</v>
      </c>
      <c r="D1273" s="24" t="s">
        <v>2667</v>
      </c>
      <c r="E1273" s="26">
        <v>31963.58</v>
      </c>
      <c r="F1273" s="26">
        <v>0</v>
      </c>
      <c r="G1273" s="26">
        <v>31963.58</v>
      </c>
      <c r="H1273" s="26">
        <v>0</v>
      </c>
      <c r="I1273" s="26">
        <v>31963.58</v>
      </c>
      <c r="J1273" s="26">
        <v>0</v>
      </c>
      <c r="K1273" s="26">
        <v>31963.58</v>
      </c>
      <c r="L1273" s="27">
        <v>1</v>
      </c>
    </row>
    <row r="1274" spans="1:12">
      <c r="A1274" s="24" t="s">
        <v>73</v>
      </c>
      <c r="B1274" s="24" t="s">
        <v>329</v>
      </c>
      <c r="C1274" s="25">
        <v>45992</v>
      </c>
      <c r="D1274" s="24" t="s">
        <v>2668</v>
      </c>
      <c r="E1274" s="26">
        <v>0</v>
      </c>
      <c r="F1274" s="26">
        <v>0</v>
      </c>
      <c r="G1274" s="26">
        <v>0</v>
      </c>
      <c r="H1274" s="26">
        <v>0</v>
      </c>
      <c r="I1274" s="26">
        <v>0</v>
      </c>
      <c r="J1274" s="26">
        <v>0</v>
      </c>
      <c r="K1274" s="26">
        <v>0</v>
      </c>
      <c r="L1274" s="27">
        <v>0</v>
      </c>
    </row>
    <row r="1275" spans="1:12">
      <c r="A1275" s="24" t="s">
        <v>190</v>
      </c>
      <c r="B1275" s="24" t="s">
        <v>337</v>
      </c>
      <c r="C1275" s="25">
        <v>45658</v>
      </c>
      <c r="D1275" s="24" t="s">
        <v>2657</v>
      </c>
      <c r="E1275" s="26">
        <v>0</v>
      </c>
      <c r="F1275" s="26">
        <v>0</v>
      </c>
      <c r="G1275" s="26">
        <v>0</v>
      </c>
      <c r="H1275" s="26">
        <v>0</v>
      </c>
      <c r="I1275" s="26">
        <v>0</v>
      </c>
      <c r="J1275" s="26">
        <v>0</v>
      </c>
      <c r="K1275" s="26">
        <v>0</v>
      </c>
      <c r="L1275" s="27">
        <v>0</v>
      </c>
    </row>
    <row r="1276" spans="1:12">
      <c r="A1276" s="24" t="s">
        <v>190</v>
      </c>
      <c r="B1276" s="24" t="s">
        <v>337</v>
      </c>
      <c r="C1276" s="25">
        <v>45689</v>
      </c>
      <c r="D1276" s="24" t="s">
        <v>2658</v>
      </c>
      <c r="E1276" s="26">
        <v>0</v>
      </c>
      <c r="F1276" s="26">
        <v>0</v>
      </c>
      <c r="G1276" s="26">
        <v>0</v>
      </c>
      <c r="H1276" s="26">
        <v>0</v>
      </c>
      <c r="I1276" s="26">
        <v>0</v>
      </c>
      <c r="J1276" s="26">
        <v>0</v>
      </c>
      <c r="K1276" s="26">
        <v>0</v>
      </c>
      <c r="L1276" s="27">
        <v>0</v>
      </c>
    </row>
    <row r="1277" spans="1:12">
      <c r="A1277" s="24" t="s">
        <v>190</v>
      </c>
      <c r="B1277" s="24" t="s">
        <v>337</v>
      </c>
      <c r="C1277" s="25">
        <v>45717</v>
      </c>
      <c r="D1277" s="24" t="s">
        <v>2659</v>
      </c>
      <c r="E1277" s="26">
        <v>0</v>
      </c>
      <c r="F1277" s="26">
        <v>0</v>
      </c>
      <c r="G1277" s="26">
        <v>0</v>
      </c>
      <c r="H1277" s="26">
        <v>0</v>
      </c>
      <c r="I1277" s="26">
        <v>0</v>
      </c>
      <c r="J1277" s="26">
        <v>0</v>
      </c>
      <c r="K1277" s="26">
        <v>0</v>
      </c>
      <c r="L1277" s="27">
        <v>0</v>
      </c>
    </row>
    <row r="1278" spans="1:12">
      <c r="A1278" s="24" t="s">
        <v>190</v>
      </c>
      <c r="B1278" s="24" t="s">
        <v>337</v>
      </c>
      <c r="C1278" s="25">
        <v>45748</v>
      </c>
      <c r="D1278" s="24" t="s">
        <v>2660</v>
      </c>
      <c r="E1278" s="26">
        <v>0</v>
      </c>
      <c r="F1278" s="26">
        <v>0</v>
      </c>
      <c r="G1278" s="26">
        <v>0</v>
      </c>
      <c r="H1278" s="26">
        <v>0</v>
      </c>
      <c r="I1278" s="26">
        <v>0</v>
      </c>
      <c r="J1278" s="26">
        <v>0</v>
      </c>
      <c r="K1278" s="26">
        <v>0</v>
      </c>
      <c r="L1278" s="27">
        <v>0</v>
      </c>
    </row>
    <row r="1279" spans="1:12">
      <c r="A1279" s="24" t="s">
        <v>190</v>
      </c>
      <c r="B1279" s="24" t="s">
        <v>337</v>
      </c>
      <c r="C1279" s="25">
        <v>45778</v>
      </c>
      <c r="D1279" s="24" t="s">
        <v>2661</v>
      </c>
      <c r="E1279" s="26">
        <v>0</v>
      </c>
      <c r="F1279" s="26">
        <v>0</v>
      </c>
      <c r="G1279" s="26">
        <v>0</v>
      </c>
      <c r="H1279" s="26">
        <v>0</v>
      </c>
      <c r="I1279" s="26">
        <v>0</v>
      </c>
      <c r="J1279" s="26">
        <v>0</v>
      </c>
      <c r="K1279" s="26">
        <v>0</v>
      </c>
      <c r="L1279" s="27">
        <v>0</v>
      </c>
    </row>
    <row r="1280" spans="1:12">
      <c r="A1280" s="24" t="s">
        <v>190</v>
      </c>
      <c r="B1280" s="24" t="s">
        <v>337</v>
      </c>
      <c r="C1280" s="25">
        <v>45809</v>
      </c>
      <c r="D1280" s="24" t="s">
        <v>2662</v>
      </c>
      <c r="E1280" s="26">
        <v>0</v>
      </c>
      <c r="F1280" s="26">
        <v>0</v>
      </c>
      <c r="G1280" s="26">
        <v>0</v>
      </c>
      <c r="H1280" s="26">
        <v>0</v>
      </c>
      <c r="I1280" s="26">
        <v>0</v>
      </c>
      <c r="J1280" s="26">
        <v>0</v>
      </c>
      <c r="K1280" s="26">
        <v>0</v>
      </c>
      <c r="L1280" s="27">
        <v>0</v>
      </c>
    </row>
    <row r="1281" spans="1:12">
      <c r="A1281" s="24" t="s">
        <v>190</v>
      </c>
      <c r="B1281" s="24" t="s">
        <v>337</v>
      </c>
      <c r="C1281" s="25">
        <v>45839</v>
      </c>
      <c r="D1281" s="24" t="s">
        <v>2663</v>
      </c>
      <c r="E1281" s="26">
        <v>0</v>
      </c>
      <c r="F1281" s="26">
        <v>0</v>
      </c>
      <c r="G1281" s="26">
        <v>0</v>
      </c>
      <c r="H1281" s="26">
        <v>0</v>
      </c>
      <c r="I1281" s="26">
        <v>0</v>
      </c>
      <c r="J1281" s="26">
        <v>0</v>
      </c>
      <c r="K1281" s="26">
        <v>0</v>
      </c>
      <c r="L1281" s="27">
        <v>0</v>
      </c>
    </row>
    <row r="1282" spans="1:12">
      <c r="A1282" s="24" t="s">
        <v>190</v>
      </c>
      <c r="B1282" s="24" t="s">
        <v>337</v>
      </c>
      <c r="C1282" s="25">
        <v>45870</v>
      </c>
      <c r="D1282" s="24" t="s">
        <v>2664</v>
      </c>
      <c r="E1282" s="26">
        <v>0</v>
      </c>
      <c r="F1282" s="26">
        <v>0</v>
      </c>
      <c r="G1282" s="26">
        <v>0</v>
      </c>
      <c r="H1282" s="26">
        <v>0</v>
      </c>
      <c r="I1282" s="26">
        <v>0</v>
      </c>
      <c r="J1282" s="26">
        <v>0</v>
      </c>
      <c r="K1282" s="26">
        <v>0</v>
      </c>
      <c r="L1282" s="27">
        <v>0</v>
      </c>
    </row>
    <row r="1283" spans="1:12">
      <c r="A1283" s="24" t="s">
        <v>190</v>
      </c>
      <c r="B1283" s="24" t="s">
        <v>337</v>
      </c>
      <c r="C1283" s="25">
        <v>45901</v>
      </c>
      <c r="D1283" s="24" t="s">
        <v>2665</v>
      </c>
      <c r="E1283" s="26">
        <v>33463.800000000003</v>
      </c>
      <c r="F1283" s="26">
        <v>0</v>
      </c>
      <c r="G1283" s="26">
        <v>33463.800000000003</v>
      </c>
      <c r="H1283" s="26">
        <v>15313.05</v>
      </c>
      <c r="I1283" s="26">
        <v>18150.75</v>
      </c>
      <c r="J1283" s="26">
        <v>0</v>
      </c>
      <c r="K1283" s="26">
        <v>18150.75</v>
      </c>
      <c r="L1283" s="27">
        <v>0.54239954816846869</v>
      </c>
    </row>
    <row r="1284" spans="1:12">
      <c r="A1284" s="24" t="s">
        <v>190</v>
      </c>
      <c r="B1284" s="24" t="s">
        <v>337</v>
      </c>
      <c r="C1284" s="25">
        <v>45931</v>
      </c>
      <c r="D1284" s="24" t="s">
        <v>2666</v>
      </c>
      <c r="E1284" s="26">
        <v>67140.399999999994</v>
      </c>
      <c r="F1284" s="26">
        <v>0</v>
      </c>
      <c r="G1284" s="26">
        <v>67140.399999999994</v>
      </c>
      <c r="H1284" s="26">
        <v>0</v>
      </c>
      <c r="I1284" s="26">
        <v>67140.399999999994</v>
      </c>
      <c r="J1284" s="26">
        <v>0</v>
      </c>
      <c r="K1284" s="26">
        <v>67140.399999999994</v>
      </c>
      <c r="L1284" s="27">
        <v>1</v>
      </c>
    </row>
    <row r="1285" spans="1:12">
      <c r="A1285" s="24" t="s">
        <v>190</v>
      </c>
      <c r="B1285" s="24" t="s">
        <v>337</v>
      </c>
      <c r="C1285" s="25">
        <v>45962</v>
      </c>
      <c r="D1285" s="24" t="s">
        <v>2667</v>
      </c>
      <c r="E1285" s="26">
        <v>63642.35</v>
      </c>
      <c r="F1285" s="26">
        <v>0</v>
      </c>
      <c r="G1285" s="26">
        <v>63642.35</v>
      </c>
      <c r="H1285" s="26">
        <v>0</v>
      </c>
      <c r="I1285" s="26">
        <v>63642.35</v>
      </c>
      <c r="J1285" s="26">
        <v>0</v>
      </c>
      <c r="K1285" s="26">
        <v>63642.35</v>
      </c>
      <c r="L1285" s="27">
        <v>1</v>
      </c>
    </row>
    <row r="1286" spans="1:12">
      <c r="A1286" s="24" t="s">
        <v>190</v>
      </c>
      <c r="B1286" s="24" t="s">
        <v>337</v>
      </c>
      <c r="C1286" s="25">
        <v>45992</v>
      </c>
      <c r="D1286" s="24" t="s">
        <v>2668</v>
      </c>
      <c r="E1286" s="26">
        <v>36650.57</v>
      </c>
      <c r="F1286" s="26">
        <v>0</v>
      </c>
      <c r="G1286" s="26">
        <v>36650.57</v>
      </c>
      <c r="H1286" s="26">
        <v>0</v>
      </c>
      <c r="I1286" s="26">
        <v>36650.57</v>
      </c>
      <c r="J1286" s="26">
        <v>0</v>
      </c>
      <c r="K1286" s="26">
        <v>36650.57</v>
      </c>
      <c r="L1286" s="27">
        <v>1</v>
      </c>
    </row>
    <row r="1287" spans="1:12">
      <c r="A1287" s="24" t="s">
        <v>138</v>
      </c>
      <c r="B1287" s="24" t="s">
        <v>324</v>
      </c>
      <c r="C1287" s="25">
        <v>45658</v>
      </c>
      <c r="D1287" s="24" t="s">
        <v>2657</v>
      </c>
      <c r="E1287" s="26">
        <v>0</v>
      </c>
      <c r="F1287" s="26">
        <v>0</v>
      </c>
      <c r="G1287" s="26">
        <v>0</v>
      </c>
      <c r="H1287" s="26">
        <v>0</v>
      </c>
      <c r="I1287" s="26">
        <v>0</v>
      </c>
      <c r="J1287" s="26">
        <v>0</v>
      </c>
      <c r="K1287" s="26">
        <v>0</v>
      </c>
      <c r="L1287" s="27">
        <v>0</v>
      </c>
    </row>
    <row r="1288" spans="1:12">
      <c r="A1288" s="24" t="s">
        <v>138</v>
      </c>
      <c r="B1288" s="24" t="s">
        <v>324</v>
      </c>
      <c r="C1288" s="25">
        <v>45689</v>
      </c>
      <c r="D1288" s="24" t="s">
        <v>2658</v>
      </c>
      <c r="E1288" s="26">
        <v>0</v>
      </c>
      <c r="F1288" s="26">
        <v>0</v>
      </c>
      <c r="G1288" s="26">
        <v>0</v>
      </c>
      <c r="H1288" s="26">
        <v>0</v>
      </c>
      <c r="I1288" s="26">
        <v>0</v>
      </c>
      <c r="J1288" s="26">
        <v>0</v>
      </c>
      <c r="K1288" s="26">
        <v>0</v>
      </c>
      <c r="L1288" s="27">
        <v>0</v>
      </c>
    </row>
    <row r="1289" spans="1:12">
      <c r="A1289" s="24" t="s">
        <v>138</v>
      </c>
      <c r="B1289" s="24" t="s">
        <v>324</v>
      </c>
      <c r="C1289" s="25">
        <v>45717</v>
      </c>
      <c r="D1289" s="24" t="s">
        <v>2659</v>
      </c>
      <c r="E1289" s="26">
        <v>0</v>
      </c>
      <c r="F1289" s="26">
        <v>0</v>
      </c>
      <c r="G1289" s="26">
        <v>0</v>
      </c>
      <c r="H1289" s="26">
        <v>0</v>
      </c>
      <c r="I1289" s="26">
        <v>0</v>
      </c>
      <c r="J1289" s="26">
        <v>0</v>
      </c>
      <c r="K1289" s="26">
        <v>0</v>
      </c>
      <c r="L1289" s="27">
        <v>0</v>
      </c>
    </row>
    <row r="1290" spans="1:12">
      <c r="A1290" s="24" t="s">
        <v>138</v>
      </c>
      <c r="B1290" s="24" t="s">
        <v>324</v>
      </c>
      <c r="C1290" s="25">
        <v>45748</v>
      </c>
      <c r="D1290" s="24" t="s">
        <v>2660</v>
      </c>
      <c r="E1290" s="26">
        <v>0</v>
      </c>
      <c r="F1290" s="26">
        <v>0</v>
      </c>
      <c r="G1290" s="26">
        <v>0</v>
      </c>
      <c r="H1290" s="26">
        <v>0</v>
      </c>
      <c r="I1290" s="26">
        <v>0</v>
      </c>
      <c r="J1290" s="26">
        <v>0</v>
      </c>
      <c r="K1290" s="26">
        <v>0</v>
      </c>
      <c r="L1290" s="27">
        <v>0</v>
      </c>
    </row>
    <row r="1291" spans="1:12">
      <c r="A1291" s="24" t="s">
        <v>138</v>
      </c>
      <c r="B1291" s="24" t="s">
        <v>324</v>
      </c>
      <c r="C1291" s="25">
        <v>45778</v>
      </c>
      <c r="D1291" s="24" t="s">
        <v>2661</v>
      </c>
      <c r="E1291" s="26">
        <v>0</v>
      </c>
      <c r="F1291" s="26">
        <v>0</v>
      </c>
      <c r="G1291" s="26">
        <v>0</v>
      </c>
      <c r="H1291" s="26">
        <v>0</v>
      </c>
      <c r="I1291" s="26">
        <v>0</v>
      </c>
      <c r="J1291" s="26">
        <v>0</v>
      </c>
      <c r="K1291" s="26">
        <v>0</v>
      </c>
      <c r="L1291" s="27">
        <v>0</v>
      </c>
    </row>
    <row r="1292" spans="1:12">
      <c r="A1292" s="24" t="s">
        <v>138</v>
      </c>
      <c r="B1292" s="24" t="s">
        <v>324</v>
      </c>
      <c r="C1292" s="25">
        <v>45809</v>
      </c>
      <c r="D1292" s="24" t="s">
        <v>2662</v>
      </c>
      <c r="E1292" s="26">
        <v>0</v>
      </c>
      <c r="F1292" s="26">
        <v>0</v>
      </c>
      <c r="G1292" s="26">
        <v>0</v>
      </c>
      <c r="H1292" s="26">
        <v>0</v>
      </c>
      <c r="I1292" s="26">
        <v>0</v>
      </c>
      <c r="J1292" s="26">
        <v>0</v>
      </c>
      <c r="K1292" s="26">
        <v>0</v>
      </c>
      <c r="L1292" s="27">
        <v>0</v>
      </c>
    </row>
    <row r="1293" spans="1:12">
      <c r="A1293" s="24" t="s">
        <v>138</v>
      </c>
      <c r="B1293" s="24" t="s">
        <v>324</v>
      </c>
      <c r="C1293" s="25">
        <v>45839</v>
      </c>
      <c r="D1293" s="24" t="s">
        <v>2663</v>
      </c>
      <c r="E1293" s="26">
        <v>0</v>
      </c>
      <c r="F1293" s="26">
        <v>0</v>
      </c>
      <c r="G1293" s="26">
        <v>0</v>
      </c>
      <c r="H1293" s="26">
        <v>0</v>
      </c>
      <c r="I1293" s="26">
        <v>0</v>
      </c>
      <c r="J1293" s="26">
        <v>0</v>
      </c>
      <c r="K1293" s="26">
        <v>0</v>
      </c>
      <c r="L1293" s="27">
        <v>0</v>
      </c>
    </row>
    <row r="1294" spans="1:12">
      <c r="A1294" s="24" t="s">
        <v>138</v>
      </c>
      <c r="B1294" s="24" t="s">
        <v>324</v>
      </c>
      <c r="C1294" s="25">
        <v>45870</v>
      </c>
      <c r="D1294" s="24" t="s">
        <v>2664</v>
      </c>
      <c r="E1294" s="26">
        <v>0</v>
      </c>
      <c r="F1294" s="26">
        <v>0</v>
      </c>
      <c r="G1294" s="26">
        <v>0</v>
      </c>
      <c r="H1294" s="26">
        <v>0</v>
      </c>
      <c r="I1294" s="26">
        <v>0</v>
      </c>
      <c r="J1294" s="26">
        <v>0</v>
      </c>
      <c r="K1294" s="26">
        <v>0</v>
      </c>
      <c r="L1294" s="27">
        <v>0</v>
      </c>
    </row>
    <row r="1295" spans="1:12">
      <c r="A1295" s="24" t="s">
        <v>138</v>
      </c>
      <c r="B1295" s="24" t="s">
        <v>324</v>
      </c>
      <c r="C1295" s="25">
        <v>45901</v>
      </c>
      <c r="D1295" s="24" t="s">
        <v>2665</v>
      </c>
      <c r="E1295" s="26">
        <v>0</v>
      </c>
      <c r="F1295" s="26">
        <v>0</v>
      </c>
      <c r="G1295" s="26">
        <v>0</v>
      </c>
      <c r="H1295" s="26">
        <v>65357.77</v>
      </c>
      <c r="I1295" s="26">
        <v>-65357.77</v>
      </c>
      <c r="J1295" s="26">
        <v>0</v>
      </c>
      <c r="K1295" s="26">
        <v>-65357.77</v>
      </c>
      <c r="L1295" s="27">
        <v>0</v>
      </c>
    </row>
    <row r="1296" spans="1:12">
      <c r="A1296" s="24" t="s">
        <v>138</v>
      </c>
      <c r="B1296" s="24" t="s">
        <v>324</v>
      </c>
      <c r="C1296" s="25">
        <v>45931</v>
      </c>
      <c r="D1296" s="24" t="s">
        <v>2666</v>
      </c>
      <c r="E1296" s="26">
        <v>37111.29</v>
      </c>
      <c r="F1296" s="26">
        <v>0</v>
      </c>
      <c r="G1296" s="26">
        <v>37111.29</v>
      </c>
      <c r="H1296" s="26">
        <v>98190.23</v>
      </c>
      <c r="I1296" s="26">
        <v>-61078.94</v>
      </c>
      <c r="J1296" s="26">
        <v>0</v>
      </c>
      <c r="K1296" s="26">
        <v>-61078.94</v>
      </c>
      <c r="L1296" s="27">
        <v>-1.645831767098368</v>
      </c>
    </row>
    <row r="1297" spans="1:12">
      <c r="A1297" s="24" t="s">
        <v>138</v>
      </c>
      <c r="B1297" s="24" t="s">
        <v>324</v>
      </c>
      <c r="C1297" s="25">
        <v>45962</v>
      </c>
      <c r="D1297" s="24" t="s">
        <v>2667</v>
      </c>
      <c r="E1297" s="26">
        <v>61809.31</v>
      </c>
      <c r="F1297" s="26">
        <v>0</v>
      </c>
      <c r="G1297" s="26">
        <v>61809.31</v>
      </c>
      <c r="H1297" s="26">
        <v>0</v>
      </c>
      <c r="I1297" s="26">
        <v>61809.31</v>
      </c>
      <c r="J1297" s="26">
        <v>0</v>
      </c>
      <c r="K1297" s="26">
        <v>61809.31</v>
      </c>
      <c r="L1297" s="27">
        <v>1</v>
      </c>
    </row>
    <row r="1298" spans="1:12">
      <c r="A1298" s="24" t="s">
        <v>138</v>
      </c>
      <c r="B1298" s="24" t="s">
        <v>324</v>
      </c>
      <c r="C1298" s="25">
        <v>45992</v>
      </c>
      <c r="D1298" s="24" t="s">
        <v>2668</v>
      </c>
      <c r="E1298" s="26">
        <v>0</v>
      </c>
      <c r="F1298" s="26">
        <v>0</v>
      </c>
      <c r="G1298" s="26">
        <v>0</v>
      </c>
      <c r="H1298" s="26">
        <v>107830.64</v>
      </c>
      <c r="I1298" s="26">
        <v>-107830.64</v>
      </c>
      <c r="J1298" s="26">
        <v>0</v>
      </c>
      <c r="K1298" s="26">
        <v>-107830.64</v>
      </c>
      <c r="L1298" s="27">
        <v>0</v>
      </c>
    </row>
    <row r="1299" spans="1:12">
      <c r="A1299" s="24" t="s">
        <v>69</v>
      </c>
      <c r="B1299" s="24" t="s">
        <v>318</v>
      </c>
      <c r="C1299" s="25">
        <v>45658</v>
      </c>
      <c r="D1299" s="24" t="s">
        <v>2657</v>
      </c>
      <c r="E1299" s="26">
        <v>0</v>
      </c>
      <c r="F1299" s="26">
        <v>0</v>
      </c>
      <c r="G1299" s="26">
        <v>0</v>
      </c>
      <c r="H1299" s="26">
        <v>0</v>
      </c>
      <c r="I1299" s="26">
        <v>0</v>
      </c>
      <c r="J1299" s="26">
        <v>0</v>
      </c>
      <c r="K1299" s="26">
        <v>0</v>
      </c>
      <c r="L1299" s="27">
        <v>0</v>
      </c>
    </row>
    <row r="1300" spans="1:12">
      <c r="A1300" s="24" t="s">
        <v>69</v>
      </c>
      <c r="B1300" s="24" t="s">
        <v>318</v>
      </c>
      <c r="C1300" s="25">
        <v>45689</v>
      </c>
      <c r="D1300" s="24" t="s">
        <v>2658</v>
      </c>
      <c r="E1300" s="26">
        <v>0</v>
      </c>
      <c r="F1300" s="26">
        <v>0</v>
      </c>
      <c r="G1300" s="26">
        <v>0</v>
      </c>
      <c r="H1300" s="26">
        <v>0</v>
      </c>
      <c r="I1300" s="26">
        <v>0</v>
      </c>
      <c r="J1300" s="26">
        <v>0</v>
      </c>
      <c r="K1300" s="26">
        <v>0</v>
      </c>
      <c r="L1300" s="27">
        <v>0</v>
      </c>
    </row>
    <row r="1301" spans="1:12">
      <c r="A1301" s="24" t="s">
        <v>69</v>
      </c>
      <c r="B1301" s="24" t="s">
        <v>318</v>
      </c>
      <c r="C1301" s="25">
        <v>45717</v>
      </c>
      <c r="D1301" s="24" t="s">
        <v>2659</v>
      </c>
      <c r="E1301" s="26">
        <v>0</v>
      </c>
      <c r="F1301" s="26">
        <v>0</v>
      </c>
      <c r="G1301" s="26">
        <v>0</v>
      </c>
      <c r="H1301" s="26">
        <v>0</v>
      </c>
      <c r="I1301" s="26">
        <v>0</v>
      </c>
      <c r="J1301" s="26">
        <v>0</v>
      </c>
      <c r="K1301" s="26">
        <v>0</v>
      </c>
      <c r="L1301" s="27">
        <v>0</v>
      </c>
    </row>
    <row r="1302" spans="1:12">
      <c r="A1302" s="24" t="s">
        <v>69</v>
      </c>
      <c r="B1302" s="24" t="s">
        <v>318</v>
      </c>
      <c r="C1302" s="25">
        <v>45748</v>
      </c>
      <c r="D1302" s="24" t="s">
        <v>2660</v>
      </c>
      <c r="E1302" s="26">
        <v>0</v>
      </c>
      <c r="F1302" s="26">
        <v>0</v>
      </c>
      <c r="G1302" s="26">
        <v>0</v>
      </c>
      <c r="H1302" s="26">
        <v>0</v>
      </c>
      <c r="I1302" s="26">
        <v>0</v>
      </c>
      <c r="J1302" s="26">
        <v>0</v>
      </c>
      <c r="K1302" s="26">
        <v>0</v>
      </c>
      <c r="L1302" s="27">
        <v>0</v>
      </c>
    </row>
    <row r="1303" spans="1:12">
      <c r="A1303" s="24" t="s">
        <v>69</v>
      </c>
      <c r="B1303" s="24" t="s">
        <v>318</v>
      </c>
      <c r="C1303" s="25">
        <v>45778</v>
      </c>
      <c r="D1303" s="24" t="s">
        <v>2661</v>
      </c>
      <c r="E1303" s="26">
        <v>0</v>
      </c>
      <c r="F1303" s="26">
        <v>0</v>
      </c>
      <c r="G1303" s="26">
        <v>0</v>
      </c>
      <c r="H1303" s="26">
        <v>0</v>
      </c>
      <c r="I1303" s="26">
        <v>0</v>
      </c>
      <c r="J1303" s="26">
        <v>0</v>
      </c>
      <c r="K1303" s="26">
        <v>0</v>
      </c>
      <c r="L1303" s="27">
        <v>0</v>
      </c>
    </row>
    <row r="1304" spans="1:12">
      <c r="A1304" s="24" t="s">
        <v>69</v>
      </c>
      <c r="B1304" s="24" t="s">
        <v>318</v>
      </c>
      <c r="C1304" s="25">
        <v>45809</v>
      </c>
      <c r="D1304" s="24" t="s">
        <v>2662</v>
      </c>
      <c r="E1304" s="26">
        <v>0</v>
      </c>
      <c r="F1304" s="26">
        <v>0</v>
      </c>
      <c r="G1304" s="26">
        <v>0</v>
      </c>
      <c r="H1304" s="26">
        <v>0</v>
      </c>
      <c r="I1304" s="26">
        <v>0</v>
      </c>
      <c r="J1304" s="26">
        <v>0</v>
      </c>
      <c r="K1304" s="26">
        <v>0</v>
      </c>
      <c r="L1304" s="27">
        <v>0</v>
      </c>
    </row>
    <row r="1305" spans="1:12">
      <c r="A1305" s="24" t="s">
        <v>69</v>
      </c>
      <c r="B1305" s="24" t="s">
        <v>318</v>
      </c>
      <c r="C1305" s="25">
        <v>45839</v>
      </c>
      <c r="D1305" s="24" t="s">
        <v>2663</v>
      </c>
      <c r="E1305" s="26">
        <v>0</v>
      </c>
      <c r="F1305" s="26">
        <v>0</v>
      </c>
      <c r="G1305" s="26">
        <v>0</v>
      </c>
      <c r="H1305" s="26">
        <v>0</v>
      </c>
      <c r="I1305" s="26">
        <v>0</v>
      </c>
      <c r="J1305" s="26">
        <v>0</v>
      </c>
      <c r="K1305" s="26">
        <v>0</v>
      </c>
      <c r="L1305" s="27">
        <v>0</v>
      </c>
    </row>
    <row r="1306" spans="1:12">
      <c r="A1306" s="24" t="s">
        <v>69</v>
      </c>
      <c r="B1306" s="24" t="s">
        <v>318</v>
      </c>
      <c r="C1306" s="25">
        <v>45870</v>
      </c>
      <c r="D1306" s="24" t="s">
        <v>2664</v>
      </c>
      <c r="E1306" s="26">
        <v>0</v>
      </c>
      <c r="F1306" s="26">
        <v>0</v>
      </c>
      <c r="G1306" s="26">
        <v>0</v>
      </c>
      <c r="H1306" s="26">
        <v>0</v>
      </c>
      <c r="I1306" s="26">
        <v>0</v>
      </c>
      <c r="J1306" s="26">
        <v>0</v>
      </c>
      <c r="K1306" s="26">
        <v>0</v>
      </c>
      <c r="L1306" s="27">
        <v>0</v>
      </c>
    </row>
    <row r="1307" spans="1:12">
      <c r="A1307" s="24" t="s">
        <v>69</v>
      </c>
      <c r="B1307" s="24" t="s">
        <v>318</v>
      </c>
      <c r="C1307" s="25">
        <v>45901</v>
      </c>
      <c r="D1307" s="24" t="s">
        <v>2665</v>
      </c>
      <c r="E1307" s="26">
        <v>0</v>
      </c>
      <c r="F1307" s="26">
        <v>0</v>
      </c>
      <c r="G1307" s="26">
        <v>0</v>
      </c>
      <c r="H1307" s="26">
        <v>0</v>
      </c>
      <c r="I1307" s="26">
        <v>0</v>
      </c>
      <c r="J1307" s="26">
        <v>0</v>
      </c>
      <c r="K1307" s="26">
        <v>0</v>
      </c>
      <c r="L1307" s="27">
        <v>0</v>
      </c>
    </row>
    <row r="1308" spans="1:12">
      <c r="A1308" s="24" t="s">
        <v>69</v>
      </c>
      <c r="B1308" s="24" t="s">
        <v>318</v>
      </c>
      <c r="C1308" s="25">
        <v>45931</v>
      </c>
      <c r="D1308" s="24" t="s">
        <v>2666</v>
      </c>
      <c r="E1308" s="26">
        <v>0</v>
      </c>
      <c r="F1308" s="26">
        <v>0</v>
      </c>
      <c r="G1308" s="26">
        <v>0</v>
      </c>
      <c r="H1308" s="26">
        <v>70404.41</v>
      </c>
      <c r="I1308" s="26">
        <v>-70404.41</v>
      </c>
      <c r="J1308" s="26">
        <v>0</v>
      </c>
      <c r="K1308" s="26">
        <v>-70404.41</v>
      </c>
      <c r="L1308" s="27">
        <v>0</v>
      </c>
    </row>
    <row r="1309" spans="1:12">
      <c r="A1309" s="24" t="s">
        <v>69</v>
      </c>
      <c r="B1309" s="24" t="s">
        <v>318</v>
      </c>
      <c r="C1309" s="25">
        <v>45962</v>
      </c>
      <c r="D1309" s="24" t="s">
        <v>2667</v>
      </c>
      <c r="E1309" s="26">
        <v>0</v>
      </c>
      <c r="F1309" s="26">
        <v>0</v>
      </c>
      <c r="G1309" s="26">
        <v>0</v>
      </c>
      <c r="H1309" s="26">
        <v>134866.99</v>
      </c>
      <c r="I1309" s="26">
        <v>-134866.99</v>
      </c>
      <c r="J1309" s="26">
        <v>0</v>
      </c>
      <c r="K1309" s="26">
        <v>-134866.99</v>
      </c>
      <c r="L1309" s="27">
        <v>0</v>
      </c>
    </row>
    <row r="1310" spans="1:12">
      <c r="A1310" s="24" t="s">
        <v>69</v>
      </c>
      <c r="B1310" s="24" t="s">
        <v>318</v>
      </c>
      <c r="C1310" s="25">
        <v>45992</v>
      </c>
      <c r="D1310" s="24" t="s">
        <v>2668</v>
      </c>
      <c r="E1310" s="26">
        <v>0</v>
      </c>
      <c r="F1310" s="26">
        <v>0</v>
      </c>
      <c r="G1310" s="26">
        <v>0</v>
      </c>
      <c r="H1310" s="26">
        <v>102290.68</v>
      </c>
      <c r="I1310" s="26">
        <v>-102290.68</v>
      </c>
      <c r="J1310" s="26">
        <v>0</v>
      </c>
      <c r="K1310" s="26">
        <v>-102290.68</v>
      </c>
      <c r="L1310" s="27">
        <v>0</v>
      </c>
    </row>
    <row r="1311" spans="1:12">
      <c r="A1311" s="24" t="s">
        <v>204</v>
      </c>
      <c r="B1311" s="24" t="s">
        <v>318</v>
      </c>
      <c r="C1311" s="25">
        <v>45658</v>
      </c>
      <c r="D1311" s="24" t="s">
        <v>2657</v>
      </c>
      <c r="E1311" s="26">
        <v>0</v>
      </c>
      <c r="F1311" s="26">
        <v>0</v>
      </c>
      <c r="G1311" s="26">
        <v>0</v>
      </c>
      <c r="H1311" s="26">
        <v>0</v>
      </c>
      <c r="I1311" s="26">
        <v>0</v>
      </c>
      <c r="J1311" s="26">
        <v>0</v>
      </c>
      <c r="K1311" s="26">
        <v>0</v>
      </c>
      <c r="L1311" s="27">
        <v>0</v>
      </c>
    </row>
    <row r="1312" spans="1:12">
      <c r="A1312" s="24" t="s">
        <v>204</v>
      </c>
      <c r="B1312" s="24" t="s">
        <v>318</v>
      </c>
      <c r="C1312" s="25">
        <v>45689</v>
      </c>
      <c r="D1312" s="24" t="s">
        <v>2658</v>
      </c>
      <c r="E1312" s="26">
        <v>0</v>
      </c>
      <c r="F1312" s="26">
        <v>0</v>
      </c>
      <c r="G1312" s="26">
        <v>0</v>
      </c>
      <c r="H1312" s="26">
        <v>0</v>
      </c>
      <c r="I1312" s="26">
        <v>0</v>
      </c>
      <c r="J1312" s="26">
        <v>0</v>
      </c>
      <c r="K1312" s="26">
        <v>0</v>
      </c>
      <c r="L1312" s="27">
        <v>0</v>
      </c>
    </row>
    <row r="1313" spans="1:12">
      <c r="A1313" s="24" t="s">
        <v>204</v>
      </c>
      <c r="B1313" s="24" t="s">
        <v>318</v>
      </c>
      <c r="C1313" s="25">
        <v>45717</v>
      </c>
      <c r="D1313" s="24" t="s">
        <v>2659</v>
      </c>
      <c r="E1313" s="26">
        <v>0</v>
      </c>
      <c r="F1313" s="26">
        <v>0</v>
      </c>
      <c r="G1313" s="26">
        <v>0</v>
      </c>
      <c r="H1313" s="26">
        <v>0</v>
      </c>
      <c r="I1313" s="26">
        <v>0</v>
      </c>
      <c r="J1313" s="26">
        <v>0</v>
      </c>
      <c r="K1313" s="26">
        <v>0</v>
      </c>
      <c r="L1313" s="27">
        <v>0</v>
      </c>
    </row>
    <row r="1314" spans="1:12">
      <c r="A1314" s="24" t="s">
        <v>204</v>
      </c>
      <c r="B1314" s="24" t="s">
        <v>318</v>
      </c>
      <c r="C1314" s="25">
        <v>45748</v>
      </c>
      <c r="D1314" s="24" t="s">
        <v>2660</v>
      </c>
      <c r="E1314" s="26">
        <v>0</v>
      </c>
      <c r="F1314" s="26">
        <v>0</v>
      </c>
      <c r="G1314" s="26">
        <v>0</v>
      </c>
      <c r="H1314" s="26">
        <v>0</v>
      </c>
      <c r="I1314" s="26">
        <v>0</v>
      </c>
      <c r="J1314" s="26">
        <v>0</v>
      </c>
      <c r="K1314" s="26">
        <v>0</v>
      </c>
      <c r="L1314" s="27">
        <v>0</v>
      </c>
    </row>
    <row r="1315" spans="1:12">
      <c r="A1315" s="24" t="s">
        <v>204</v>
      </c>
      <c r="B1315" s="24" t="s">
        <v>318</v>
      </c>
      <c r="C1315" s="25">
        <v>45778</v>
      </c>
      <c r="D1315" s="24" t="s">
        <v>2661</v>
      </c>
      <c r="E1315" s="26">
        <v>0</v>
      </c>
      <c r="F1315" s="26">
        <v>0</v>
      </c>
      <c r="G1315" s="26">
        <v>0</v>
      </c>
      <c r="H1315" s="26">
        <v>0</v>
      </c>
      <c r="I1315" s="26">
        <v>0</v>
      </c>
      <c r="J1315" s="26">
        <v>0</v>
      </c>
      <c r="K1315" s="26">
        <v>0</v>
      </c>
      <c r="L1315" s="27">
        <v>0</v>
      </c>
    </row>
    <row r="1316" spans="1:12">
      <c r="A1316" s="24" t="s">
        <v>204</v>
      </c>
      <c r="B1316" s="24" t="s">
        <v>318</v>
      </c>
      <c r="C1316" s="25">
        <v>45809</v>
      </c>
      <c r="D1316" s="24" t="s">
        <v>2662</v>
      </c>
      <c r="E1316" s="26">
        <v>0</v>
      </c>
      <c r="F1316" s="26">
        <v>0</v>
      </c>
      <c r="G1316" s="26">
        <v>0</v>
      </c>
      <c r="H1316" s="26">
        <v>0</v>
      </c>
      <c r="I1316" s="26">
        <v>0</v>
      </c>
      <c r="J1316" s="26">
        <v>0</v>
      </c>
      <c r="K1316" s="26">
        <v>0</v>
      </c>
      <c r="L1316" s="27">
        <v>0</v>
      </c>
    </row>
    <row r="1317" spans="1:12">
      <c r="A1317" s="24" t="s">
        <v>204</v>
      </c>
      <c r="B1317" s="24" t="s">
        <v>318</v>
      </c>
      <c r="C1317" s="25">
        <v>45839</v>
      </c>
      <c r="D1317" s="24" t="s">
        <v>2663</v>
      </c>
      <c r="E1317" s="26">
        <v>48379.199999999997</v>
      </c>
      <c r="F1317" s="26">
        <v>0</v>
      </c>
      <c r="G1317" s="26">
        <v>48379.199999999997</v>
      </c>
      <c r="H1317" s="26">
        <v>0</v>
      </c>
      <c r="I1317" s="26">
        <v>48379.199999999997</v>
      </c>
      <c r="J1317" s="26">
        <v>0</v>
      </c>
      <c r="K1317" s="26">
        <v>48379.199999999997</v>
      </c>
      <c r="L1317" s="27">
        <v>1</v>
      </c>
    </row>
    <row r="1318" spans="1:12">
      <c r="A1318" s="24" t="s">
        <v>204</v>
      </c>
      <c r="B1318" s="24" t="s">
        <v>318</v>
      </c>
      <c r="C1318" s="25">
        <v>45870</v>
      </c>
      <c r="D1318" s="24" t="s">
        <v>2664</v>
      </c>
      <c r="E1318" s="26">
        <v>0</v>
      </c>
      <c r="F1318" s="26">
        <v>0</v>
      </c>
      <c r="G1318" s="26">
        <v>0</v>
      </c>
      <c r="H1318" s="26">
        <v>155447.51999999999</v>
      </c>
      <c r="I1318" s="26">
        <v>-155447.51999999999</v>
      </c>
      <c r="J1318" s="26">
        <v>0</v>
      </c>
      <c r="K1318" s="26">
        <v>-155447.51999999999</v>
      </c>
      <c r="L1318" s="27">
        <v>0</v>
      </c>
    </row>
    <row r="1319" spans="1:12">
      <c r="A1319" s="24" t="s">
        <v>204</v>
      </c>
      <c r="B1319" s="24" t="s">
        <v>318</v>
      </c>
      <c r="C1319" s="25">
        <v>45901</v>
      </c>
      <c r="D1319" s="24" t="s">
        <v>2665</v>
      </c>
      <c r="E1319" s="26">
        <v>59137.04</v>
      </c>
      <c r="F1319" s="26">
        <v>0</v>
      </c>
      <c r="G1319" s="26">
        <v>59137.04</v>
      </c>
      <c r="H1319" s="26">
        <v>0</v>
      </c>
      <c r="I1319" s="26">
        <v>59137.04</v>
      </c>
      <c r="J1319" s="26">
        <v>0</v>
      </c>
      <c r="K1319" s="26">
        <v>59137.04</v>
      </c>
      <c r="L1319" s="27">
        <v>1</v>
      </c>
    </row>
    <row r="1320" spans="1:12">
      <c r="A1320" s="24" t="s">
        <v>204</v>
      </c>
      <c r="B1320" s="24" t="s">
        <v>318</v>
      </c>
      <c r="C1320" s="25">
        <v>45931</v>
      </c>
      <c r="D1320" s="24" t="s">
        <v>2666</v>
      </c>
      <c r="E1320" s="26">
        <v>75949.899999999994</v>
      </c>
      <c r="F1320" s="26">
        <v>0</v>
      </c>
      <c r="G1320" s="26">
        <v>75949.899999999994</v>
      </c>
      <c r="H1320" s="26">
        <v>0</v>
      </c>
      <c r="I1320" s="26">
        <v>75949.899999999994</v>
      </c>
      <c r="J1320" s="26">
        <v>0</v>
      </c>
      <c r="K1320" s="26">
        <v>75949.899999999994</v>
      </c>
      <c r="L1320" s="27">
        <v>1</v>
      </c>
    </row>
    <row r="1321" spans="1:12">
      <c r="A1321" s="24" t="s">
        <v>204</v>
      </c>
      <c r="B1321" s="24" t="s">
        <v>318</v>
      </c>
      <c r="C1321" s="25">
        <v>45962</v>
      </c>
      <c r="D1321" s="24" t="s">
        <v>2667</v>
      </c>
      <c r="E1321" s="26">
        <v>49379.92</v>
      </c>
      <c r="F1321" s="26">
        <v>0</v>
      </c>
      <c r="G1321" s="26">
        <v>49379.92</v>
      </c>
      <c r="H1321" s="26">
        <v>13713.31</v>
      </c>
      <c r="I1321" s="26">
        <v>35666.61</v>
      </c>
      <c r="J1321" s="26">
        <v>0</v>
      </c>
      <c r="K1321" s="26">
        <v>35666.61</v>
      </c>
      <c r="L1321" s="27">
        <v>0.72228974854556272</v>
      </c>
    </row>
    <row r="1322" spans="1:12">
      <c r="A1322" s="24" t="s">
        <v>204</v>
      </c>
      <c r="B1322" s="24" t="s">
        <v>318</v>
      </c>
      <c r="C1322" s="25">
        <v>45992</v>
      </c>
      <c r="D1322" s="24" t="s">
        <v>2668</v>
      </c>
      <c r="E1322" s="26">
        <v>31889.13</v>
      </c>
      <c r="F1322" s="26">
        <v>0</v>
      </c>
      <c r="G1322" s="26">
        <v>31889.13</v>
      </c>
      <c r="H1322" s="26">
        <v>0</v>
      </c>
      <c r="I1322" s="26">
        <v>31889.13</v>
      </c>
      <c r="J1322" s="26">
        <v>0</v>
      </c>
      <c r="K1322" s="26">
        <v>31889.13</v>
      </c>
      <c r="L1322" s="27">
        <v>1</v>
      </c>
    </row>
    <row r="1323" spans="1:12">
      <c r="A1323" s="24" t="s">
        <v>82</v>
      </c>
      <c r="B1323" s="24" t="s">
        <v>337</v>
      </c>
      <c r="C1323" s="25">
        <v>45658</v>
      </c>
      <c r="D1323" s="24" t="s">
        <v>2657</v>
      </c>
      <c r="E1323" s="26">
        <v>0</v>
      </c>
      <c r="F1323" s="26">
        <v>0</v>
      </c>
      <c r="G1323" s="26">
        <v>0</v>
      </c>
      <c r="H1323" s="26">
        <v>0</v>
      </c>
      <c r="I1323" s="26">
        <v>0</v>
      </c>
      <c r="J1323" s="26">
        <v>0</v>
      </c>
      <c r="K1323" s="26">
        <v>0</v>
      </c>
      <c r="L1323" s="27">
        <v>0</v>
      </c>
    </row>
    <row r="1324" spans="1:12">
      <c r="A1324" s="24" t="s">
        <v>82</v>
      </c>
      <c r="B1324" s="24" t="s">
        <v>337</v>
      </c>
      <c r="C1324" s="25">
        <v>45689</v>
      </c>
      <c r="D1324" s="24" t="s">
        <v>2658</v>
      </c>
      <c r="E1324" s="26">
        <v>0</v>
      </c>
      <c r="F1324" s="26">
        <v>0</v>
      </c>
      <c r="G1324" s="26">
        <v>0</v>
      </c>
      <c r="H1324" s="26">
        <v>0</v>
      </c>
      <c r="I1324" s="26">
        <v>0</v>
      </c>
      <c r="J1324" s="26">
        <v>0</v>
      </c>
      <c r="K1324" s="26">
        <v>0</v>
      </c>
      <c r="L1324" s="27">
        <v>0</v>
      </c>
    </row>
    <row r="1325" spans="1:12">
      <c r="A1325" s="24" t="s">
        <v>82</v>
      </c>
      <c r="B1325" s="24" t="s">
        <v>337</v>
      </c>
      <c r="C1325" s="25">
        <v>45717</v>
      </c>
      <c r="D1325" s="24" t="s">
        <v>2659</v>
      </c>
      <c r="E1325" s="26">
        <v>0</v>
      </c>
      <c r="F1325" s="26">
        <v>0</v>
      </c>
      <c r="G1325" s="26">
        <v>0</v>
      </c>
      <c r="H1325" s="26">
        <v>0</v>
      </c>
      <c r="I1325" s="26">
        <v>0</v>
      </c>
      <c r="J1325" s="26">
        <v>0</v>
      </c>
      <c r="K1325" s="26">
        <v>0</v>
      </c>
      <c r="L1325" s="27">
        <v>0</v>
      </c>
    </row>
    <row r="1326" spans="1:12">
      <c r="A1326" s="24" t="s">
        <v>82</v>
      </c>
      <c r="B1326" s="24" t="s">
        <v>337</v>
      </c>
      <c r="C1326" s="25">
        <v>45748</v>
      </c>
      <c r="D1326" s="24" t="s">
        <v>2660</v>
      </c>
      <c r="E1326" s="26">
        <v>0</v>
      </c>
      <c r="F1326" s="26">
        <v>0</v>
      </c>
      <c r="G1326" s="26">
        <v>0</v>
      </c>
      <c r="H1326" s="26">
        <v>0</v>
      </c>
      <c r="I1326" s="26">
        <v>0</v>
      </c>
      <c r="J1326" s="26">
        <v>0</v>
      </c>
      <c r="K1326" s="26">
        <v>0</v>
      </c>
      <c r="L1326" s="27">
        <v>0</v>
      </c>
    </row>
    <row r="1327" spans="1:12">
      <c r="A1327" s="24" t="s">
        <v>82</v>
      </c>
      <c r="B1327" s="24" t="s">
        <v>337</v>
      </c>
      <c r="C1327" s="25">
        <v>45778</v>
      </c>
      <c r="D1327" s="24" t="s">
        <v>2661</v>
      </c>
      <c r="E1327" s="26">
        <v>0</v>
      </c>
      <c r="F1327" s="26">
        <v>0</v>
      </c>
      <c r="G1327" s="26">
        <v>0</v>
      </c>
      <c r="H1327" s="26">
        <v>0</v>
      </c>
      <c r="I1327" s="26">
        <v>0</v>
      </c>
      <c r="J1327" s="26">
        <v>0</v>
      </c>
      <c r="K1327" s="26">
        <v>0</v>
      </c>
      <c r="L1327" s="27">
        <v>0</v>
      </c>
    </row>
    <row r="1328" spans="1:12">
      <c r="A1328" s="24" t="s">
        <v>82</v>
      </c>
      <c r="B1328" s="24" t="s">
        <v>337</v>
      </c>
      <c r="C1328" s="25">
        <v>45809</v>
      </c>
      <c r="D1328" s="24" t="s">
        <v>2662</v>
      </c>
      <c r="E1328" s="26">
        <v>0</v>
      </c>
      <c r="F1328" s="26">
        <v>0</v>
      </c>
      <c r="G1328" s="26">
        <v>0</v>
      </c>
      <c r="H1328" s="26">
        <v>0</v>
      </c>
      <c r="I1328" s="26">
        <v>0</v>
      </c>
      <c r="J1328" s="26">
        <v>0</v>
      </c>
      <c r="K1328" s="26">
        <v>0</v>
      </c>
      <c r="L1328" s="27">
        <v>0</v>
      </c>
    </row>
    <row r="1329" spans="1:12">
      <c r="A1329" s="24" t="s">
        <v>82</v>
      </c>
      <c r="B1329" s="24" t="s">
        <v>337</v>
      </c>
      <c r="C1329" s="25">
        <v>45839</v>
      </c>
      <c r="D1329" s="24" t="s">
        <v>2663</v>
      </c>
      <c r="E1329" s="26">
        <v>0</v>
      </c>
      <c r="F1329" s="26">
        <v>0</v>
      </c>
      <c r="G1329" s="26">
        <v>0</v>
      </c>
      <c r="H1329" s="26">
        <v>116535.73</v>
      </c>
      <c r="I1329" s="26">
        <v>-116535.73</v>
      </c>
      <c r="J1329" s="26">
        <v>0</v>
      </c>
      <c r="K1329" s="26">
        <v>-116535.73</v>
      </c>
      <c r="L1329" s="27">
        <v>0</v>
      </c>
    </row>
    <row r="1330" spans="1:12">
      <c r="A1330" s="24" t="s">
        <v>82</v>
      </c>
      <c r="B1330" s="24" t="s">
        <v>337</v>
      </c>
      <c r="C1330" s="25">
        <v>45870</v>
      </c>
      <c r="D1330" s="24" t="s">
        <v>2664</v>
      </c>
      <c r="E1330" s="26">
        <v>0</v>
      </c>
      <c r="F1330" s="26">
        <v>0</v>
      </c>
      <c r="G1330" s="26">
        <v>0</v>
      </c>
      <c r="H1330" s="26">
        <v>0</v>
      </c>
      <c r="I1330" s="26">
        <v>0</v>
      </c>
      <c r="J1330" s="26">
        <v>0</v>
      </c>
      <c r="K1330" s="26">
        <v>0</v>
      </c>
      <c r="L1330" s="27">
        <v>0</v>
      </c>
    </row>
    <row r="1331" spans="1:12">
      <c r="A1331" s="24" t="s">
        <v>82</v>
      </c>
      <c r="B1331" s="24" t="s">
        <v>337</v>
      </c>
      <c r="C1331" s="25">
        <v>45901</v>
      </c>
      <c r="D1331" s="24" t="s">
        <v>2665</v>
      </c>
      <c r="E1331" s="26">
        <v>0</v>
      </c>
      <c r="F1331" s="26">
        <v>0</v>
      </c>
      <c r="G1331" s="26">
        <v>0</v>
      </c>
      <c r="H1331" s="26">
        <v>0</v>
      </c>
      <c r="I1331" s="26">
        <v>0</v>
      </c>
      <c r="J1331" s="26">
        <v>0</v>
      </c>
      <c r="K1331" s="26">
        <v>0</v>
      </c>
      <c r="L1331" s="27">
        <v>0</v>
      </c>
    </row>
    <row r="1332" spans="1:12">
      <c r="A1332" s="24" t="s">
        <v>82</v>
      </c>
      <c r="B1332" s="24" t="s">
        <v>337</v>
      </c>
      <c r="C1332" s="25">
        <v>45931</v>
      </c>
      <c r="D1332" s="24" t="s">
        <v>2666</v>
      </c>
      <c r="E1332" s="26">
        <v>0</v>
      </c>
      <c r="F1332" s="26">
        <v>0</v>
      </c>
      <c r="G1332" s="26">
        <v>0</v>
      </c>
      <c r="H1332" s="26">
        <v>0</v>
      </c>
      <c r="I1332" s="26">
        <v>0</v>
      </c>
      <c r="J1332" s="26">
        <v>0</v>
      </c>
      <c r="K1332" s="26">
        <v>0</v>
      </c>
      <c r="L1332" s="27">
        <v>0</v>
      </c>
    </row>
    <row r="1333" spans="1:12">
      <c r="A1333" s="24" t="s">
        <v>82</v>
      </c>
      <c r="B1333" s="24" t="s">
        <v>337</v>
      </c>
      <c r="C1333" s="25">
        <v>45962</v>
      </c>
      <c r="D1333" s="24" t="s">
        <v>2667</v>
      </c>
      <c r="E1333" s="26">
        <v>0</v>
      </c>
      <c r="F1333" s="26">
        <v>0</v>
      </c>
      <c r="G1333" s="26">
        <v>0</v>
      </c>
      <c r="H1333" s="26">
        <v>0</v>
      </c>
      <c r="I1333" s="26">
        <v>0</v>
      </c>
      <c r="J1333" s="26">
        <v>0</v>
      </c>
      <c r="K1333" s="26">
        <v>0</v>
      </c>
      <c r="L1333" s="27">
        <v>0</v>
      </c>
    </row>
    <row r="1334" spans="1:12">
      <c r="A1334" s="24" t="s">
        <v>82</v>
      </c>
      <c r="B1334" s="24" t="s">
        <v>337</v>
      </c>
      <c r="C1334" s="25">
        <v>45992</v>
      </c>
      <c r="D1334" s="24" t="s">
        <v>2668</v>
      </c>
      <c r="E1334" s="26">
        <v>0</v>
      </c>
      <c r="F1334" s="26">
        <v>0</v>
      </c>
      <c r="G1334" s="26">
        <v>0</v>
      </c>
      <c r="H1334" s="26">
        <v>45232.78</v>
      </c>
      <c r="I1334" s="26">
        <v>-45232.78</v>
      </c>
      <c r="J1334" s="26">
        <v>0</v>
      </c>
      <c r="K1334" s="26">
        <v>-45232.78</v>
      </c>
      <c r="L1334" s="27">
        <v>0</v>
      </c>
    </row>
    <row r="1335" spans="1:12">
      <c r="A1335" s="24" t="s">
        <v>227</v>
      </c>
      <c r="B1335" s="24" t="s">
        <v>329</v>
      </c>
      <c r="C1335" s="25">
        <v>45658</v>
      </c>
      <c r="D1335" s="24" t="s">
        <v>2657</v>
      </c>
      <c r="E1335" s="26">
        <v>0</v>
      </c>
      <c r="F1335" s="26">
        <v>0</v>
      </c>
      <c r="G1335" s="26">
        <v>0</v>
      </c>
      <c r="H1335" s="26">
        <v>0</v>
      </c>
      <c r="I1335" s="26">
        <v>0</v>
      </c>
      <c r="J1335" s="26">
        <v>0</v>
      </c>
      <c r="K1335" s="26">
        <v>0</v>
      </c>
      <c r="L1335" s="27">
        <v>0</v>
      </c>
    </row>
    <row r="1336" spans="1:12">
      <c r="A1336" s="24" t="s">
        <v>227</v>
      </c>
      <c r="B1336" s="24" t="s">
        <v>329</v>
      </c>
      <c r="C1336" s="25">
        <v>45689</v>
      </c>
      <c r="D1336" s="24" t="s">
        <v>2658</v>
      </c>
      <c r="E1336" s="26">
        <v>0</v>
      </c>
      <c r="F1336" s="26">
        <v>0</v>
      </c>
      <c r="G1336" s="26">
        <v>0</v>
      </c>
      <c r="H1336" s="26">
        <v>0</v>
      </c>
      <c r="I1336" s="26">
        <v>0</v>
      </c>
      <c r="J1336" s="26">
        <v>0</v>
      </c>
      <c r="K1336" s="26">
        <v>0</v>
      </c>
      <c r="L1336" s="27">
        <v>0</v>
      </c>
    </row>
    <row r="1337" spans="1:12">
      <c r="A1337" s="24" t="s">
        <v>227</v>
      </c>
      <c r="B1337" s="24" t="s">
        <v>329</v>
      </c>
      <c r="C1337" s="25">
        <v>45717</v>
      </c>
      <c r="D1337" s="24" t="s">
        <v>2659</v>
      </c>
      <c r="E1337" s="26">
        <v>0</v>
      </c>
      <c r="F1337" s="26">
        <v>0</v>
      </c>
      <c r="G1337" s="26">
        <v>0</v>
      </c>
      <c r="H1337" s="26">
        <v>0</v>
      </c>
      <c r="I1337" s="26">
        <v>0</v>
      </c>
      <c r="J1337" s="26">
        <v>0</v>
      </c>
      <c r="K1337" s="26">
        <v>0</v>
      </c>
      <c r="L1337" s="27">
        <v>0</v>
      </c>
    </row>
    <row r="1338" spans="1:12">
      <c r="A1338" s="24" t="s">
        <v>227</v>
      </c>
      <c r="B1338" s="24" t="s">
        <v>329</v>
      </c>
      <c r="C1338" s="25">
        <v>45748</v>
      </c>
      <c r="D1338" s="24" t="s">
        <v>2660</v>
      </c>
      <c r="E1338" s="26">
        <v>0</v>
      </c>
      <c r="F1338" s="26">
        <v>0</v>
      </c>
      <c r="G1338" s="26">
        <v>0</v>
      </c>
      <c r="H1338" s="26">
        <v>0</v>
      </c>
      <c r="I1338" s="26">
        <v>0</v>
      </c>
      <c r="J1338" s="26">
        <v>0</v>
      </c>
      <c r="K1338" s="26">
        <v>0</v>
      </c>
      <c r="L1338" s="27">
        <v>0</v>
      </c>
    </row>
    <row r="1339" spans="1:12">
      <c r="A1339" s="24" t="s">
        <v>227</v>
      </c>
      <c r="B1339" s="24" t="s">
        <v>329</v>
      </c>
      <c r="C1339" s="25">
        <v>45778</v>
      </c>
      <c r="D1339" s="24" t="s">
        <v>2661</v>
      </c>
      <c r="E1339" s="26">
        <v>0</v>
      </c>
      <c r="F1339" s="26">
        <v>0</v>
      </c>
      <c r="G1339" s="26">
        <v>0</v>
      </c>
      <c r="H1339" s="26">
        <v>0</v>
      </c>
      <c r="I1339" s="26">
        <v>0</v>
      </c>
      <c r="J1339" s="26">
        <v>0</v>
      </c>
      <c r="K1339" s="26">
        <v>0</v>
      </c>
      <c r="L1339" s="27">
        <v>0</v>
      </c>
    </row>
    <row r="1340" spans="1:12">
      <c r="A1340" s="24" t="s">
        <v>227</v>
      </c>
      <c r="B1340" s="24" t="s">
        <v>329</v>
      </c>
      <c r="C1340" s="25">
        <v>45809</v>
      </c>
      <c r="D1340" s="24" t="s">
        <v>2662</v>
      </c>
      <c r="E1340" s="26">
        <v>0</v>
      </c>
      <c r="F1340" s="26">
        <v>0</v>
      </c>
      <c r="G1340" s="26">
        <v>0</v>
      </c>
      <c r="H1340" s="26">
        <v>0</v>
      </c>
      <c r="I1340" s="26">
        <v>0</v>
      </c>
      <c r="J1340" s="26">
        <v>0</v>
      </c>
      <c r="K1340" s="26">
        <v>0</v>
      </c>
      <c r="L1340" s="27">
        <v>0</v>
      </c>
    </row>
    <row r="1341" spans="1:12">
      <c r="A1341" s="24" t="s">
        <v>227</v>
      </c>
      <c r="B1341" s="24" t="s">
        <v>329</v>
      </c>
      <c r="C1341" s="25">
        <v>45839</v>
      </c>
      <c r="D1341" s="24" t="s">
        <v>2663</v>
      </c>
      <c r="E1341" s="26">
        <v>76664.63</v>
      </c>
      <c r="F1341" s="26">
        <v>0</v>
      </c>
      <c r="G1341" s="26">
        <v>76664.63</v>
      </c>
      <c r="H1341" s="26">
        <v>0</v>
      </c>
      <c r="I1341" s="26">
        <v>76664.63</v>
      </c>
      <c r="J1341" s="26">
        <v>0</v>
      </c>
      <c r="K1341" s="26">
        <v>76664.63</v>
      </c>
      <c r="L1341" s="27">
        <v>1</v>
      </c>
    </row>
    <row r="1342" spans="1:12">
      <c r="A1342" s="24" t="s">
        <v>227</v>
      </c>
      <c r="B1342" s="24" t="s">
        <v>329</v>
      </c>
      <c r="C1342" s="25">
        <v>45870</v>
      </c>
      <c r="D1342" s="24" t="s">
        <v>2664</v>
      </c>
      <c r="E1342" s="26">
        <v>0</v>
      </c>
      <c r="F1342" s="26">
        <v>0</v>
      </c>
      <c r="G1342" s="26">
        <v>0</v>
      </c>
      <c r="H1342" s="26">
        <v>0</v>
      </c>
      <c r="I1342" s="26">
        <v>0</v>
      </c>
      <c r="J1342" s="26">
        <v>0</v>
      </c>
      <c r="K1342" s="26">
        <v>0</v>
      </c>
      <c r="L1342" s="27">
        <v>0</v>
      </c>
    </row>
    <row r="1343" spans="1:12">
      <c r="A1343" s="24" t="s">
        <v>227</v>
      </c>
      <c r="B1343" s="24" t="s">
        <v>329</v>
      </c>
      <c r="C1343" s="25">
        <v>45901</v>
      </c>
      <c r="D1343" s="24" t="s">
        <v>2665</v>
      </c>
      <c r="E1343" s="26">
        <v>0</v>
      </c>
      <c r="F1343" s="26">
        <v>0</v>
      </c>
      <c r="G1343" s="26">
        <v>0</v>
      </c>
      <c r="H1343" s="26">
        <v>8589.44</v>
      </c>
      <c r="I1343" s="26">
        <v>-8589.44</v>
      </c>
      <c r="J1343" s="26">
        <v>0</v>
      </c>
      <c r="K1343" s="26">
        <v>-8589.44</v>
      </c>
      <c r="L1343" s="27">
        <v>0</v>
      </c>
    </row>
    <row r="1344" spans="1:12">
      <c r="A1344" s="24" t="s">
        <v>227</v>
      </c>
      <c r="B1344" s="24" t="s">
        <v>329</v>
      </c>
      <c r="C1344" s="25">
        <v>45931</v>
      </c>
      <c r="D1344" s="24" t="s">
        <v>2666</v>
      </c>
      <c r="E1344" s="26">
        <v>0</v>
      </c>
      <c r="F1344" s="26">
        <v>0</v>
      </c>
      <c r="G1344" s="26">
        <v>0</v>
      </c>
      <c r="H1344" s="26">
        <v>0</v>
      </c>
      <c r="I1344" s="26">
        <v>0</v>
      </c>
      <c r="J1344" s="26">
        <v>0</v>
      </c>
      <c r="K1344" s="26">
        <v>0</v>
      </c>
      <c r="L1344" s="27">
        <v>0</v>
      </c>
    </row>
    <row r="1345" spans="1:12">
      <c r="A1345" s="24" t="s">
        <v>227</v>
      </c>
      <c r="B1345" s="24" t="s">
        <v>329</v>
      </c>
      <c r="C1345" s="25">
        <v>45962</v>
      </c>
      <c r="D1345" s="24" t="s">
        <v>2667</v>
      </c>
      <c r="E1345" s="26">
        <v>43880.959999999999</v>
      </c>
      <c r="F1345" s="26">
        <v>0</v>
      </c>
      <c r="G1345" s="26">
        <v>43880.959999999999</v>
      </c>
      <c r="H1345" s="26">
        <v>0</v>
      </c>
      <c r="I1345" s="26">
        <v>43880.959999999999</v>
      </c>
      <c r="J1345" s="26">
        <v>0</v>
      </c>
      <c r="K1345" s="26">
        <v>43880.959999999999</v>
      </c>
      <c r="L1345" s="27">
        <v>1</v>
      </c>
    </row>
    <row r="1346" spans="1:12">
      <c r="A1346" s="24" t="s">
        <v>227</v>
      </c>
      <c r="B1346" s="24" t="s">
        <v>329</v>
      </c>
      <c r="C1346" s="25">
        <v>45992</v>
      </c>
      <c r="D1346" s="24" t="s">
        <v>2668</v>
      </c>
      <c r="E1346" s="26">
        <v>0</v>
      </c>
      <c r="F1346" s="26">
        <v>0</v>
      </c>
      <c r="G1346" s="26">
        <v>0</v>
      </c>
      <c r="H1346" s="26">
        <v>0</v>
      </c>
      <c r="I1346" s="26">
        <v>0</v>
      </c>
      <c r="J1346" s="26">
        <v>0</v>
      </c>
      <c r="K1346" s="26">
        <v>0</v>
      </c>
      <c r="L1346" s="27">
        <v>0</v>
      </c>
    </row>
    <row r="1347" spans="1:12">
      <c r="A1347" s="24" t="s">
        <v>164</v>
      </c>
      <c r="B1347" s="24" t="s">
        <v>329</v>
      </c>
      <c r="C1347" s="25">
        <v>45658</v>
      </c>
      <c r="D1347" s="24" t="s">
        <v>2657</v>
      </c>
      <c r="E1347" s="26">
        <v>0</v>
      </c>
      <c r="F1347" s="26">
        <v>0</v>
      </c>
      <c r="G1347" s="26">
        <v>0</v>
      </c>
      <c r="H1347" s="26">
        <v>0</v>
      </c>
      <c r="I1347" s="26">
        <v>0</v>
      </c>
      <c r="J1347" s="26">
        <v>0</v>
      </c>
      <c r="K1347" s="26">
        <v>0</v>
      </c>
      <c r="L1347" s="27">
        <v>0</v>
      </c>
    </row>
    <row r="1348" spans="1:12">
      <c r="A1348" s="24" t="s">
        <v>164</v>
      </c>
      <c r="B1348" s="24" t="s">
        <v>329</v>
      </c>
      <c r="C1348" s="25">
        <v>45689</v>
      </c>
      <c r="D1348" s="24" t="s">
        <v>2658</v>
      </c>
      <c r="E1348" s="26">
        <v>0</v>
      </c>
      <c r="F1348" s="26">
        <v>0</v>
      </c>
      <c r="G1348" s="26">
        <v>0</v>
      </c>
      <c r="H1348" s="26">
        <v>0</v>
      </c>
      <c r="I1348" s="26">
        <v>0</v>
      </c>
      <c r="J1348" s="26">
        <v>0</v>
      </c>
      <c r="K1348" s="26">
        <v>0</v>
      </c>
      <c r="L1348" s="27">
        <v>0</v>
      </c>
    </row>
    <row r="1349" spans="1:12">
      <c r="A1349" s="24" t="s">
        <v>164</v>
      </c>
      <c r="B1349" s="24" t="s">
        <v>329</v>
      </c>
      <c r="C1349" s="25">
        <v>45717</v>
      </c>
      <c r="D1349" s="24" t="s">
        <v>2659</v>
      </c>
      <c r="E1349" s="26">
        <v>0</v>
      </c>
      <c r="F1349" s="26">
        <v>0</v>
      </c>
      <c r="G1349" s="26">
        <v>0</v>
      </c>
      <c r="H1349" s="26">
        <v>0</v>
      </c>
      <c r="I1349" s="26">
        <v>0</v>
      </c>
      <c r="J1349" s="26">
        <v>0</v>
      </c>
      <c r="K1349" s="26">
        <v>0</v>
      </c>
      <c r="L1349" s="27">
        <v>0</v>
      </c>
    </row>
    <row r="1350" spans="1:12">
      <c r="A1350" s="24" t="s">
        <v>164</v>
      </c>
      <c r="B1350" s="24" t="s">
        <v>329</v>
      </c>
      <c r="C1350" s="25">
        <v>45748</v>
      </c>
      <c r="D1350" s="24" t="s">
        <v>2660</v>
      </c>
      <c r="E1350" s="26">
        <v>0</v>
      </c>
      <c r="F1350" s="26">
        <v>0</v>
      </c>
      <c r="G1350" s="26">
        <v>0</v>
      </c>
      <c r="H1350" s="26">
        <v>0</v>
      </c>
      <c r="I1350" s="26">
        <v>0</v>
      </c>
      <c r="J1350" s="26">
        <v>0</v>
      </c>
      <c r="K1350" s="26">
        <v>0</v>
      </c>
      <c r="L1350" s="27">
        <v>0</v>
      </c>
    </row>
    <row r="1351" spans="1:12">
      <c r="A1351" s="24" t="s">
        <v>164</v>
      </c>
      <c r="B1351" s="24" t="s">
        <v>329</v>
      </c>
      <c r="C1351" s="25">
        <v>45778</v>
      </c>
      <c r="D1351" s="24" t="s">
        <v>2661</v>
      </c>
      <c r="E1351" s="26">
        <v>0</v>
      </c>
      <c r="F1351" s="26">
        <v>0</v>
      </c>
      <c r="G1351" s="26">
        <v>0</v>
      </c>
      <c r="H1351" s="26">
        <v>0</v>
      </c>
      <c r="I1351" s="26">
        <v>0</v>
      </c>
      <c r="J1351" s="26">
        <v>0</v>
      </c>
      <c r="K1351" s="26">
        <v>0</v>
      </c>
      <c r="L1351" s="27">
        <v>0</v>
      </c>
    </row>
    <row r="1352" spans="1:12">
      <c r="A1352" s="24" t="s">
        <v>164</v>
      </c>
      <c r="B1352" s="24" t="s">
        <v>329</v>
      </c>
      <c r="C1352" s="25">
        <v>45809</v>
      </c>
      <c r="D1352" s="24" t="s">
        <v>2662</v>
      </c>
      <c r="E1352" s="26">
        <v>0</v>
      </c>
      <c r="F1352" s="26">
        <v>0</v>
      </c>
      <c r="G1352" s="26">
        <v>0</v>
      </c>
      <c r="H1352" s="26">
        <v>0</v>
      </c>
      <c r="I1352" s="26">
        <v>0</v>
      </c>
      <c r="J1352" s="26">
        <v>0</v>
      </c>
      <c r="K1352" s="26">
        <v>0</v>
      </c>
      <c r="L1352" s="27">
        <v>0</v>
      </c>
    </row>
    <row r="1353" spans="1:12">
      <c r="A1353" s="24" t="s">
        <v>164</v>
      </c>
      <c r="B1353" s="24" t="s">
        <v>329</v>
      </c>
      <c r="C1353" s="25">
        <v>45839</v>
      </c>
      <c r="D1353" s="24" t="s">
        <v>2663</v>
      </c>
      <c r="E1353" s="26">
        <v>0</v>
      </c>
      <c r="F1353" s="26">
        <v>0</v>
      </c>
      <c r="G1353" s="26">
        <v>0</v>
      </c>
      <c r="H1353" s="26">
        <v>0</v>
      </c>
      <c r="I1353" s="26">
        <v>0</v>
      </c>
      <c r="J1353" s="26">
        <v>0</v>
      </c>
      <c r="K1353" s="26">
        <v>0</v>
      </c>
      <c r="L1353" s="27">
        <v>0</v>
      </c>
    </row>
    <row r="1354" spans="1:12">
      <c r="A1354" s="24" t="s">
        <v>164</v>
      </c>
      <c r="B1354" s="24" t="s">
        <v>329</v>
      </c>
      <c r="C1354" s="25">
        <v>45870</v>
      </c>
      <c r="D1354" s="24" t="s">
        <v>2664</v>
      </c>
      <c r="E1354" s="26">
        <v>59904.28</v>
      </c>
      <c r="F1354" s="26">
        <v>0</v>
      </c>
      <c r="G1354" s="26">
        <v>59904.28</v>
      </c>
      <c r="H1354" s="26">
        <v>0</v>
      </c>
      <c r="I1354" s="26">
        <v>59904.28</v>
      </c>
      <c r="J1354" s="26">
        <v>0</v>
      </c>
      <c r="K1354" s="26">
        <v>59904.28</v>
      </c>
      <c r="L1354" s="27">
        <v>1</v>
      </c>
    </row>
    <row r="1355" spans="1:12">
      <c r="A1355" s="24" t="s">
        <v>164</v>
      </c>
      <c r="B1355" s="24" t="s">
        <v>329</v>
      </c>
      <c r="C1355" s="25">
        <v>45901</v>
      </c>
      <c r="D1355" s="24" t="s">
        <v>2665</v>
      </c>
      <c r="E1355" s="26">
        <v>37863.33</v>
      </c>
      <c r="F1355" s="26">
        <v>0</v>
      </c>
      <c r="G1355" s="26">
        <v>37863.33</v>
      </c>
      <c r="H1355" s="26">
        <v>0</v>
      </c>
      <c r="I1355" s="26">
        <v>37863.33</v>
      </c>
      <c r="J1355" s="26">
        <v>0</v>
      </c>
      <c r="K1355" s="26">
        <v>37863.33</v>
      </c>
      <c r="L1355" s="27">
        <v>1</v>
      </c>
    </row>
    <row r="1356" spans="1:12">
      <c r="A1356" s="24" t="s">
        <v>164</v>
      </c>
      <c r="B1356" s="24" t="s">
        <v>329</v>
      </c>
      <c r="C1356" s="25">
        <v>45931</v>
      </c>
      <c r="D1356" s="24" t="s">
        <v>2666</v>
      </c>
      <c r="E1356" s="26">
        <v>51341.74</v>
      </c>
      <c r="F1356" s="26">
        <v>0</v>
      </c>
      <c r="G1356" s="26">
        <v>51341.74</v>
      </c>
      <c r="H1356" s="26">
        <v>0</v>
      </c>
      <c r="I1356" s="26">
        <v>51341.74</v>
      </c>
      <c r="J1356" s="26">
        <v>0</v>
      </c>
      <c r="K1356" s="26">
        <v>51341.74</v>
      </c>
      <c r="L1356" s="27">
        <v>1</v>
      </c>
    </row>
    <row r="1357" spans="1:12">
      <c r="A1357" s="24" t="s">
        <v>164</v>
      </c>
      <c r="B1357" s="24" t="s">
        <v>329</v>
      </c>
      <c r="C1357" s="25">
        <v>45962</v>
      </c>
      <c r="D1357" s="24" t="s">
        <v>2667</v>
      </c>
      <c r="E1357" s="26">
        <v>53815.44</v>
      </c>
      <c r="F1357" s="26">
        <v>0</v>
      </c>
      <c r="G1357" s="26">
        <v>53815.44</v>
      </c>
      <c r="H1357" s="26">
        <v>113989.06</v>
      </c>
      <c r="I1357" s="26">
        <v>-60173.62</v>
      </c>
      <c r="J1357" s="26">
        <v>0</v>
      </c>
      <c r="K1357" s="26">
        <v>-60173.62</v>
      </c>
      <c r="L1357" s="27">
        <v>-1.118147877263477</v>
      </c>
    </row>
    <row r="1358" spans="1:12">
      <c r="A1358" s="24" t="s">
        <v>164</v>
      </c>
      <c r="B1358" s="24" t="s">
        <v>329</v>
      </c>
      <c r="C1358" s="25">
        <v>45992</v>
      </c>
      <c r="D1358" s="24" t="s">
        <v>2668</v>
      </c>
      <c r="E1358" s="26">
        <v>65753.42</v>
      </c>
      <c r="F1358" s="26">
        <v>0</v>
      </c>
      <c r="G1358" s="26">
        <v>65753.42</v>
      </c>
      <c r="H1358" s="26">
        <v>0</v>
      </c>
      <c r="I1358" s="26">
        <v>65753.42</v>
      </c>
      <c r="J1358" s="26">
        <v>0</v>
      </c>
      <c r="K1358" s="26">
        <v>65753.42</v>
      </c>
      <c r="L1358" s="27">
        <v>1</v>
      </c>
    </row>
    <row r="1359" spans="1:12">
      <c r="A1359" s="24" t="s">
        <v>112</v>
      </c>
      <c r="B1359" s="24" t="s">
        <v>345</v>
      </c>
      <c r="C1359" s="25">
        <v>45658</v>
      </c>
      <c r="D1359" s="24" t="s">
        <v>2657</v>
      </c>
      <c r="E1359" s="26">
        <v>0</v>
      </c>
      <c r="F1359" s="26">
        <v>0</v>
      </c>
      <c r="G1359" s="26">
        <v>0</v>
      </c>
      <c r="H1359" s="26">
        <v>0</v>
      </c>
      <c r="I1359" s="26">
        <v>0</v>
      </c>
      <c r="J1359" s="26">
        <v>0</v>
      </c>
      <c r="K1359" s="26">
        <v>0</v>
      </c>
      <c r="L1359" s="27">
        <v>0</v>
      </c>
    </row>
    <row r="1360" spans="1:12">
      <c r="A1360" s="24" t="s">
        <v>112</v>
      </c>
      <c r="B1360" s="24" t="s">
        <v>345</v>
      </c>
      <c r="C1360" s="25">
        <v>45689</v>
      </c>
      <c r="D1360" s="24" t="s">
        <v>2658</v>
      </c>
      <c r="E1360" s="26">
        <v>0</v>
      </c>
      <c r="F1360" s="26">
        <v>0</v>
      </c>
      <c r="G1360" s="26">
        <v>0</v>
      </c>
      <c r="H1360" s="26">
        <v>0</v>
      </c>
      <c r="I1360" s="26">
        <v>0</v>
      </c>
      <c r="J1360" s="26">
        <v>0</v>
      </c>
      <c r="K1360" s="26">
        <v>0</v>
      </c>
      <c r="L1360" s="27">
        <v>0</v>
      </c>
    </row>
    <row r="1361" spans="1:12">
      <c r="A1361" s="24" t="s">
        <v>112</v>
      </c>
      <c r="B1361" s="24" t="s">
        <v>345</v>
      </c>
      <c r="C1361" s="25">
        <v>45717</v>
      </c>
      <c r="D1361" s="24" t="s">
        <v>2659</v>
      </c>
      <c r="E1361" s="26">
        <v>0</v>
      </c>
      <c r="F1361" s="26">
        <v>0</v>
      </c>
      <c r="G1361" s="26">
        <v>0</v>
      </c>
      <c r="H1361" s="26">
        <v>0</v>
      </c>
      <c r="I1361" s="26">
        <v>0</v>
      </c>
      <c r="J1361" s="26">
        <v>0</v>
      </c>
      <c r="K1361" s="26">
        <v>0</v>
      </c>
      <c r="L1361" s="27">
        <v>0</v>
      </c>
    </row>
    <row r="1362" spans="1:12">
      <c r="A1362" s="24" t="s">
        <v>112</v>
      </c>
      <c r="B1362" s="24" t="s">
        <v>345</v>
      </c>
      <c r="C1362" s="25">
        <v>45748</v>
      </c>
      <c r="D1362" s="24" t="s">
        <v>2660</v>
      </c>
      <c r="E1362" s="26">
        <v>0</v>
      </c>
      <c r="F1362" s="26">
        <v>0</v>
      </c>
      <c r="G1362" s="26">
        <v>0</v>
      </c>
      <c r="H1362" s="26">
        <v>0</v>
      </c>
      <c r="I1362" s="26">
        <v>0</v>
      </c>
      <c r="J1362" s="26">
        <v>0</v>
      </c>
      <c r="K1362" s="26">
        <v>0</v>
      </c>
      <c r="L1362" s="27">
        <v>0</v>
      </c>
    </row>
    <row r="1363" spans="1:12">
      <c r="A1363" s="24" t="s">
        <v>112</v>
      </c>
      <c r="B1363" s="24" t="s">
        <v>345</v>
      </c>
      <c r="C1363" s="25">
        <v>45778</v>
      </c>
      <c r="D1363" s="24" t="s">
        <v>2661</v>
      </c>
      <c r="E1363" s="26">
        <v>0</v>
      </c>
      <c r="F1363" s="26">
        <v>0</v>
      </c>
      <c r="G1363" s="26">
        <v>0</v>
      </c>
      <c r="H1363" s="26">
        <v>0</v>
      </c>
      <c r="I1363" s="26">
        <v>0</v>
      </c>
      <c r="J1363" s="26">
        <v>0</v>
      </c>
      <c r="K1363" s="26">
        <v>0</v>
      </c>
      <c r="L1363" s="27">
        <v>0</v>
      </c>
    </row>
    <row r="1364" spans="1:12">
      <c r="A1364" s="24" t="s">
        <v>112</v>
      </c>
      <c r="B1364" s="24" t="s">
        <v>345</v>
      </c>
      <c r="C1364" s="25">
        <v>45809</v>
      </c>
      <c r="D1364" s="24" t="s">
        <v>2662</v>
      </c>
      <c r="E1364" s="26">
        <v>0</v>
      </c>
      <c r="F1364" s="26">
        <v>0</v>
      </c>
      <c r="G1364" s="26">
        <v>0</v>
      </c>
      <c r="H1364" s="26">
        <v>0</v>
      </c>
      <c r="I1364" s="26">
        <v>0</v>
      </c>
      <c r="J1364" s="26">
        <v>0</v>
      </c>
      <c r="K1364" s="26">
        <v>0</v>
      </c>
      <c r="L1364" s="27">
        <v>0</v>
      </c>
    </row>
    <row r="1365" spans="1:12">
      <c r="A1365" s="24" t="s">
        <v>112</v>
      </c>
      <c r="B1365" s="24" t="s">
        <v>345</v>
      </c>
      <c r="C1365" s="25">
        <v>45839</v>
      </c>
      <c r="D1365" s="24" t="s">
        <v>2663</v>
      </c>
      <c r="E1365" s="26">
        <v>5532.41</v>
      </c>
      <c r="F1365" s="26">
        <v>0</v>
      </c>
      <c r="G1365" s="26">
        <v>5532.41</v>
      </c>
      <c r="H1365" s="26">
        <v>0</v>
      </c>
      <c r="I1365" s="26">
        <v>5532.41</v>
      </c>
      <c r="J1365" s="26">
        <v>0</v>
      </c>
      <c r="K1365" s="26">
        <v>5532.41</v>
      </c>
      <c r="L1365" s="27">
        <v>1</v>
      </c>
    </row>
    <row r="1366" spans="1:12">
      <c r="A1366" s="24" t="s">
        <v>112</v>
      </c>
      <c r="B1366" s="24" t="s">
        <v>345</v>
      </c>
      <c r="C1366" s="25">
        <v>45870</v>
      </c>
      <c r="D1366" s="24" t="s">
        <v>2664</v>
      </c>
      <c r="E1366" s="26">
        <v>0</v>
      </c>
      <c r="F1366" s="26">
        <v>0</v>
      </c>
      <c r="G1366" s="26">
        <v>0</v>
      </c>
      <c r="H1366" s="26">
        <v>0</v>
      </c>
      <c r="I1366" s="26">
        <v>0</v>
      </c>
      <c r="J1366" s="26">
        <v>0</v>
      </c>
      <c r="K1366" s="26">
        <v>0</v>
      </c>
      <c r="L1366" s="27">
        <v>0</v>
      </c>
    </row>
    <row r="1367" spans="1:12">
      <c r="A1367" s="24" t="s">
        <v>112</v>
      </c>
      <c r="B1367" s="24" t="s">
        <v>345</v>
      </c>
      <c r="C1367" s="25">
        <v>45901</v>
      </c>
      <c r="D1367" s="24" t="s">
        <v>2665</v>
      </c>
      <c r="E1367" s="26">
        <v>7630.01</v>
      </c>
      <c r="F1367" s="26">
        <v>0</v>
      </c>
      <c r="G1367" s="26">
        <v>7630.01</v>
      </c>
      <c r="H1367" s="26">
        <v>0</v>
      </c>
      <c r="I1367" s="26">
        <v>7630.01</v>
      </c>
      <c r="J1367" s="26">
        <v>0</v>
      </c>
      <c r="K1367" s="26">
        <v>7630.01</v>
      </c>
      <c r="L1367" s="27">
        <v>1</v>
      </c>
    </row>
    <row r="1368" spans="1:12">
      <c r="A1368" s="24" t="s">
        <v>112</v>
      </c>
      <c r="B1368" s="24" t="s">
        <v>345</v>
      </c>
      <c r="C1368" s="25">
        <v>45931</v>
      </c>
      <c r="D1368" s="24" t="s">
        <v>2666</v>
      </c>
      <c r="E1368" s="26">
        <v>0</v>
      </c>
      <c r="F1368" s="26">
        <v>0</v>
      </c>
      <c r="G1368" s="26">
        <v>0</v>
      </c>
      <c r="H1368" s="26">
        <v>0</v>
      </c>
      <c r="I1368" s="26">
        <v>0</v>
      </c>
      <c r="J1368" s="26">
        <v>0</v>
      </c>
      <c r="K1368" s="26">
        <v>0</v>
      </c>
      <c r="L1368" s="27">
        <v>0</v>
      </c>
    </row>
    <row r="1369" spans="1:12">
      <c r="A1369" s="24" t="s">
        <v>112</v>
      </c>
      <c r="B1369" s="24" t="s">
        <v>345</v>
      </c>
      <c r="C1369" s="25">
        <v>45962</v>
      </c>
      <c r="D1369" s="24" t="s">
        <v>2667</v>
      </c>
      <c r="E1369" s="26">
        <v>8277.59</v>
      </c>
      <c r="F1369" s="26">
        <v>0</v>
      </c>
      <c r="G1369" s="26">
        <v>8277.59</v>
      </c>
      <c r="H1369" s="26">
        <v>0</v>
      </c>
      <c r="I1369" s="26">
        <v>8277.59</v>
      </c>
      <c r="J1369" s="26">
        <v>0</v>
      </c>
      <c r="K1369" s="26">
        <v>8277.59</v>
      </c>
      <c r="L1369" s="27">
        <v>1</v>
      </c>
    </row>
    <row r="1370" spans="1:12">
      <c r="A1370" s="24" t="s">
        <v>112</v>
      </c>
      <c r="B1370" s="24" t="s">
        <v>345</v>
      </c>
      <c r="C1370" s="25">
        <v>45992</v>
      </c>
      <c r="D1370" s="24" t="s">
        <v>2668</v>
      </c>
      <c r="E1370" s="26">
        <v>4296.7700000000004</v>
      </c>
      <c r="F1370" s="26">
        <v>0</v>
      </c>
      <c r="G1370" s="26">
        <v>4296.7700000000004</v>
      </c>
      <c r="H1370" s="26">
        <v>0</v>
      </c>
      <c r="I1370" s="26">
        <v>4296.7700000000004</v>
      </c>
      <c r="J1370" s="26">
        <v>0</v>
      </c>
      <c r="K1370" s="26">
        <v>4296.7700000000004</v>
      </c>
      <c r="L1370" s="27">
        <v>1</v>
      </c>
    </row>
    <row r="1371" spans="1:12">
      <c r="A1371" s="24" t="s">
        <v>155</v>
      </c>
      <c r="B1371" s="24" t="s">
        <v>318</v>
      </c>
      <c r="C1371" s="25">
        <v>45658</v>
      </c>
      <c r="D1371" s="24" t="s">
        <v>2657</v>
      </c>
      <c r="E1371" s="26">
        <v>0</v>
      </c>
      <c r="F1371" s="26">
        <v>0</v>
      </c>
      <c r="G1371" s="26">
        <v>0</v>
      </c>
      <c r="H1371" s="26">
        <v>0</v>
      </c>
      <c r="I1371" s="26">
        <v>0</v>
      </c>
      <c r="J1371" s="26">
        <v>0</v>
      </c>
      <c r="K1371" s="26">
        <v>0</v>
      </c>
      <c r="L1371" s="27">
        <v>0</v>
      </c>
    </row>
    <row r="1372" spans="1:12">
      <c r="A1372" s="24" t="s">
        <v>155</v>
      </c>
      <c r="B1372" s="24" t="s">
        <v>318</v>
      </c>
      <c r="C1372" s="25">
        <v>45689</v>
      </c>
      <c r="D1372" s="24" t="s">
        <v>2658</v>
      </c>
      <c r="E1372" s="26">
        <v>0</v>
      </c>
      <c r="F1372" s="26">
        <v>0</v>
      </c>
      <c r="G1372" s="26">
        <v>0</v>
      </c>
      <c r="H1372" s="26">
        <v>0</v>
      </c>
      <c r="I1372" s="26">
        <v>0</v>
      </c>
      <c r="J1372" s="26">
        <v>0</v>
      </c>
      <c r="K1372" s="26">
        <v>0</v>
      </c>
      <c r="L1372" s="27">
        <v>0</v>
      </c>
    </row>
    <row r="1373" spans="1:12">
      <c r="A1373" s="24" t="s">
        <v>155</v>
      </c>
      <c r="B1373" s="24" t="s">
        <v>318</v>
      </c>
      <c r="C1373" s="25">
        <v>45717</v>
      </c>
      <c r="D1373" s="24" t="s">
        <v>2659</v>
      </c>
      <c r="E1373" s="26">
        <v>0</v>
      </c>
      <c r="F1373" s="26">
        <v>0</v>
      </c>
      <c r="G1373" s="26">
        <v>0</v>
      </c>
      <c r="H1373" s="26">
        <v>0</v>
      </c>
      <c r="I1373" s="26">
        <v>0</v>
      </c>
      <c r="J1373" s="26">
        <v>0</v>
      </c>
      <c r="K1373" s="26">
        <v>0</v>
      </c>
      <c r="L1373" s="27">
        <v>0</v>
      </c>
    </row>
    <row r="1374" spans="1:12">
      <c r="A1374" s="24" t="s">
        <v>155</v>
      </c>
      <c r="B1374" s="24" t="s">
        <v>318</v>
      </c>
      <c r="C1374" s="25">
        <v>45748</v>
      </c>
      <c r="D1374" s="24" t="s">
        <v>2660</v>
      </c>
      <c r="E1374" s="26">
        <v>0</v>
      </c>
      <c r="F1374" s="26">
        <v>0</v>
      </c>
      <c r="G1374" s="26">
        <v>0</v>
      </c>
      <c r="H1374" s="26">
        <v>0</v>
      </c>
      <c r="I1374" s="26">
        <v>0</v>
      </c>
      <c r="J1374" s="26">
        <v>0</v>
      </c>
      <c r="K1374" s="26">
        <v>0</v>
      </c>
      <c r="L1374" s="27">
        <v>0</v>
      </c>
    </row>
    <row r="1375" spans="1:12">
      <c r="A1375" s="24" t="s">
        <v>155</v>
      </c>
      <c r="B1375" s="24" t="s">
        <v>318</v>
      </c>
      <c r="C1375" s="25">
        <v>45778</v>
      </c>
      <c r="D1375" s="24" t="s">
        <v>2661</v>
      </c>
      <c r="E1375" s="26">
        <v>0</v>
      </c>
      <c r="F1375" s="26">
        <v>0</v>
      </c>
      <c r="G1375" s="26">
        <v>0</v>
      </c>
      <c r="H1375" s="26">
        <v>0</v>
      </c>
      <c r="I1375" s="26">
        <v>0</v>
      </c>
      <c r="J1375" s="26">
        <v>0</v>
      </c>
      <c r="K1375" s="26">
        <v>0</v>
      </c>
      <c r="L1375" s="27">
        <v>0</v>
      </c>
    </row>
    <row r="1376" spans="1:12">
      <c r="A1376" s="24" t="s">
        <v>155</v>
      </c>
      <c r="B1376" s="24" t="s">
        <v>318</v>
      </c>
      <c r="C1376" s="25">
        <v>45809</v>
      </c>
      <c r="D1376" s="24" t="s">
        <v>2662</v>
      </c>
      <c r="E1376" s="26">
        <v>0</v>
      </c>
      <c r="F1376" s="26">
        <v>0</v>
      </c>
      <c r="G1376" s="26">
        <v>0</v>
      </c>
      <c r="H1376" s="26">
        <v>0</v>
      </c>
      <c r="I1376" s="26">
        <v>0</v>
      </c>
      <c r="J1376" s="26">
        <v>0</v>
      </c>
      <c r="K1376" s="26">
        <v>0</v>
      </c>
      <c r="L1376" s="27">
        <v>0</v>
      </c>
    </row>
    <row r="1377" spans="1:12">
      <c r="A1377" s="24" t="s">
        <v>155</v>
      </c>
      <c r="B1377" s="24" t="s">
        <v>318</v>
      </c>
      <c r="C1377" s="25">
        <v>45839</v>
      </c>
      <c r="D1377" s="24" t="s">
        <v>2663</v>
      </c>
      <c r="E1377" s="26">
        <v>0</v>
      </c>
      <c r="F1377" s="26">
        <v>0</v>
      </c>
      <c r="G1377" s="26">
        <v>0</v>
      </c>
      <c r="H1377" s="26">
        <v>85919.85</v>
      </c>
      <c r="I1377" s="26">
        <v>-85919.85</v>
      </c>
      <c r="J1377" s="26">
        <v>0</v>
      </c>
      <c r="K1377" s="26">
        <v>-85919.85</v>
      </c>
      <c r="L1377" s="27">
        <v>0</v>
      </c>
    </row>
    <row r="1378" spans="1:12">
      <c r="A1378" s="24" t="s">
        <v>155</v>
      </c>
      <c r="B1378" s="24" t="s">
        <v>318</v>
      </c>
      <c r="C1378" s="25">
        <v>45870</v>
      </c>
      <c r="D1378" s="24" t="s">
        <v>2664</v>
      </c>
      <c r="E1378" s="26">
        <v>42191.34</v>
      </c>
      <c r="F1378" s="26">
        <v>0</v>
      </c>
      <c r="G1378" s="26">
        <v>42191.34</v>
      </c>
      <c r="H1378" s="26">
        <v>17300.02</v>
      </c>
      <c r="I1378" s="26">
        <v>24891.32</v>
      </c>
      <c r="J1378" s="26">
        <v>0</v>
      </c>
      <c r="K1378" s="26">
        <v>24891.32</v>
      </c>
      <c r="L1378" s="27">
        <v>0.58996277435132416</v>
      </c>
    </row>
    <row r="1379" spans="1:12">
      <c r="A1379" s="24" t="s">
        <v>155</v>
      </c>
      <c r="B1379" s="24" t="s">
        <v>318</v>
      </c>
      <c r="C1379" s="25">
        <v>45901</v>
      </c>
      <c r="D1379" s="24" t="s">
        <v>2665</v>
      </c>
      <c r="E1379" s="26">
        <v>72903.98</v>
      </c>
      <c r="F1379" s="26">
        <v>0</v>
      </c>
      <c r="G1379" s="26">
        <v>72903.98</v>
      </c>
      <c r="H1379" s="26">
        <v>0</v>
      </c>
      <c r="I1379" s="26">
        <v>72903.98</v>
      </c>
      <c r="J1379" s="26">
        <v>0</v>
      </c>
      <c r="K1379" s="26">
        <v>72903.98</v>
      </c>
      <c r="L1379" s="27">
        <v>1</v>
      </c>
    </row>
    <row r="1380" spans="1:12">
      <c r="A1380" s="24" t="s">
        <v>155</v>
      </c>
      <c r="B1380" s="24" t="s">
        <v>318</v>
      </c>
      <c r="C1380" s="25">
        <v>45931</v>
      </c>
      <c r="D1380" s="24" t="s">
        <v>2666</v>
      </c>
      <c r="E1380" s="26">
        <v>0</v>
      </c>
      <c r="F1380" s="26">
        <v>0</v>
      </c>
      <c r="G1380" s="26">
        <v>0</v>
      </c>
      <c r="H1380" s="26">
        <v>0</v>
      </c>
      <c r="I1380" s="26">
        <v>0</v>
      </c>
      <c r="J1380" s="26">
        <v>0</v>
      </c>
      <c r="K1380" s="26">
        <v>0</v>
      </c>
      <c r="L1380" s="27">
        <v>0</v>
      </c>
    </row>
    <row r="1381" spans="1:12">
      <c r="A1381" s="24" t="s">
        <v>155</v>
      </c>
      <c r="B1381" s="24" t="s">
        <v>318</v>
      </c>
      <c r="C1381" s="25">
        <v>45962</v>
      </c>
      <c r="D1381" s="24" t="s">
        <v>2667</v>
      </c>
      <c r="E1381" s="26">
        <v>40827.26</v>
      </c>
      <c r="F1381" s="26">
        <v>0</v>
      </c>
      <c r="G1381" s="26">
        <v>40827.26</v>
      </c>
      <c r="H1381" s="26">
        <v>42100.97</v>
      </c>
      <c r="I1381" s="26">
        <v>-1273.7099999999989</v>
      </c>
      <c r="J1381" s="26">
        <v>0</v>
      </c>
      <c r="K1381" s="26">
        <v>-1273.7099999999989</v>
      </c>
      <c r="L1381" s="27">
        <v>-3.1197538115464989E-2</v>
      </c>
    </row>
    <row r="1382" spans="1:12">
      <c r="A1382" s="24" t="s">
        <v>155</v>
      </c>
      <c r="B1382" s="24" t="s">
        <v>318</v>
      </c>
      <c r="C1382" s="25">
        <v>45992</v>
      </c>
      <c r="D1382" s="24" t="s">
        <v>2668</v>
      </c>
      <c r="E1382" s="26">
        <v>0</v>
      </c>
      <c r="F1382" s="26">
        <v>0</v>
      </c>
      <c r="G1382" s="26">
        <v>0</v>
      </c>
      <c r="H1382" s="26">
        <v>0</v>
      </c>
      <c r="I1382" s="26">
        <v>0</v>
      </c>
      <c r="J1382" s="26">
        <v>0</v>
      </c>
      <c r="K1382" s="26">
        <v>0</v>
      </c>
      <c r="L1382" s="27">
        <v>0</v>
      </c>
    </row>
    <row r="1383" spans="1:12">
      <c r="A1383" s="24" t="s">
        <v>38</v>
      </c>
      <c r="B1383" s="24" t="s">
        <v>345</v>
      </c>
      <c r="C1383" s="25">
        <v>45658</v>
      </c>
      <c r="D1383" s="24" t="s">
        <v>2657</v>
      </c>
      <c r="E1383" s="26">
        <v>0</v>
      </c>
      <c r="F1383" s="26">
        <v>0</v>
      </c>
      <c r="G1383" s="26">
        <v>0</v>
      </c>
      <c r="H1383" s="26">
        <v>0</v>
      </c>
      <c r="I1383" s="26">
        <v>0</v>
      </c>
      <c r="J1383" s="26">
        <v>0</v>
      </c>
      <c r="K1383" s="26">
        <v>0</v>
      </c>
      <c r="L1383" s="27">
        <v>0</v>
      </c>
    </row>
    <row r="1384" spans="1:12">
      <c r="A1384" s="24" t="s">
        <v>38</v>
      </c>
      <c r="B1384" s="24" t="s">
        <v>345</v>
      </c>
      <c r="C1384" s="25">
        <v>45689</v>
      </c>
      <c r="D1384" s="24" t="s">
        <v>2658</v>
      </c>
      <c r="E1384" s="26">
        <v>0</v>
      </c>
      <c r="F1384" s="26">
        <v>0</v>
      </c>
      <c r="G1384" s="26">
        <v>0</v>
      </c>
      <c r="H1384" s="26">
        <v>0</v>
      </c>
      <c r="I1384" s="26">
        <v>0</v>
      </c>
      <c r="J1384" s="26">
        <v>0</v>
      </c>
      <c r="K1384" s="26">
        <v>0</v>
      </c>
      <c r="L1384" s="27">
        <v>0</v>
      </c>
    </row>
    <row r="1385" spans="1:12">
      <c r="A1385" s="24" t="s">
        <v>38</v>
      </c>
      <c r="B1385" s="24" t="s">
        <v>345</v>
      </c>
      <c r="C1385" s="25">
        <v>45717</v>
      </c>
      <c r="D1385" s="24" t="s">
        <v>2659</v>
      </c>
      <c r="E1385" s="26">
        <v>0</v>
      </c>
      <c r="F1385" s="26">
        <v>0</v>
      </c>
      <c r="G1385" s="26">
        <v>0</v>
      </c>
      <c r="H1385" s="26">
        <v>0</v>
      </c>
      <c r="I1385" s="26">
        <v>0</v>
      </c>
      <c r="J1385" s="26">
        <v>0</v>
      </c>
      <c r="K1385" s="26">
        <v>0</v>
      </c>
      <c r="L1385" s="27">
        <v>0</v>
      </c>
    </row>
    <row r="1386" spans="1:12">
      <c r="A1386" s="24" t="s">
        <v>38</v>
      </c>
      <c r="B1386" s="24" t="s">
        <v>345</v>
      </c>
      <c r="C1386" s="25">
        <v>45748</v>
      </c>
      <c r="D1386" s="24" t="s">
        <v>2660</v>
      </c>
      <c r="E1386" s="26">
        <v>0</v>
      </c>
      <c r="F1386" s="26">
        <v>0</v>
      </c>
      <c r="G1386" s="26">
        <v>0</v>
      </c>
      <c r="H1386" s="26">
        <v>0</v>
      </c>
      <c r="I1386" s="26">
        <v>0</v>
      </c>
      <c r="J1386" s="26">
        <v>0</v>
      </c>
      <c r="K1386" s="26">
        <v>0</v>
      </c>
      <c r="L1386" s="27">
        <v>0</v>
      </c>
    </row>
    <row r="1387" spans="1:12">
      <c r="A1387" s="24" t="s">
        <v>38</v>
      </c>
      <c r="B1387" s="24" t="s">
        <v>345</v>
      </c>
      <c r="C1387" s="25">
        <v>45778</v>
      </c>
      <c r="D1387" s="24" t="s">
        <v>2661</v>
      </c>
      <c r="E1387" s="26">
        <v>0</v>
      </c>
      <c r="F1387" s="26">
        <v>0</v>
      </c>
      <c r="G1387" s="26">
        <v>0</v>
      </c>
      <c r="H1387" s="26">
        <v>0</v>
      </c>
      <c r="I1387" s="26">
        <v>0</v>
      </c>
      <c r="J1387" s="26">
        <v>0</v>
      </c>
      <c r="K1387" s="26">
        <v>0</v>
      </c>
      <c r="L1387" s="27">
        <v>0</v>
      </c>
    </row>
    <row r="1388" spans="1:12">
      <c r="A1388" s="24" t="s">
        <v>38</v>
      </c>
      <c r="B1388" s="24" t="s">
        <v>345</v>
      </c>
      <c r="C1388" s="25">
        <v>45809</v>
      </c>
      <c r="D1388" s="24" t="s">
        <v>2662</v>
      </c>
      <c r="E1388" s="26">
        <v>0</v>
      </c>
      <c r="F1388" s="26">
        <v>0</v>
      </c>
      <c r="G1388" s="26">
        <v>0</v>
      </c>
      <c r="H1388" s="26">
        <v>0</v>
      </c>
      <c r="I1388" s="26">
        <v>0</v>
      </c>
      <c r="J1388" s="26">
        <v>0</v>
      </c>
      <c r="K1388" s="26">
        <v>0</v>
      </c>
      <c r="L1388" s="27">
        <v>0</v>
      </c>
    </row>
    <row r="1389" spans="1:12">
      <c r="A1389" s="24" t="s">
        <v>38</v>
      </c>
      <c r="B1389" s="24" t="s">
        <v>345</v>
      </c>
      <c r="C1389" s="25">
        <v>45839</v>
      </c>
      <c r="D1389" s="24" t="s">
        <v>2663</v>
      </c>
      <c r="E1389" s="26">
        <v>6779.38</v>
      </c>
      <c r="F1389" s="26">
        <v>0</v>
      </c>
      <c r="G1389" s="26">
        <v>6779.38</v>
      </c>
      <c r="H1389" s="26">
        <v>0</v>
      </c>
      <c r="I1389" s="26">
        <v>6779.38</v>
      </c>
      <c r="J1389" s="26">
        <v>0</v>
      </c>
      <c r="K1389" s="26">
        <v>6779.38</v>
      </c>
      <c r="L1389" s="27">
        <v>1</v>
      </c>
    </row>
    <row r="1390" spans="1:12">
      <c r="A1390" s="24" t="s">
        <v>38</v>
      </c>
      <c r="B1390" s="24" t="s">
        <v>345</v>
      </c>
      <c r="C1390" s="25">
        <v>45870</v>
      </c>
      <c r="D1390" s="24" t="s">
        <v>2664</v>
      </c>
      <c r="E1390" s="26">
        <v>0</v>
      </c>
      <c r="F1390" s="26">
        <v>0</v>
      </c>
      <c r="G1390" s="26">
        <v>0</v>
      </c>
      <c r="H1390" s="26">
        <v>60220.47</v>
      </c>
      <c r="I1390" s="26">
        <v>-60220.47</v>
      </c>
      <c r="J1390" s="26">
        <v>0</v>
      </c>
      <c r="K1390" s="26">
        <v>-60220.47</v>
      </c>
      <c r="L1390" s="27">
        <v>0</v>
      </c>
    </row>
    <row r="1391" spans="1:12">
      <c r="A1391" s="24" t="s">
        <v>38</v>
      </c>
      <c r="B1391" s="24" t="s">
        <v>345</v>
      </c>
      <c r="C1391" s="25">
        <v>45901</v>
      </c>
      <c r="D1391" s="24" t="s">
        <v>2665</v>
      </c>
      <c r="E1391" s="26">
        <v>10779.19</v>
      </c>
      <c r="F1391" s="26">
        <v>0</v>
      </c>
      <c r="G1391" s="26">
        <v>10779.19</v>
      </c>
      <c r="H1391" s="26">
        <v>0</v>
      </c>
      <c r="I1391" s="26">
        <v>10779.19</v>
      </c>
      <c r="J1391" s="26">
        <v>0</v>
      </c>
      <c r="K1391" s="26">
        <v>10779.19</v>
      </c>
      <c r="L1391" s="27">
        <v>1</v>
      </c>
    </row>
    <row r="1392" spans="1:12">
      <c r="A1392" s="24" t="s">
        <v>38</v>
      </c>
      <c r="B1392" s="24" t="s">
        <v>345</v>
      </c>
      <c r="C1392" s="25">
        <v>45931</v>
      </c>
      <c r="D1392" s="24" t="s">
        <v>2666</v>
      </c>
      <c r="E1392" s="26">
        <v>0</v>
      </c>
      <c r="F1392" s="26">
        <v>0</v>
      </c>
      <c r="G1392" s="26">
        <v>0</v>
      </c>
      <c r="H1392" s="26">
        <v>0</v>
      </c>
      <c r="I1392" s="26">
        <v>0</v>
      </c>
      <c r="J1392" s="26">
        <v>0</v>
      </c>
      <c r="K1392" s="26">
        <v>0</v>
      </c>
      <c r="L1392" s="27">
        <v>0</v>
      </c>
    </row>
    <row r="1393" spans="1:12">
      <c r="A1393" s="24" t="s">
        <v>38</v>
      </c>
      <c r="B1393" s="24" t="s">
        <v>345</v>
      </c>
      <c r="C1393" s="25">
        <v>45962</v>
      </c>
      <c r="D1393" s="24" t="s">
        <v>2667</v>
      </c>
      <c r="E1393" s="26">
        <v>0</v>
      </c>
      <c r="F1393" s="26">
        <v>0</v>
      </c>
      <c r="G1393" s="26">
        <v>0</v>
      </c>
      <c r="H1393" s="26">
        <v>0</v>
      </c>
      <c r="I1393" s="26">
        <v>0</v>
      </c>
      <c r="J1393" s="26">
        <v>0</v>
      </c>
      <c r="K1393" s="26">
        <v>0</v>
      </c>
      <c r="L1393" s="27">
        <v>0</v>
      </c>
    </row>
    <row r="1394" spans="1:12">
      <c r="A1394" s="24" t="s">
        <v>38</v>
      </c>
      <c r="B1394" s="24" t="s">
        <v>345</v>
      </c>
      <c r="C1394" s="25">
        <v>45992</v>
      </c>
      <c r="D1394" s="24" t="s">
        <v>2668</v>
      </c>
      <c r="E1394" s="26">
        <v>0</v>
      </c>
      <c r="F1394" s="26">
        <v>0</v>
      </c>
      <c r="G1394" s="26">
        <v>0</v>
      </c>
      <c r="H1394" s="26">
        <v>0</v>
      </c>
      <c r="I1394" s="26">
        <v>0</v>
      </c>
      <c r="J1394" s="26">
        <v>0</v>
      </c>
      <c r="K1394" s="26">
        <v>0</v>
      </c>
      <c r="L1394" s="27">
        <v>0</v>
      </c>
    </row>
    <row r="1395" spans="1:12">
      <c r="A1395" s="24" t="s">
        <v>14</v>
      </c>
      <c r="B1395" s="24" t="s">
        <v>337</v>
      </c>
      <c r="C1395" s="25">
        <v>45658</v>
      </c>
      <c r="D1395" s="24" t="s">
        <v>2657</v>
      </c>
      <c r="E1395" s="26">
        <v>0</v>
      </c>
      <c r="F1395" s="26">
        <v>0</v>
      </c>
      <c r="G1395" s="26">
        <v>0</v>
      </c>
      <c r="H1395" s="26">
        <v>0</v>
      </c>
      <c r="I1395" s="26">
        <v>0</v>
      </c>
      <c r="J1395" s="26">
        <v>0</v>
      </c>
      <c r="K1395" s="26">
        <v>0</v>
      </c>
      <c r="L1395" s="27">
        <v>0</v>
      </c>
    </row>
    <row r="1396" spans="1:12">
      <c r="A1396" s="24" t="s">
        <v>14</v>
      </c>
      <c r="B1396" s="24" t="s">
        <v>337</v>
      </c>
      <c r="C1396" s="25">
        <v>45689</v>
      </c>
      <c r="D1396" s="24" t="s">
        <v>2658</v>
      </c>
      <c r="E1396" s="26">
        <v>0</v>
      </c>
      <c r="F1396" s="26">
        <v>0</v>
      </c>
      <c r="G1396" s="26">
        <v>0</v>
      </c>
      <c r="H1396" s="26">
        <v>0</v>
      </c>
      <c r="I1396" s="26">
        <v>0</v>
      </c>
      <c r="J1396" s="26">
        <v>0</v>
      </c>
      <c r="K1396" s="26">
        <v>0</v>
      </c>
      <c r="L1396" s="27">
        <v>0</v>
      </c>
    </row>
    <row r="1397" spans="1:12">
      <c r="A1397" s="24" t="s">
        <v>14</v>
      </c>
      <c r="B1397" s="24" t="s">
        <v>337</v>
      </c>
      <c r="C1397" s="25">
        <v>45717</v>
      </c>
      <c r="D1397" s="24" t="s">
        <v>2659</v>
      </c>
      <c r="E1397" s="26">
        <v>0</v>
      </c>
      <c r="F1397" s="26">
        <v>0</v>
      </c>
      <c r="G1397" s="26">
        <v>0</v>
      </c>
      <c r="H1397" s="26">
        <v>0</v>
      </c>
      <c r="I1397" s="26">
        <v>0</v>
      </c>
      <c r="J1397" s="26">
        <v>0</v>
      </c>
      <c r="K1397" s="26">
        <v>0</v>
      </c>
      <c r="L1397" s="27">
        <v>0</v>
      </c>
    </row>
    <row r="1398" spans="1:12">
      <c r="A1398" s="24" t="s">
        <v>14</v>
      </c>
      <c r="B1398" s="24" t="s">
        <v>337</v>
      </c>
      <c r="C1398" s="25">
        <v>45748</v>
      </c>
      <c r="D1398" s="24" t="s">
        <v>2660</v>
      </c>
      <c r="E1398" s="26">
        <v>0</v>
      </c>
      <c r="F1398" s="26">
        <v>0</v>
      </c>
      <c r="G1398" s="26">
        <v>0</v>
      </c>
      <c r="H1398" s="26">
        <v>0</v>
      </c>
      <c r="I1398" s="26">
        <v>0</v>
      </c>
      <c r="J1398" s="26">
        <v>0</v>
      </c>
      <c r="K1398" s="26">
        <v>0</v>
      </c>
      <c r="L1398" s="27">
        <v>0</v>
      </c>
    </row>
    <row r="1399" spans="1:12">
      <c r="A1399" s="24" t="s">
        <v>14</v>
      </c>
      <c r="B1399" s="24" t="s">
        <v>337</v>
      </c>
      <c r="C1399" s="25">
        <v>45778</v>
      </c>
      <c r="D1399" s="24" t="s">
        <v>2661</v>
      </c>
      <c r="E1399" s="26">
        <v>0</v>
      </c>
      <c r="F1399" s="26">
        <v>0</v>
      </c>
      <c r="G1399" s="26">
        <v>0</v>
      </c>
      <c r="H1399" s="26">
        <v>0</v>
      </c>
      <c r="I1399" s="26">
        <v>0</v>
      </c>
      <c r="J1399" s="26">
        <v>0</v>
      </c>
      <c r="K1399" s="26">
        <v>0</v>
      </c>
      <c r="L1399" s="27">
        <v>0</v>
      </c>
    </row>
    <row r="1400" spans="1:12">
      <c r="A1400" s="24" t="s">
        <v>14</v>
      </c>
      <c r="B1400" s="24" t="s">
        <v>337</v>
      </c>
      <c r="C1400" s="25">
        <v>45809</v>
      </c>
      <c r="D1400" s="24" t="s">
        <v>2662</v>
      </c>
      <c r="E1400" s="26">
        <v>0</v>
      </c>
      <c r="F1400" s="26">
        <v>0</v>
      </c>
      <c r="G1400" s="26">
        <v>0</v>
      </c>
      <c r="H1400" s="26">
        <v>0</v>
      </c>
      <c r="I1400" s="26">
        <v>0</v>
      </c>
      <c r="J1400" s="26">
        <v>0</v>
      </c>
      <c r="K1400" s="26">
        <v>0</v>
      </c>
      <c r="L1400" s="27">
        <v>0</v>
      </c>
    </row>
    <row r="1401" spans="1:12">
      <c r="A1401" s="24" t="s">
        <v>14</v>
      </c>
      <c r="B1401" s="24" t="s">
        <v>337</v>
      </c>
      <c r="C1401" s="25">
        <v>45839</v>
      </c>
      <c r="D1401" s="24" t="s">
        <v>2663</v>
      </c>
      <c r="E1401" s="26">
        <v>44570.76</v>
      </c>
      <c r="F1401" s="26">
        <v>0</v>
      </c>
      <c r="G1401" s="26">
        <v>44570.76</v>
      </c>
      <c r="H1401" s="26">
        <v>0</v>
      </c>
      <c r="I1401" s="26">
        <v>44570.76</v>
      </c>
      <c r="J1401" s="26">
        <v>0</v>
      </c>
      <c r="K1401" s="26">
        <v>44570.76</v>
      </c>
      <c r="L1401" s="27">
        <v>1</v>
      </c>
    </row>
    <row r="1402" spans="1:12">
      <c r="A1402" s="24" t="s">
        <v>14</v>
      </c>
      <c r="B1402" s="24" t="s">
        <v>337</v>
      </c>
      <c r="C1402" s="25">
        <v>45870</v>
      </c>
      <c r="D1402" s="24" t="s">
        <v>2664</v>
      </c>
      <c r="E1402" s="26">
        <v>44535.89</v>
      </c>
      <c r="F1402" s="26">
        <v>0</v>
      </c>
      <c r="G1402" s="26">
        <v>44535.89</v>
      </c>
      <c r="H1402" s="26">
        <v>0</v>
      </c>
      <c r="I1402" s="26">
        <v>44535.89</v>
      </c>
      <c r="J1402" s="26">
        <v>0</v>
      </c>
      <c r="K1402" s="26">
        <v>44535.89</v>
      </c>
      <c r="L1402" s="27">
        <v>1</v>
      </c>
    </row>
    <row r="1403" spans="1:12">
      <c r="A1403" s="24" t="s">
        <v>14</v>
      </c>
      <c r="B1403" s="24" t="s">
        <v>337</v>
      </c>
      <c r="C1403" s="25">
        <v>45901</v>
      </c>
      <c r="D1403" s="24" t="s">
        <v>2665</v>
      </c>
      <c r="E1403" s="26">
        <v>36866.370000000003</v>
      </c>
      <c r="F1403" s="26">
        <v>0</v>
      </c>
      <c r="G1403" s="26">
        <v>36866.370000000003</v>
      </c>
      <c r="H1403" s="26">
        <v>0</v>
      </c>
      <c r="I1403" s="26">
        <v>36866.370000000003</v>
      </c>
      <c r="J1403" s="26">
        <v>0</v>
      </c>
      <c r="K1403" s="26">
        <v>36866.370000000003</v>
      </c>
      <c r="L1403" s="27">
        <v>1</v>
      </c>
    </row>
    <row r="1404" spans="1:12">
      <c r="A1404" s="24" t="s">
        <v>14</v>
      </c>
      <c r="B1404" s="24" t="s">
        <v>337</v>
      </c>
      <c r="C1404" s="25">
        <v>45931</v>
      </c>
      <c r="D1404" s="24" t="s">
        <v>2666</v>
      </c>
      <c r="E1404" s="26">
        <v>53694.93</v>
      </c>
      <c r="F1404" s="26">
        <v>0</v>
      </c>
      <c r="G1404" s="26">
        <v>53694.93</v>
      </c>
      <c r="H1404" s="26">
        <v>0</v>
      </c>
      <c r="I1404" s="26">
        <v>53694.93</v>
      </c>
      <c r="J1404" s="26">
        <v>0</v>
      </c>
      <c r="K1404" s="26">
        <v>53694.93</v>
      </c>
      <c r="L1404" s="27">
        <v>1</v>
      </c>
    </row>
    <row r="1405" spans="1:12">
      <c r="A1405" s="24" t="s">
        <v>14</v>
      </c>
      <c r="B1405" s="24" t="s">
        <v>337</v>
      </c>
      <c r="C1405" s="25">
        <v>45962</v>
      </c>
      <c r="D1405" s="24" t="s">
        <v>2667</v>
      </c>
      <c r="E1405" s="26">
        <v>57958.97</v>
      </c>
      <c r="F1405" s="26">
        <v>0</v>
      </c>
      <c r="G1405" s="26">
        <v>57958.97</v>
      </c>
      <c r="H1405" s="26">
        <v>75007.710000000006</v>
      </c>
      <c r="I1405" s="26">
        <v>-17048.740000000009</v>
      </c>
      <c r="J1405" s="26">
        <v>0</v>
      </c>
      <c r="K1405" s="26">
        <v>-17048.740000000009</v>
      </c>
      <c r="L1405" s="27">
        <v>-0.29415188020076971</v>
      </c>
    </row>
    <row r="1406" spans="1:12">
      <c r="A1406" s="24" t="s">
        <v>14</v>
      </c>
      <c r="B1406" s="24" t="s">
        <v>337</v>
      </c>
      <c r="C1406" s="25">
        <v>45992</v>
      </c>
      <c r="D1406" s="24" t="s">
        <v>2668</v>
      </c>
      <c r="E1406" s="26">
        <v>47501.88</v>
      </c>
      <c r="F1406" s="26">
        <v>0</v>
      </c>
      <c r="G1406" s="26">
        <v>47501.88</v>
      </c>
      <c r="H1406" s="26">
        <v>0</v>
      </c>
      <c r="I1406" s="26">
        <v>47501.88</v>
      </c>
      <c r="J1406" s="26">
        <v>0</v>
      </c>
      <c r="K1406" s="26">
        <v>47501.88</v>
      </c>
      <c r="L1406" s="27">
        <v>1</v>
      </c>
    </row>
    <row r="1407" spans="1:12">
      <c r="A1407" s="24" t="s">
        <v>215</v>
      </c>
      <c r="B1407" s="24" t="s">
        <v>345</v>
      </c>
      <c r="C1407" s="25">
        <v>45658</v>
      </c>
      <c r="D1407" s="24" t="s">
        <v>2657</v>
      </c>
      <c r="E1407" s="26">
        <v>0</v>
      </c>
      <c r="F1407" s="26">
        <v>0</v>
      </c>
      <c r="G1407" s="26">
        <v>0</v>
      </c>
      <c r="H1407" s="26">
        <v>0</v>
      </c>
      <c r="I1407" s="26">
        <v>0</v>
      </c>
      <c r="J1407" s="26">
        <v>0</v>
      </c>
      <c r="K1407" s="26">
        <v>0</v>
      </c>
      <c r="L1407" s="27">
        <v>0</v>
      </c>
    </row>
    <row r="1408" spans="1:12">
      <c r="A1408" s="24" t="s">
        <v>215</v>
      </c>
      <c r="B1408" s="24" t="s">
        <v>345</v>
      </c>
      <c r="C1408" s="25">
        <v>45689</v>
      </c>
      <c r="D1408" s="24" t="s">
        <v>2658</v>
      </c>
      <c r="E1408" s="26">
        <v>0</v>
      </c>
      <c r="F1408" s="26">
        <v>0</v>
      </c>
      <c r="G1408" s="26">
        <v>0</v>
      </c>
      <c r="H1408" s="26">
        <v>0</v>
      </c>
      <c r="I1408" s="26">
        <v>0</v>
      </c>
      <c r="J1408" s="26">
        <v>0</v>
      </c>
      <c r="K1408" s="26">
        <v>0</v>
      </c>
      <c r="L1408" s="27">
        <v>0</v>
      </c>
    </row>
    <row r="1409" spans="1:12">
      <c r="A1409" s="24" t="s">
        <v>215</v>
      </c>
      <c r="B1409" s="24" t="s">
        <v>345</v>
      </c>
      <c r="C1409" s="25">
        <v>45717</v>
      </c>
      <c r="D1409" s="24" t="s">
        <v>2659</v>
      </c>
      <c r="E1409" s="26">
        <v>0</v>
      </c>
      <c r="F1409" s="26">
        <v>0</v>
      </c>
      <c r="G1409" s="26">
        <v>0</v>
      </c>
      <c r="H1409" s="26">
        <v>0</v>
      </c>
      <c r="I1409" s="26">
        <v>0</v>
      </c>
      <c r="J1409" s="26">
        <v>0</v>
      </c>
      <c r="K1409" s="26">
        <v>0</v>
      </c>
      <c r="L1409" s="27">
        <v>0</v>
      </c>
    </row>
    <row r="1410" spans="1:12">
      <c r="A1410" s="24" t="s">
        <v>215</v>
      </c>
      <c r="B1410" s="24" t="s">
        <v>345</v>
      </c>
      <c r="C1410" s="25">
        <v>45748</v>
      </c>
      <c r="D1410" s="24" t="s">
        <v>2660</v>
      </c>
      <c r="E1410" s="26">
        <v>0</v>
      </c>
      <c r="F1410" s="26">
        <v>0</v>
      </c>
      <c r="G1410" s="26">
        <v>0</v>
      </c>
      <c r="H1410" s="26">
        <v>0</v>
      </c>
      <c r="I1410" s="26">
        <v>0</v>
      </c>
      <c r="J1410" s="26">
        <v>0</v>
      </c>
      <c r="K1410" s="26">
        <v>0</v>
      </c>
      <c r="L1410" s="27">
        <v>0</v>
      </c>
    </row>
    <row r="1411" spans="1:12">
      <c r="A1411" s="24" t="s">
        <v>215</v>
      </c>
      <c r="B1411" s="24" t="s">
        <v>345</v>
      </c>
      <c r="C1411" s="25">
        <v>45778</v>
      </c>
      <c r="D1411" s="24" t="s">
        <v>2661</v>
      </c>
      <c r="E1411" s="26">
        <v>0</v>
      </c>
      <c r="F1411" s="26">
        <v>0</v>
      </c>
      <c r="G1411" s="26">
        <v>0</v>
      </c>
      <c r="H1411" s="26">
        <v>0</v>
      </c>
      <c r="I1411" s="26">
        <v>0</v>
      </c>
      <c r="J1411" s="26">
        <v>0</v>
      </c>
      <c r="K1411" s="26">
        <v>0</v>
      </c>
      <c r="L1411" s="27">
        <v>0</v>
      </c>
    </row>
    <row r="1412" spans="1:12">
      <c r="A1412" s="24" t="s">
        <v>215</v>
      </c>
      <c r="B1412" s="24" t="s">
        <v>345</v>
      </c>
      <c r="C1412" s="25">
        <v>45809</v>
      </c>
      <c r="D1412" s="24" t="s">
        <v>2662</v>
      </c>
      <c r="E1412" s="26">
        <v>0</v>
      </c>
      <c r="F1412" s="26">
        <v>0</v>
      </c>
      <c r="G1412" s="26">
        <v>0</v>
      </c>
      <c r="H1412" s="26">
        <v>0</v>
      </c>
      <c r="I1412" s="26">
        <v>0</v>
      </c>
      <c r="J1412" s="26">
        <v>0</v>
      </c>
      <c r="K1412" s="26">
        <v>0</v>
      </c>
      <c r="L1412" s="27">
        <v>0</v>
      </c>
    </row>
    <row r="1413" spans="1:12">
      <c r="A1413" s="24" t="s">
        <v>215</v>
      </c>
      <c r="B1413" s="24" t="s">
        <v>345</v>
      </c>
      <c r="C1413" s="25">
        <v>45839</v>
      </c>
      <c r="D1413" s="24" t="s">
        <v>2663</v>
      </c>
      <c r="E1413" s="26">
        <v>0</v>
      </c>
      <c r="F1413" s="26">
        <v>0</v>
      </c>
      <c r="G1413" s="26">
        <v>0</v>
      </c>
      <c r="H1413" s="26">
        <v>0</v>
      </c>
      <c r="I1413" s="26">
        <v>0</v>
      </c>
      <c r="J1413" s="26">
        <v>0</v>
      </c>
      <c r="K1413" s="26">
        <v>0</v>
      </c>
      <c r="L1413" s="27">
        <v>0</v>
      </c>
    </row>
    <row r="1414" spans="1:12">
      <c r="A1414" s="24" t="s">
        <v>215</v>
      </c>
      <c r="B1414" s="24" t="s">
        <v>345</v>
      </c>
      <c r="C1414" s="25">
        <v>45870</v>
      </c>
      <c r="D1414" s="24" t="s">
        <v>2664</v>
      </c>
      <c r="E1414" s="26">
        <v>46577.63</v>
      </c>
      <c r="F1414" s="26">
        <v>0</v>
      </c>
      <c r="G1414" s="26">
        <v>46577.63</v>
      </c>
      <c r="H1414" s="26">
        <v>0</v>
      </c>
      <c r="I1414" s="26">
        <v>46577.63</v>
      </c>
      <c r="J1414" s="26">
        <v>0</v>
      </c>
      <c r="K1414" s="26">
        <v>46577.63</v>
      </c>
      <c r="L1414" s="27">
        <v>1</v>
      </c>
    </row>
    <row r="1415" spans="1:12">
      <c r="A1415" s="24" t="s">
        <v>215</v>
      </c>
      <c r="B1415" s="24" t="s">
        <v>345</v>
      </c>
      <c r="C1415" s="25">
        <v>45901</v>
      </c>
      <c r="D1415" s="24" t="s">
        <v>2665</v>
      </c>
      <c r="E1415" s="26">
        <v>46945.08</v>
      </c>
      <c r="F1415" s="26">
        <v>0</v>
      </c>
      <c r="G1415" s="26">
        <v>46945.08</v>
      </c>
      <c r="H1415" s="26">
        <v>0</v>
      </c>
      <c r="I1415" s="26">
        <v>46945.08</v>
      </c>
      <c r="J1415" s="26">
        <v>0</v>
      </c>
      <c r="K1415" s="26">
        <v>46945.08</v>
      </c>
      <c r="L1415" s="27">
        <v>1</v>
      </c>
    </row>
    <row r="1416" spans="1:12">
      <c r="A1416" s="24" t="s">
        <v>215</v>
      </c>
      <c r="B1416" s="24" t="s">
        <v>345</v>
      </c>
      <c r="C1416" s="25">
        <v>45931</v>
      </c>
      <c r="D1416" s="24" t="s">
        <v>2666</v>
      </c>
      <c r="E1416" s="26">
        <v>0</v>
      </c>
      <c r="F1416" s="26">
        <v>0</v>
      </c>
      <c r="G1416" s="26">
        <v>0</v>
      </c>
      <c r="H1416" s="26">
        <v>0</v>
      </c>
      <c r="I1416" s="26">
        <v>0</v>
      </c>
      <c r="J1416" s="26">
        <v>0</v>
      </c>
      <c r="K1416" s="26">
        <v>0</v>
      </c>
      <c r="L1416" s="27">
        <v>0</v>
      </c>
    </row>
    <row r="1417" spans="1:12">
      <c r="A1417" s="24" t="s">
        <v>215</v>
      </c>
      <c r="B1417" s="24" t="s">
        <v>345</v>
      </c>
      <c r="C1417" s="25">
        <v>45962</v>
      </c>
      <c r="D1417" s="24" t="s">
        <v>2667</v>
      </c>
      <c r="E1417" s="26">
        <v>33102.269999999997</v>
      </c>
      <c r="F1417" s="26">
        <v>0</v>
      </c>
      <c r="G1417" s="26">
        <v>33102.269999999997</v>
      </c>
      <c r="H1417" s="26">
        <v>60832.41</v>
      </c>
      <c r="I1417" s="26">
        <v>-27730.14000000001</v>
      </c>
      <c r="J1417" s="26">
        <v>0</v>
      </c>
      <c r="K1417" s="26">
        <v>-27730.14000000001</v>
      </c>
      <c r="L1417" s="27">
        <v>-0.83771112978052586</v>
      </c>
    </row>
    <row r="1418" spans="1:12">
      <c r="A1418" s="24" t="s">
        <v>215</v>
      </c>
      <c r="B1418" s="24" t="s">
        <v>345</v>
      </c>
      <c r="C1418" s="25">
        <v>45992</v>
      </c>
      <c r="D1418" s="24" t="s">
        <v>2668</v>
      </c>
      <c r="E1418" s="26">
        <v>28450.41</v>
      </c>
      <c r="F1418" s="26">
        <v>0</v>
      </c>
      <c r="G1418" s="26">
        <v>28450.41</v>
      </c>
      <c r="H1418" s="26">
        <v>0</v>
      </c>
      <c r="I1418" s="26">
        <v>28450.41</v>
      </c>
      <c r="J1418" s="26">
        <v>0</v>
      </c>
      <c r="K1418" s="26">
        <v>28450.41</v>
      </c>
      <c r="L1418" s="27">
        <v>1</v>
      </c>
    </row>
    <row r="1419" spans="1:12">
      <c r="A1419" s="24" t="s">
        <v>129</v>
      </c>
      <c r="B1419" s="24" t="s">
        <v>345</v>
      </c>
      <c r="C1419" s="25">
        <v>45658</v>
      </c>
      <c r="D1419" s="24" t="s">
        <v>2657</v>
      </c>
      <c r="E1419" s="26">
        <v>0</v>
      </c>
      <c r="F1419" s="26">
        <v>0</v>
      </c>
      <c r="G1419" s="26">
        <v>0</v>
      </c>
      <c r="H1419" s="26">
        <v>0</v>
      </c>
      <c r="I1419" s="26">
        <v>0</v>
      </c>
      <c r="J1419" s="26">
        <v>0</v>
      </c>
      <c r="K1419" s="26">
        <v>0</v>
      </c>
      <c r="L1419" s="27">
        <v>0</v>
      </c>
    </row>
    <row r="1420" spans="1:12">
      <c r="A1420" s="24" t="s">
        <v>129</v>
      </c>
      <c r="B1420" s="24" t="s">
        <v>345</v>
      </c>
      <c r="C1420" s="25">
        <v>45689</v>
      </c>
      <c r="D1420" s="24" t="s">
        <v>2658</v>
      </c>
      <c r="E1420" s="26">
        <v>0</v>
      </c>
      <c r="F1420" s="26">
        <v>0</v>
      </c>
      <c r="G1420" s="26">
        <v>0</v>
      </c>
      <c r="H1420" s="26">
        <v>0</v>
      </c>
      <c r="I1420" s="26">
        <v>0</v>
      </c>
      <c r="J1420" s="26">
        <v>0</v>
      </c>
      <c r="K1420" s="26">
        <v>0</v>
      </c>
      <c r="L1420" s="27">
        <v>0</v>
      </c>
    </row>
    <row r="1421" spans="1:12">
      <c r="A1421" s="24" t="s">
        <v>129</v>
      </c>
      <c r="B1421" s="24" t="s">
        <v>345</v>
      </c>
      <c r="C1421" s="25">
        <v>45717</v>
      </c>
      <c r="D1421" s="24" t="s">
        <v>2659</v>
      </c>
      <c r="E1421" s="26">
        <v>0</v>
      </c>
      <c r="F1421" s="26">
        <v>0</v>
      </c>
      <c r="G1421" s="26">
        <v>0</v>
      </c>
      <c r="H1421" s="26">
        <v>0</v>
      </c>
      <c r="I1421" s="26">
        <v>0</v>
      </c>
      <c r="J1421" s="26">
        <v>0</v>
      </c>
      <c r="K1421" s="26">
        <v>0</v>
      </c>
      <c r="L1421" s="27">
        <v>0</v>
      </c>
    </row>
    <row r="1422" spans="1:12">
      <c r="A1422" s="24" t="s">
        <v>129</v>
      </c>
      <c r="B1422" s="24" t="s">
        <v>345</v>
      </c>
      <c r="C1422" s="25">
        <v>45748</v>
      </c>
      <c r="D1422" s="24" t="s">
        <v>2660</v>
      </c>
      <c r="E1422" s="26">
        <v>0</v>
      </c>
      <c r="F1422" s="26">
        <v>0</v>
      </c>
      <c r="G1422" s="26">
        <v>0</v>
      </c>
      <c r="H1422" s="26">
        <v>0</v>
      </c>
      <c r="I1422" s="26">
        <v>0</v>
      </c>
      <c r="J1422" s="26">
        <v>0</v>
      </c>
      <c r="K1422" s="26">
        <v>0</v>
      </c>
      <c r="L1422" s="27">
        <v>0</v>
      </c>
    </row>
    <row r="1423" spans="1:12">
      <c r="A1423" s="24" t="s">
        <v>129</v>
      </c>
      <c r="B1423" s="24" t="s">
        <v>345</v>
      </c>
      <c r="C1423" s="25">
        <v>45778</v>
      </c>
      <c r="D1423" s="24" t="s">
        <v>2661</v>
      </c>
      <c r="E1423" s="26">
        <v>0</v>
      </c>
      <c r="F1423" s="26">
        <v>0</v>
      </c>
      <c r="G1423" s="26">
        <v>0</v>
      </c>
      <c r="H1423" s="26">
        <v>0</v>
      </c>
      <c r="I1423" s="26">
        <v>0</v>
      </c>
      <c r="J1423" s="26">
        <v>0</v>
      </c>
      <c r="K1423" s="26">
        <v>0</v>
      </c>
      <c r="L1423" s="27">
        <v>0</v>
      </c>
    </row>
    <row r="1424" spans="1:12">
      <c r="A1424" s="24" t="s">
        <v>129</v>
      </c>
      <c r="B1424" s="24" t="s">
        <v>345</v>
      </c>
      <c r="C1424" s="25">
        <v>45809</v>
      </c>
      <c r="D1424" s="24" t="s">
        <v>2662</v>
      </c>
      <c r="E1424" s="26">
        <v>0</v>
      </c>
      <c r="F1424" s="26">
        <v>0</v>
      </c>
      <c r="G1424" s="26">
        <v>0</v>
      </c>
      <c r="H1424" s="26">
        <v>0</v>
      </c>
      <c r="I1424" s="26">
        <v>0</v>
      </c>
      <c r="J1424" s="26">
        <v>0</v>
      </c>
      <c r="K1424" s="26">
        <v>0</v>
      </c>
      <c r="L1424" s="27">
        <v>0</v>
      </c>
    </row>
    <row r="1425" spans="1:12">
      <c r="A1425" s="24" t="s">
        <v>129</v>
      </c>
      <c r="B1425" s="24" t="s">
        <v>345</v>
      </c>
      <c r="C1425" s="25">
        <v>45839</v>
      </c>
      <c r="D1425" s="24" t="s">
        <v>2663</v>
      </c>
      <c r="E1425" s="26">
        <v>9939.17</v>
      </c>
      <c r="F1425" s="26">
        <v>0</v>
      </c>
      <c r="G1425" s="26">
        <v>9939.17</v>
      </c>
      <c r="H1425" s="26">
        <v>0</v>
      </c>
      <c r="I1425" s="26">
        <v>9939.17</v>
      </c>
      <c r="J1425" s="26">
        <v>0</v>
      </c>
      <c r="K1425" s="26">
        <v>9939.17</v>
      </c>
      <c r="L1425" s="27">
        <v>1</v>
      </c>
    </row>
    <row r="1426" spans="1:12">
      <c r="A1426" s="24" t="s">
        <v>129</v>
      </c>
      <c r="B1426" s="24" t="s">
        <v>345</v>
      </c>
      <c r="C1426" s="25">
        <v>45870</v>
      </c>
      <c r="D1426" s="24" t="s">
        <v>2664</v>
      </c>
      <c r="E1426" s="26">
        <v>6804.59</v>
      </c>
      <c r="F1426" s="26">
        <v>0</v>
      </c>
      <c r="G1426" s="26">
        <v>6804.59</v>
      </c>
      <c r="H1426" s="26">
        <v>0</v>
      </c>
      <c r="I1426" s="26">
        <v>6804.59</v>
      </c>
      <c r="J1426" s="26">
        <v>0</v>
      </c>
      <c r="K1426" s="26">
        <v>6804.59</v>
      </c>
      <c r="L1426" s="27">
        <v>1</v>
      </c>
    </row>
    <row r="1427" spans="1:12">
      <c r="A1427" s="24" t="s">
        <v>129</v>
      </c>
      <c r="B1427" s="24" t="s">
        <v>345</v>
      </c>
      <c r="C1427" s="25">
        <v>45901</v>
      </c>
      <c r="D1427" s="24" t="s">
        <v>2665</v>
      </c>
      <c r="E1427" s="26">
        <v>0</v>
      </c>
      <c r="F1427" s="26">
        <v>0</v>
      </c>
      <c r="G1427" s="26">
        <v>0</v>
      </c>
      <c r="H1427" s="26">
        <v>18056.669999999998</v>
      </c>
      <c r="I1427" s="26">
        <v>-18056.669999999998</v>
      </c>
      <c r="J1427" s="26">
        <v>0</v>
      </c>
      <c r="K1427" s="26">
        <v>-18056.669999999998</v>
      </c>
      <c r="L1427" s="27">
        <v>0</v>
      </c>
    </row>
    <row r="1428" spans="1:12">
      <c r="A1428" s="24" t="s">
        <v>129</v>
      </c>
      <c r="B1428" s="24" t="s">
        <v>345</v>
      </c>
      <c r="C1428" s="25">
        <v>45931</v>
      </c>
      <c r="D1428" s="24" t="s">
        <v>2666</v>
      </c>
      <c r="E1428" s="26">
        <v>0</v>
      </c>
      <c r="F1428" s="26">
        <v>0</v>
      </c>
      <c r="G1428" s="26">
        <v>0</v>
      </c>
      <c r="H1428" s="26">
        <v>0</v>
      </c>
      <c r="I1428" s="26">
        <v>0</v>
      </c>
      <c r="J1428" s="26">
        <v>0</v>
      </c>
      <c r="K1428" s="26">
        <v>0</v>
      </c>
      <c r="L1428" s="27">
        <v>0</v>
      </c>
    </row>
    <row r="1429" spans="1:12">
      <c r="A1429" s="24" t="s">
        <v>129</v>
      </c>
      <c r="B1429" s="24" t="s">
        <v>345</v>
      </c>
      <c r="C1429" s="25">
        <v>45962</v>
      </c>
      <c r="D1429" s="24" t="s">
        <v>2667</v>
      </c>
      <c r="E1429" s="26">
        <v>9197.74</v>
      </c>
      <c r="F1429" s="26">
        <v>0</v>
      </c>
      <c r="G1429" s="26">
        <v>9197.74</v>
      </c>
      <c r="H1429" s="26">
        <v>91817.59</v>
      </c>
      <c r="I1429" s="26">
        <v>-82619.849999999991</v>
      </c>
      <c r="J1429" s="26">
        <v>0</v>
      </c>
      <c r="K1429" s="26">
        <v>-82619.849999999991</v>
      </c>
      <c r="L1429" s="27">
        <v>-8.9826250796391278</v>
      </c>
    </row>
    <row r="1430" spans="1:12">
      <c r="A1430" s="24" t="s">
        <v>129</v>
      </c>
      <c r="B1430" s="24" t="s">
        <v>345</v>
      </c>
      <c r="C1430" s="25">
        <v>45992</v>
      </c>
      <c r="D1430" s="24" t="s">
        <v>2668</v>
      </c>
      <c r="E1430" s="26">
        <v>0</v>
      </c>
      <c r="F1430" s="26">
        <v>0</v>
      </c>
      <c r="G1430" s="26">
        <v>0</v>
      </c>
      <c r="H1430" s="26">
        <v>0</v>
      </c>
      <c r="I1430" s="26">
        <v>0</v>
      </c>
      <c r="J1430" s="26">
        <v>0</v>
      </c>
      <c r="K1430" s="26">
        <v>0</v>
      </c>
      <c r="L1430" s="27">
        <v>0</v>
      </c>
    </row>
    <row r="1431" spans="1:12">
      <c r="A1431" s="24" t="s">
        <v>56</v>
      </c>
      <c r="B1431" s="24" t="s">
        <v>324</v>
      </c>
      <c r="C1431" s="25">
        <v>45658</v>
      </c>
      <c r="D1431" s="24" t="s">
        <v>2657</v>
      </c>
      <c r="E1431" s="26">
        <v>0</v>
      </c>
      <c r="F1431" s="26">
        <v>0</v>
      </c>
      <c r="G1431" s="26">
        <v>0</v>
      </c>
      <c r="H1431" s="26">
        <v>0</v>
      </c>
      <c r="I1431" s="26">
        <v>0</v>
      </c>
      <c r="J1431" s="26">
        <v>0</v>
      </c>
      <c r="K1431" s="26">
        <v>0</v>
      </c>
      <c r="L1431" s="27">
        <v>0</v>
      </c>
    </row>
    <row r="1432" spans="1:12">
      <c r="A1432" s="24" t="s">
        <v>56</v>
      </c>
      <c r="B1432" s="24" t="s">
        <v>324</v>
      </c>
      <c r="C1432" s="25">
        <v>45689</v>
      </c>
      <c r="D1432" s="24" t="s">
        <v>2658</v>
      </c>
      <c r="E1432" s="26">
        <v>0</v>
      </c>
      <c r="F1432" s="26">
        <v>0</v>
      </c>
      <c r="G1432" s="26">
        <v>0</v>
      </c>
      <c r="H1432" s="26">
        <v>0</v>
      </c>
      <c r="I1432" s="26">
        <v>0</v>
      </c>
      <c r="J1432" s="26">
        <v>0</v>
      </c>
      <c r="K1432" s="26">
        <v>0</v>
      </c>
      <c r="L1432" s="27">
        <v>0</v>
      </c>
    </row>
    <row r="1433" spans="1:12">
      <c r="A1433" s="24" t="s">
        <v>56</v>
      </c>
      <c r="B1433" s="24" t="s">
        <v>324</v>
      </c>
      <c r="C1433" s="25">
        <v>45717</v>
      </c>
      <c r="D1433" s="24" t="s">
        <v>2659</v>
      </c>
      <c r="E1433" s="26">
        <v>0</v>
      </c>
      <c r="F1433" s="26">
        <v>0</v>
      </c>
      <c r="G1433" s="26">
        <v>0</v>
      </c>
      <c r="H1433" s="26">
        <v>0</v>
      </c>
      <c r="I1433" s="26">
        <v>0</v>
      </c>
      <c r="J1433" s="26">
        <v>0</v>
      </c>
      <c r="K1433" s="26">
        <v>0</v>
      </c>
      <c r="L1433" s="27">
        <v>0</v>
      </c>
    </row>
    <row r="1434" spans="1:12">
      <c r="A1434" s="24" t="s">
        <v>56</v>
      </c>
      <c r="B1434" s="24" t="s">
        <v>324</v>
      </c>
      <c r="C1434" s="25">
        <v>45748</v>
      </c>
      <c r="D1434" s="24" t="s">
        <v>2660</v>
      </c>
      <c r="E1434" s="26">
        <v>0</v>
      </c>
      <c r="F1434" s="26">
        <v>0</v>
      </c>
      <c r="G1434" s="26">
        <v>0</v>
      </c>
      <c r="H1434" s="26">
        <v>0</v>
      </c>
      <c r="I1434" s="26">
        <v>0</v>
      </c>
      <c r="J1434" s="26">
        <v>0</v>
      </c>
      <c r="K1434" s="26">
        <v>0</v>
      </c>
      <c r="L1434" s="27">
        <v>0</v>
      </c>
    </row>
    <row r="1435" spans="1:12">
      <c r="A1435" s="24" t="s">
        <v>56</v>
      </c>
      <c r="B1435" s="24" t="s">
        <v>324</v>
      </c>
      <c r="C1435" s="25">
        <v>45778</v>
      </c>
      <c r="D1435" s="24" t="s">
        <v>2661</v>
      </c>
      <c r="E1435" s="26">
        <v>0</v>
      </c>
      <c r="F1435" s="26">
        <v>0</v>
      </c>
      <c r="G1435" s="26">
        <v>0</v>
      </c>
      <c r="H1435" s="26">
        <v>0</v>
      </c>
      <c r="I1435" s="26">
        <v>0</v>
      </c>
      <c r="J1435" s="26">
        <v>0</v>
      </c>
      <c r="K1435" s="26">
        <v>0</v>
      </c>
      <c r="L1435" s="27">
        <v>0</v>
      </c>
    </row>
    <row r="1436" spans="1:12">
      <c r="A1436" s="24" t="s">
        <v>56</v>
      </c>
      <c r="B1436" s="24" t="s">
        <v>324</v>
      </c>
      <c r="C1436" s="25">
        <v>45809</v>
      </c>
      <c r="D1436" s="24" t="s">
        <v>2662</v>
      </c>
      <c r="E1436" s="26">
        <v>0</v>
      </c>
      <c r="F1436" s="26">
        <v>0</v>
      </c>
      <c r="G1436" s="26">
        <v>0</v>
      </c>
      <c r="H1436" s="26">
        <v>0</v>
      </c>
      <c r="I1436" s="26">
        <v>0</v>
      </c>
      <c r="J1436" s="26">
        <v>0</v>
      </c>
      <c r="K1436" s="26">
        <v>0</v>
      </c>
      <c r="L1436" s="27">
        <v>0</v>
      </c>
    </row>
    <row r="1437" spans="1:12">
      <c r="A1437" s="24" t="s">
        <v>56</v>
      </c>
      <c r="B1437" s="24" t="s">
        <v>324</v>
      </c>
      <c r="C1437" s="25">
        <v>45839</v>
      </c>
      <c r="D1437" s="24" t="s">
        <v>2663</v>
      </c>
      <c r="E1437" s="26">
        <v>31809.07</v>
      </c>
      <c r="F1437" s="26">
        <v>0</v>
      </c>
      <c r="G1437" s="26">
        <v>31809.07</v>
      </c>
      <c r="H1437" s="26">
        <v>0</v>
      </c>
      <c r="I1437" s="26">
        <v>31809.07</v>
      </c>
      <c r="J1437" s="26">
        <v>0</v>
      </c>
      <c r="K1437" s="26">
        <v>31809.07</v>
      </c>
      <c r="L1437" s="27">
        <v>1</v>
      </c>
    </row>
    <row r="1438" spans="1:12">
      <c r="A1438" s="24" t="s">
        <v>56</v>
      </c>
      <c r="B1438" s="24" t="s">
        <v>324</v>
      </c>
      <c r="C1438" s="25">
        <v>45870</v>
      </c>
      <c r="D1438" s="24" t="s">
        <v>2664</v>
      </c>
      <c r="E1438" s="26">
        <v>15401.37</v>
      </c>
      <c r="F1438" s="26">
        <v>0</v>
      </c>
      <c r="G1438" s="26">
        <v>15401.37</v>
      </c>
      <c r="H1438" s="26">
        <v>0</v>
      </c>
      <c r="I1438" s="26">
        <v>15401.37</v>
      </c>
      <c r="J1438" s="26">
        <v>0</v>
      </c>
      <c r="K1438" s="26">
        <v>15401.37</v>
      </c>
      <c r="L1438" s="27">
        <v>1</v>
      </c>
    </row>
    <row r="1439" spans="1:12">
      <c r="A1439" s="24" t="s">
        <v>56</v>
      </c>
      <c r="B1439" s="24" t="s">
        <v>324</v>
      </c>
      <c r="C1439" s="25">
        <v>45901</v>
      </c>
      <c r="D1439" s="24" t="s">
        <v>2665</v>
      </c>
      <c r="E1439" s="26">
        <v>0</v>
      </c>
      <c r="F1439" s="26">
        <v>0</v>
      </c>
      <c r="G1439" s="26">
        <v>0</v>
      </c>
      <c r="H1439" s="26">
        <v>0</v>
      </c>
      <c r="I1439" s="26">
        <v>0</v>
      </c>
      <c r="J1439" s="26">
        <v>0</v>
      </c>
      <c r="K1439" s="26">
        <v>0</v>
      </c>
      <c r="L1439" s="27">
        <v>0</v>
      </c>
    </row>
    <row r="1440" spans="1:12">
      <c r="A1440" s="24" t="s">
        <v>56</v>
      </c>
      <c r="B1440" s="24" t="s">
        <v>324</v>
      </c>
      <c r="C1440" s="25">
        <v>45931</v>
      </c>
      <c r="D1440" s="24" t="s">
        <v>2666</v>
      </c>
      <c r="E1440" s="26">
        <v>0</v>
      </c>
      <c r="F1440" s="26">
        <v>0</v>
      </c>
      <c r="G1440" s="26">
        <v>0</v>
      </c>
      <c r="H1440" s="26">
        <v>92909.1</v>
      </c>
      <c r="I1440" s="26">
        <v>-92909.1</v>
      </c>
      <c r="J1440" s="26">
        <v>0</v>
      </c>
      <c r="K1440" s="26">
        <v>-92909.1</v>
      </c>
      <c r="L1440" s="27">
        <v>0</v>
      </c>
    </row>
    <row r="1441" spans="1:12">
      <c r="A1441" s="24" t="s">
        <v>56</v>
      </c>
      <c r="B1441" s="24" t="s">
        <v>324</v>
      </c>
      <c r="C1441" s="25">
        <v>45962</v>
      </c>
      <c r="D1441" s="24" t="s">
        <v>2667</v>
      </c>
      <c r="E1441" s="26">
        <v>0</v>
      </c>
      <c r="F1441" s="26">
        <v>0</v>
      </c>
      <c r="G1441" s="26">
        <v>0</v>
      </c>
      <c r="H1441" s="26">
        <v>57165.82</v>
      </c>
      <c r="I1441" s="26">
        <v>-57165.82</v>
      </c>
      <c r="J1441" s="26">
        <v>0</v>
      </c>
      <c r="K1441" s="26">
        <v>-57165.82</v>
      </c>
      <c r="L1441" s="27">
        <v>0</v>
      </c>
    </row>
    <row r="1442" spans="1:12">
      <c r="A1442" s="24" t="s">
        <v>56</v>
      </c>
      <c r="B1442" s="24" t="s">
        <v>324</v>
      </c>
      <c r="C1442" s="25">
        <v>45992</v>
      </c>
      <c r="D1442" s="24" t="s">
        <v>2668</v>
      </c>
      <c r="E1442" s="26">
        <v>24689.87</v>
      </c>
      <c r="F1442" s="26">
        <v>0</v>
      </c>
      <c r="G1442" s="26">
        <v>24689.87</v>
      </c>
      <c r="H1442" s="26">
        <v>125147.69</v>
      </c>
      <c r="I1442" s="26">
        <v>-100457.82</v>
      </c>
      <c r="J1442" s="26">
        <v>0</v>
      </c>
      <c r="K1442" s="26">
        <v>-100457.82</v>
      </c>
      <c r="L1442" s="27">
        <v>-4.0687869154434599</v>
      </c>
    </row>
  </sheetData>
  <mergeCells count="1">
    <mergeCell ref="A1:L1"/>
  </mergeCells>
  <conditionalFormatting sqref="L3:L1442">
    <cfRule type="cellIs" dxfId="1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442"/>
  <sheetViews>
    <sheetView showGridLines="0" zoomScale="90" zoomScaleNormal="90" workbookViewId="0">
      <pane ySplit="2" topLeftCell="A1412" activePane="bottomLeft" state="frozen"/>
      <selection pane="bottomLeft" activeCell="B1448" sqref="B1448"/>
    </sheetView>
  </sheetViews>
  <sheetFormatPr baseColWidth="10" defaultColWidth="8.83203125" defaultRowHeight="15"/>
  <cols>
    <col min="1" max="1" width="13" customWidth="1"/>
    <col min="2" max="2" width="20" customWidth="1"/>
    <col min="3" max="3" width="12" customWidth="1"/>
    <col min="4" max="4" width="10" customWidth="1"/>
    <col min="5" max="13" width="18" customWidth="1"/>
  </cols>
  <sheetData>
    <row r="1" spans="1:13" ht="28" customHeight="1">
      <c r="A1" s="30" t="s">
        <v>2838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48">
      <c r="A2" s="23" t="s">
        <v>1</v>
      </c>
      <c r="B2" s="23" t="s">
        <v>309</v>
      </c>
      <c r="C2" s="23" t="s">
        <v>2825</v>
      </c>
      <c r="D2" s="23" t="s">
        <v>2686</v>
      </c>
      <c r="E2" s="23" t="s">
        <v>2839</v>
      </c>
      <c r="F2" s="23" t="s">
        <v>2840</v>
      </c>
      <c r="G2" s="23" t="s">
        <v>2841</v>
      </c>
      <c r="H2" s="23" t="s">
        <v>2842</v>
      </c>
      <c r="I2" s="23" t="s">
        <v>2843</v>
      </c>
      <c r="J2" s="23" t="s">
        <v>2844</v>
      </c>
      <c r="K2" s="23" t="s">
        <v>2845</v>
      </c>
      <c r="L2" s="23" t="s">
        <v>2846</v>
      </c>
      <c r="M2" s="23" t="s">
        <v>2847</v>
      </c>
    </row>
    <row r="3" spans="1:13">
      <c r="A3" s="24" t="s">
        <v>7</v>
      </c>
      <c r="B3" s="24" t="s">
        <v>318</v>
      </c>
      <c r="C3" s="25">
        <v>45658</v>
      </c>
      <c r="D3" s="24" t="s">
        <v>2657</v>
      </c>
      <c r="E3" s="26">
        <v>-7151</v>
      </c>
      <c r="F3" s="26">
        <v>0</v>
      </c>
      <c r="G3" s="26">
        <v>0</v>
      </c>
      <c r="H3" s="26">
        <v>-7151</v>
      </c>
      <c r="I3" s="26">
        <v>0</v>
      </c>
      <c r="J3" s="26">
        <v>0</v>
      </c>
      <c r="K3" s="26">
        <v>0</v>
      </c>
      <c r="L3" s="26">
        <v>-7151</v>
      </c>
      <c r="M3" s="26">
        <v>0</v>
      </c>
    </row>
    <row r="4" spans="1:13">
      <c r="A4" s="24" t="s">
        <v>7</v>
      </c>
      <c r="B4" s="24" t="s">
        <v>318</v>
      </c>
      <c r="C4" s="25">
        <v>45689</v>
      </c>
      <c r="D4" s="24" t="s">
        <v>2658</v>
      </c>
      <c r="E4" s="26">
        <v>-13516</v>
      </c>
      <c r="F4" s="26">
        <v>0</v>
      </c>
      <c r="G4" s="26">
        <v>0</v>
      </c>
      <c r="H4" s="26">
        <v>-13516</v>
      </c>
      <c r="I4" s="26">
        <v>0</v>
      </c>
      <c r="J4" s="26">
        <v>0</v>
      </c>
      <c r="K4" s="26">
        <v>0</v>
      </c>
      <c r="L4" s="26">
        <v>-13516</v>
      </c>
      <c r="M4" s="26">
        <v>0</v>
      </c>
    </row>
    <row r="5" spans="1:13">
      <c r="A5" s="24" t="s">
        <v>7</v>
      </c>
      <c r="B5" s="24" t="s">
        <v>318</v>
      </c>
      <c r="C5" s="25">
        <v>45717</v>
      </c>
      <c r="D5" s="24" t="s">
        <v>2659</v>
      </c>
      <c r="E5" s="26">
        <v>-19436</v>
      </c>
      <c r="F5" s="26">
        <v>0</v>
      </c>
      <c r="G5" s="26">
        <v>0</v>
      </c>
      <c r="H5" s="26">
        <v>-19436</v>
      </c>
      <c r="I5" s="26">
        <v>0</v>
      </c>
      <c r="J5" s="26">
        <v>0</v>
      </c>
      <c r="K5" s="26">
        <v>0</v>
      </c>
      <c r="L5" s="26">
        <v>-19436</v>
      </c>
      <c r="M5" s="26">
        <v>0</v>
      </c>
    </row>
    <row r="6" spans="1:13">
      <c r="A6" s="24" t="s">
        <v>7</v>
      </c>
      <c r="B6" s="24" t="s">
        <v>318</v>
      </c>
      <c r="C6" s="25">
        <v>45748</v>
      </c>
      <c r="D6" s="24" t="s">
        <v>2660</v>
      </c>
      <c r="E6" s="26">
        <v>-31231</v>
      </c>
      <c r="F6" s="26">
        <v>0</v>
      </c>
      <c r="G6" s="26">
        <v>0</v>
      </c>
      <c r="H6" s="26">
        <v>-31231</v>
      </c>
      <c r="I6" s="26">
        <v>0</v>
      </c>
      <c r="J6" s="26">
        <v>0</v>
      </c>
      <c r="K6" s="26">
        <v>0</v>
      </c>
      <c r="L6" s="26">
        <v>-31231</v>
      </c>
      <c r="M6" s="26">
        <v>0</v>
      </c>
    </row>
    <row r="7" spans="1:13">
      <c r="A7" s="24" t="s">
        <v>7</v>
      </c>
      <c r="B7" s="24" t="s">
        <v>318</v>
      </c>
      <c r="C7" s="25">
        <v>45778</v>
      </c>
      <c r="D7" s="24" t="s">
        <v>2661</v>
      </c>
      <c r="E7" s="26">
        <v>-44605</v>
      </c>
      <c r="F7" s="26">
        <v>0</v>
      </c>
      <c r="G7" s="26">
        <v>0</v>
      </c>
      <c r="H7" s="26">
        <v>-44605</v>
      </c>
      <c r="I7" s="26">
        <v>0</v>
      </c>
      <c r="J7" s="26">
        <v>0</v>
      </c>
      <c r="K7" s="26">
        <v>0</v>
      </c>
      <c r="L7" s="26">
        <v>-44605</v>
      </c>
      <c r="M7" s="26">
        <v>0</v>
      </c>
    </row>
    <row r="8" spans="1:13">
      <c r="A8" s="24" t="s">
        <v>7</v>
      </c>
      <c r="B8" s="24" t="s">
        <v>318</v>
      </c>
      <c r="C8" s="25">
        <v>45809</v>
      </c>
      <c r="D8" s="24" t="s">
        <v>2662</v>
      </c>
      <c r="E8" s="26">
        <v>-67270</v>
      </c>
      <c r="F8" s="26">
        <v>0</v>
      </c>
      <c r="G8" s="26">
        <v>0</v>
      </c>
      <c r="H8" s="26">
        <v>-67270</v>
      </c>
      <c r="I8" s="26">
        <v>0</v>
      </c>
      <c r="J8" s="26">
        <v>0</v>
      </c>
      <c r="K8" s="26">
        <v>0</v>
      </c>
      <c r="L8" s="26">
        <v>-67270</v>
      </c>
      <c r="M8" s="26">
        <v>0</v>
      </c>
    </row>
    <row r="9" spans="1:13">
      <c r="A9" s="24" t="s">
        <v>7</v>
      </c>
      <c r="B9" s="24" t="s">
        <v>318</v>
      </c>
      <c r="C9" s="25">
        <v>45839</v>
      </c>
      <c r="D9" s="24" t="s">
        <v>2663</v>
      </c>
      <c r="E9" s="26">
        <v>-83665</v>
      </c>
      <c r="F9" s="26">
        <v>0</v>
      </c>
      <c r="G9" s="26">
        <v>17207.919999999998</v>
      </c>
      <c r="H9" s="26">
        <v>-66457.08</v>
      </c>
      <c r="I9" s="26">
        <v>0</v>
      </c>
      <c r="J9" s="26">
        <v>0</v>
      </c>
      <c r="K9" s="26">
        <v>0</v>
      </c>
      <c r="L9" s="26">
        <v>-66457.08</v>
      </c>
      <c r="M9" s="26">
        <v>0</v>
      </c>
    </row>
    <row r="10" spans="1:13">
      <c r="A10" s="24" t="s">
        <v>7</v>
      </c>
      <c r="B10" s="24" t="s">
        <v>318</v>
      </c>
      <c r="C10" s="25">
        <v>45870</v>
      </c>
      <c r="D10" s="24" t="s">
        <v>2664</v>
      </c>
      <c r="E10" s="26">
        <v>-103074</v>
      </c>
      <c r="F10" s="26">
        <v>0</v>
      </c>
      <c r="G10" s="26">
        <v>31182.74</v>
      </c>
      <c r="H10" s="26">
        <v>-71891.260000000009</v>
      </c>
      <c r="I10" s="26">
        <v>0</v>
      </c>
      <c r="J10" s="26">
        <v>0</v>
      </c>
      <c r="K10" s="26">
        <v>0</v>
      </c>
      <c r="L10" s="26">
        <v>-71891.260000000009</v>
      </c>
      <c r="M10" s="26">
        <v>0</v>
      </c>
    </row>
    <row r="11" spans="1:13">
      <c r="A11" s="24" t="s">
        <v>7</v>
      </c>
      <c r="B11" s="24" t="s">
        <v>318</v>
      </c>
      <c r="C11" s="25">
        <v>45901</v>
      </c>
      <c r="D11" s="24" t="s">
        <v>2665</v>
      </c>
      <c r="E11" s="26">
        <v>-125946</v>
      </c>
      <c r="F11" s="26">
        <v>0</v>
      </c>
      <c r="G11" s="26">
        <v>31182.74</v>
      </c>
      <c r="H11" s="26">
        <v>-94763.260000000009</v>
      </c>
      <c r="I11" s="26">
        <v>0</v>
      </c>
      <c r="J11" s="26">
        <v>573167.93000000005</v>
      </c>
      <c r="K11" s="26">
        <v>573167.93000000005</v>
      </c>
      <c r="L11" s="26">
        <v>-94763.260000000009</v>
      </c>
      <c r="M11" s="26">
        <v>-573167.93000000005</v>
      </c>
    </row>
    <row r="12" spans="1:13">
      <c r="A12" s="24" t="s">
        <v>7</v>
      </c>
      <c r="B12" s="24" t="s">
        <v>318</v>
      </c>
      <c r="C12" s="25">
        <v>45931</v>
      </c>
      <c r="D12" s="24" t="s">
        <v>2666</v>
      </c>
      <c r="E12" s="26">
        <v>-142897</v>
      </c>
      <c r="F12" s="26">
        <v>0</v>
      </c>
      <c r="G12" s="26">
        <v>31182.74</v>
      </c>
      <c r="H12" s="26">
        <v>-111714.26</v>
      </c>
      <c r="I12" s="26">
        <v>0</v>
      </c>
      <c r="J12" s="26">
        <v>573167.93000000005</v>
      </c>
      <c r="K12" s="26">
        <v>573167.93000000005</v>
      </c>
      <c r="L12" s="26">
        <v>-111714.26</v>
      </c>
      <c r="M12" s="26">
        <v>-573167.93000000005</v>
      </c>
    </row>
    <row r="13" spans="1:13">
      <c r="A13" s="24" t="s">
        <v>7</v>
      </c>
      <c r="B13" s="24" t="s">
        <v>318</v>
      </c>
      <c r="C13" s="25">
        <v>45962</v>
      </c>
      <c r="D13" s="24" t="s">
        <v>2667</v>
      </c>
      <c r="E13" s="26">
        <v>-246344.71</v>
      </c>
      <c r="F13" s="26">
        <v>0</v>
      </c>
      <c r="G13" s="26">
        <v>56788.62</v>
      </c>
      <c r="H13" s="26">
        <v>-189556.09</v>
      </c>
      <c r="I13" s="26">
        <v>79491.710000000006</v>
      </c>
      <c r="J13" s="26">
        <v>547562.05000000005</v>
      </c>
      <c r="K13" s="26">
        <v>627053.76</v>
      </c>
      <c r="L13" s="26">
        <v>-189556.09</v>
      </c>
      <c r="M13" s="26">
        <v>-627053.76</v>
      </c>
    </row>
    <row r="14" spans="1:13">
      <c r="A14" s="24" t="s">
        <v>7</v>
      </c>
      <c r="B14" s="24" t="s">
        <v>318</v>
      </c>
      <c r="C14" s="25">
        <v>45992</v>
      </c>
      <c r="D14" s="24" t="s">
        <v>2668</v>
      </c>
      <c r="E14" s="26">
        <v>-381864.65</v>
      </c>
      <c r="F14" s="26">
        <v>0</v>
      </c>
      <c r="G14" s="26">
        <v>67649.87999999999</v>
      </c>
      <c r="H14" s="26">
        <v>-314214.77</v>
      </c>
      <c r="I14" s="26">
        <v>79491.710000000006</v>
      </c>
      <c r="J14" s="26">
        <v>536700.79</v>
      </c>
      <c r="K14" s="26">
        <v>616192.5</v>
      </c>
      <c r="L14" s="26">
        <v>-314214.77</v>
      </c>
      <c r="M14" s="26">
        <v>-616192.5</v>
      </c>
    </row>
    <row r="15" spans="1:13">
      <c r="A15" s="24" t="s">
        <v>97</v>
      </c>
      <c r="B15" s="24" t="s">
        <v>324</v>
      </c>
      <c r="C15" s="25">
        <v>45658</v>
      </c>
      <c r="D15" s="24" t="s">
        <v>2657</v>
      </c>
      <c r="E15" s="26">
        <v>-10217</v>
      </c>
      <c r="F15" s="26">
        <v>0</v>
      </c>
      <c r="G15" s="26">
        <v>0</v>
      </c>
      <c r="H15" s="26">
        <v>-10217</v>
      </c>
      <c r="I15" s="26">
        <v>0</v>
      </c>
      <c r="J15" s="26">
        <v>0</v>
      </c>
      <c r="K15" s="26">
        <v>0</v>
      </c>
      <c r="L15" s="26">
        <v>-10217</v>
      </c>
      <c r="M15" s="26">
        <v>0</v>
      </c>
    </row>
    <row r="16" spans="1:13">
      <c r="A16" s="24" t="s">
        <v>97</v>
      </c>
      <c r="B16" s="24" t="s">
        <v>324</v>
      </c>
      <c r="C16" s="25">
        <v>45689</v>
      </c>
      <c r="D16" s="24" t="s">
        <v>2658</v>
      </c>
      <c r="E16" s="26">
        <v>-19870</v>
      </c>
      <c r="F16" s="26">
        <v>0</v>
      </c>
      <c r="G16" s="26">
        <v>0</v>
      </c>
      <c r="H16" s="26">
        <v>-19870</v>
      </c>
      <c r="I16" s="26">
        <v>0</v>
      </c>
      <c r="J16" s="26">
        <v>0</v>
      </c>
      <c r="K16" s="26">
        <v>0</v>
      </c>
      <c r="L16" s="26">
        <v>-19870</v>
      </c>
      <c r="M16" s="26">
        <v>0</v>
      </c>
    </row>
    <row r="17" spans="1:13">
      <c r="A17" s="24" t="s">
        <v>97</v>
      </c>
      <c r="B17" s="24" t="s">
        <v>324</v>
      </c>
      <c r="C17" s="25">
        <v>45717</v>
      </c>
      <c r="D17" s="24" t="s">
        <v>2659</v>
      </c>
      <c r="E17" s="26">
        <v>-40663</v>
      </c>
      <c r="F17" s="26">
        <v>0</v>
      </c>
      <c r="G17" s="26">
        <v>0</v>
      </c>
      <c r="H17" s="26">
        <v>-40663</v>
      </c>
      <c r="I17" s="26">
        <v>0</v>
      </c>
      <c r="J17" s="26">
        <v>0</v>
      </c>
      <c r="K17" s="26">
        <v>0</v>
      </c>
      <c r="L17" s="26">
        <v>-40663</v>
      </c>
      <c r="M17" s="26">
        <v>0</v>
      </c>
    </row>
    <row r="18" spans="1:13">
      <c r="A18" s="24" t="s">
        <v>97</v>
      </c>
      <c r="B18" s="24" t="s">
        <v>324</v>
      </c>
      <c r="C18" s="25">
        <v>45748</v>
      </c>
      <c r="D18" s="24" t="s">
        <v>2660</v>
      </c>
      <c r="E18" s="26">
        <v>-47082</v>
      </c>
      <c r="F18" s="26">
        <v>0</v>
      </c>
      <c r="G18" s="26">
        <v>0</v>
      </c>
      <c r="H18" s="26">
        <v>-47082</v>
      </c>
      <c r="I18" s="26">
        <v>0</v>
      </c>
      <c r="J18" s="26">
        <v>0</v>
      </c>
      <c r="K18" s="26">
        <v>0</v>
      </c>
      <c r="L18" s="26">
        <v>-47082</v>
      </c>
      <c r="M18" s="26">
        <v>0</v>
      </c>
    </row>
    <row r="19" spans="1:13">
      <c r="A19" s="24" t="s">
        <v>97</v>
      </c>
      <c r="B19" s="24" t="s">
        <v>324</v>
      </c>
      <c r="C19" s="25">
        <v>45778</v>
      </c>
      <c r="D19" s="24" t="s">
        <v>2661</v>
      </c>
      <c r="E19" s="26">
        <v>-62903</v>
      </c>
      <c r="F19" s="26">
        <v>0</v>
      </c>
      <c r="G19" s="26">
        <v>0</v>
      </c>
      <c r="H19" s="26">
        <v>-62903</v>
      </c>
      <c r="I19" s="26">
        <v>0</v>
      </c>
      <c r="J19" s="26">
        <v>0</v>
      </c>
      <c r="K19" s="26">
        <v>0</v>
      </c>
      <c r="L19" s="26">
        <v>-62903</v>
      </c>
      <c r="M19" s="26">
        <v>0</v>
      </c>
    </row>
    <row r="20" spans="1:13">
      <c r="A20" s="24" t="s">
        <v>97</v>
      </c>
      <c r="B20" s="24" t="s">
        <v>324</v>
      </c>
      <c r="C20" s="25">
        <v>45809</v>
      </c>
      <c r="D20" s="24" t="s">
        <v>2662</v>
      </c>
      <c r="E20" s="26">
        <v>-76674</v>
      </c>
      <c r="F20" s="26">
        <v>0</v>
      </c>
      <c r="G20" s="26">
        <v>0</v>
      </c>
      <c r="H20" s="26">
        <v>-76674</v>
      </c>
      <c r="I20" s="26">
        <v>0</v>
      </c>
      <c r="J20" s="26">
        <v>0</v>
      </c>
      <c r="K20" s="26">
        <v>0</v>
      </c>
      <c r="L20" s="26">
        <v>-76674</v>
      </c>
      <c r="M20" s="26">
        <v>0</v>
      </c>
    </row>
    <row r="21" spans="1:13">
      <c r="A21" s="24" t="s">
        <v>97</v>
      </c>
      <c r="B21" s="24" t="s">
        <v>324</v>
      </c>
      <c r="C21" s="25">
        <v>45839</v>
      </c>
      <c r="D21" s="24" t="s">
        <v>2663</v>
      </c>
      <c r="E21" s="26">
        <v>-99632</v>
      </c>
      <c r="F21" s="26">
        <v>0</v>
      </c>
      <c r="G21" s="26">
        <v>0</v>
      </c>
      <c r="H21" s="26">
        <v>-99632</v>
      </c>
      <c r="I21" s="26">
        <v>0</v>
      </c>
      <c r="J21" s="26">
        <v>0</v>
      </c>
      <c r="K21" s="26">
        <v>0</v>
      </c>
      <c r="L21" s="26">
        <v>-99632</v>
      </c>
      <c r="M21" s="26">
        <v>0</v>
      </c>
    </row>
    <row r="22" spans="1:13">
      <c r="A22" s="24" t="s">
        <v>97</v>
      </c>
      <c r="B22" s="24" t="s">
        <v>324</v>
      </c>
      <c r="C22" s="25">
        <v>45870</v>
      </c>
      <c r="D22" s="24" t="s">
        <v>2664</v>
      </c>
      <c r="E22" s="26">
        <v>-197306.38</v>
      </c>
      <c r="F22" s="26">
        <v>0</v>
      </c>
      <c r="G22" s="26">
        <v>0</v>
      </c>
      <c r="H22" s="26">
        <v>-197306.38</v>
      </c>
      <c r="I22" s="26">
        <v>0</v>
      </c>
      <c r="J22" s="26">
        <v>141594.21</v>
      </c>
      <c r="K22" s="26">
        <v>141594.21</v>
      </c>
      <c r="L22" s="26">
        <v>-197306.38</v>
      </c>
      <c r="M22" s="26">
        <v>-141594.21</v>
      </c>
    </row>
    <row r="23" spans="1:13">
      <c r="A23" s="24" t="s">
        <v>97</v>
      </c>
      <c r="B23" s="24" t="s">
        <v>324</v>
      </c>
      <c r="C23" s="25">
        <v>45901</v>
      </c>
      <c r="D23" s="24" t="s">
        <v>2665</v>
      </c>
      <c r="E23" s="26">
        <v>-208938.38</v>
      </c>
      <c r="F23" s="26">
        <v>0</v>
      </c>
      <c r="G23" s="26">
        <v>0</v>
      </c>
      <c r="H23" s="26">
        <v>-208938.38</v>
      </c>
      <c r="I23" s="26">
        <v>0</v>
      </c>
      <c r="J23" s="26">
        <v>141594.21</v>
      </c>
      <c r="K23" s="26">
        <v>141594.21</v>
      </c>
      <c r="L23" s="26">
        <v>-208938.38</v>
      </c>
      <c r="M23" s="26">
        <v>-141594.21</v>
      </c>
    </row>
    <row r="24" spans="1:13">
      <c r="A24" s="24" t="s">
        <v>97</v>
      </c>
      <c r="B24" s="24" t="s">
        <v>324</v>
      </c>
      <c r="C24" s="25">
        <v>45931</v>
      </c>
      <c r="D24" s="24" t="s">
        <v>2666</v>
      </c>
      <c r="E24" s="26">
        <v>-230827.38</v>
      </c>
      <c r="F24" s="26">
        <v>0</v>
      </c>
      <c r="G24" s="26">
        <v>0</v>
      </c>
      <c r="H24" s="26">
        <v>-230827.38</v>
      </c>
      <c r="I24" s="26">
        <v>0</v>
      </c>
      <c r="J24" s="26">
        <v>141594.21</v>
      </c>
      <c r="K24" s="26">
        <v>141594.21</v>
      </c>
      <c r="L24" s="26">
        <v>-230827.38</v>
      </c>
      <c r="M24" s="26">
        <v>-141594.21</v>
      </c>
    </row>
    <row r="25" spans="1:13">
      <c r="A25" s="24" t="s">
        <v>97</v>
      </c>
      <c r="B25" s="24" t="s">
        <v>324</v>
      </c>
      <c r="C25" s="25">
        <v>45962</v>
      </c>
      <c r="D25" s="24" t="s">
        <v>2667</v>
      </c>
      <c r="E25" s="26">
        <v>-240990.38</v>
      </c>
      <c r="F25" s="26">
        <v>0</v>
      </c>
      <c r="G25" s="26">
        <v>0</v>
      </c>
      <c r="H25" s="26">
        <v>-240990.38</v>
      </c>
      <c r="I25" s="26">
        <v>0</v>
      </c>
      <c r="J25" s="26">
        <v>141594.21</v>
      </c>
      <c r="K25" s="26">
        <v>141594.21</v>
      </c>
      <c r="L25" s="26">
        <v>-240990.38</v>
      </c>
      <c r="M25" s="26">
        <v>-141594.21</v>
      </c>
    </row>
    <row r="26" spans="1:13">
      <c r="A26" s="24" t="s">
        <v>97</v>
      </c>
      <c r="B26" s="24" t="s">
        <v>324</v>
      </c>
      <c r="C26" s="25">
        <v>45992</v>
      </c>
      <c r="D26" s="24" t="s">
        <v>2668</v>
      </c>
      <c r="E26" s="26">
        <v>-312225.43</v>
      </c>
      <c r="F26" s="26">
        <v>0</v>
      </c>
      <c r="G26" s="26">
        <v>0</v>
      </c>
      <c r="H26" s="26">
        <v>-312225.43</v>
      </c>
      <c r="I26" s="26">
        <v>50540.05</v>
      </c>
      <c r="J26" s="26">
        <v>141594.21</v>
      </c>
      <c r="K26" s="26">
        <v>192134.26</v>
      </c>
      <c r="L26" s="26">
        <v>-312225.43</v>
      </c>
      <c r="M26" s="26">
        <v>-192134.26</v>
      </c>
    </row>
    <row r="27" spans="1:13">
      <c r="A27" s="24" t="s">
        <v>116</v>
      </c>
      <c r="B27" s="24" t="s">
        <v>329</v>
      </c>
      <c r="C27" s="25">
        <v>45658</v>
      </c>
      <c r="D27" s="24" t="s">
        <v>2657</v>
      </c>
      <c r="E27" s="26">
        <v>-19090</v>
      </c>
      <c r="F27" s="26">
        <v>0</v>
      </c>
      <c r="G27" s="26">
        <v>0</v>
      </c>
      <c r="H27" s="26">
        <v>-19090</v>
      </c>
      <c r="I27" s="26">
        <v>0</v>
      </c>
      <c r="J27" s="26">
        <v>0</v>
      </c>
      <c r="K27" s="26">
        <v>0</v>
      </c>
      <c r="L27" s="26">
        <v>-19090</v>
      </c>
      <c r="M27" s="26">
        <v>0</v>
      </c>
    </row>
    <row r="28" spans="1:13">
      <c r="A28" s="24" t="s">
        <v>116</v>
      </c>
      <c r="B28" s="24" t="s">
        <v>329</v>
      </c>
      <c r="C28" s="25">
        <v>45689</v>
      </c>
      <c r="D28" s="24" t="s">
        <v>2658</v>
      </c>
      <c r="E28" s="26">
        <v>-31363</v>
      </c>
      <c r="F28" s="26">
        <v>0</v>
      </c>
      <c r="G28" s="26">
        <v>0</v>
      </c>
      <c r="H28" s="26">
        <v>-31363</v>
      </c>
      <c r="I28" s="26">
        <v>0</v>
      </c>
      <c r="J28" s="26">
        <v>0</v>
      </c>
      <c r="K28" s="26">
        <v>0</v>
      </c>
      <c r="L28" s="26">
        <v>-31363</v>
      </c>
      <c r="M28" s="26">
        <v>0</v>
      </c>
    </row>
    <row r="29" spans="1:13">
      <c r="A29" s="24" t="s">
        <v>116</v>
      </c>
      <c r="B29" s="24" t="s">
        <v>329</v>
      </c>
      <c r="C29" s="25">
        <v>45717</v>
      </c>
      <c r="D29" s="24" t="s">
        <v>2659</v>
      </c>
      <c r="E29" s="26">
        <v>-38644</v>
      </c>
      <c r="F29" s="26">
        <v>0</v>
      </c>
      <c r="G29" s="26">
        <v>0</v>
      </c>
      <c r="H29" s="26">
        <v>-38644</v>
      </c>
      <c r="I29" s="26">
        <v>0</v>
      </c>
      <c r="J29" s="26">
        <v>0</v>
      </c>
      <c r="K29" s="26">
        <v>0</v>
      </c>
      <c r="L29" s="26">
        <v>-38644</v>
      </c>
      <c r="M29" s="26">
        <v>0</v>
      </c>
    </row>
    <row r="30" spans="1:13">
      <c r="A30" s="24" t="s">
        <v>116</v>
      </c>
      <c r="B30" s="24" t="s">
        <v>329</v>
      </c>
      <c r="C30" s="25">
        <v>45748</v>
      </c>
      <c r="D30" s="24" t="s">
        <v>2660</v>
      </c>
      <c r="E30" s="26">
        <v>-45650</v>
      </c>
      <c r="F30" s="26">
        <v>0</v>
      </c>
      <c r="G30" s="26">
        <v>0</v>
      </c>
      <c r="H30" s="26">
        <v>-45650</v>
      </c>
      <c r="I30" s="26">
        <v>0</v>
      </c>
      <c r="J30" s="26">
        <v>0</v>
      </c>
      <c r="K30" s="26">
        <v>0</v>
      </c>
      <c r="L30" s="26">
        <v>-45650</v>
      </c>
      <c r="M30" s="26">
        <v>0</v>
      </c>
    </row>
    <row r="31" spans="1:13">
      <c r="A31" s="24" t="s">
        <v>116</v>
      </c>
      <c r="B31" s="24" t="s">
        <v>329</v>
      </c>
      <c r="C31" s="25">
        <v>45778</v>
      </c>
      <c r="D31" s="24" t="s">
        <v>2661</v>
      </c>
      <c r="E31" s="26">
        <v>-54771</v>
      </c>
      <c r="F31" s="26">
        <v>0</v>
      </c>
      <c r="G31" s="26">
        <v>0</v>
      </c>
      <c r="H31" s="26">
        <v>-54771</v>
      </c>
      <c r="I31" s="26">
        <v>0</v>
      </c>
      <c r="J31" s="26">
        <v>0</v>
      </c>
      <c r="K31" s="26">
        <v>0</v>
      </c>
      <c r="L31" s="26">
        <v>-54771</v>
      </c>
      <c r="M31" s="26">
        <v>0</v>
      </c>
    </row>
    <row r="32" spans="1:13">
      <c r="A32" s="24" t="s">
        <v>116</v>
      </c>
      <c r="B32" s="24" t="s">
        <v>329</v>
      </c>
      <c r="C32" s="25">
        <v>45809</v>
      </c>
      <c r="D32" s="24" t="s">
        <v>2662</v>
      </c>
      <c r="E32" s="26">
        <v>-69595</v>
      </c>
      <c r="F32" s="26">
        <v>0</v>
      </c>
      <c r="G32" s="26">
        <v>0</v>
      </c>
      <c r="H32" s="26">
        <v>-69595</v>
      </c>
      <c r="I32" s="26">
        <v>0</v>
      </c>
      <c r="J32" s="26">
        <v>0</v>
      </c>
      <c r="K32" s="26">
        <v>0</v>
      </c>
      <c r="L32" s="26">
        <v>-69595</v>
      </c>
      <c r="M32" s="26">
        <v>0</v>
      </c>
    </row>
    <row r="33" spans="1:13">
      <c r="A33" s="24" t="s">
        <v>116</v>
      </c>
      <c r="B33" s="24" t="s">
        <v>329</v>
      </c>
      <c r="C33" s="25">
        <v>45839</v>
      </c>
      <c r="D33" s="24" t="s">
        <v>2663</v>
      </c>
      <c r="E33" s="26">
        <v>-110213.36</v>
      </c>
      <c r="F33" s="26">
        <v>0</v>
      </c>
      <c r="G33" s="26">
        <v>0</v>
      </c>
      <c r="H33" s="26">
        <v>-110213.36</v>
      </c>
      <c r="I33" s="26">
        <v>0</v>
      </c>
      <c r="J33" s="26">
        <v>0</v>
      </c>
      <c r="K33" s="26">
        <v>0</v>
      </c>
      <c r="L33" s="26">
        <v>-110213.36</v>
      </c>
      <c r="M33" s="26">
        <v>0</v>
      </c>
    </row>
    <row r="34" spans="1:13">
      <c r="A34" s="24" t="s">
        <v>116</v>
      </c>
      <c r="B34" s="24" t="s">
        <v>329</v>
      </c>
      <c r="C34" s="25">
        <v>45870</v>
      </c>
      <c r="D34" s="24" t="s">
        <v>2664</v>
      </c>
      <c r="E34" s="26">
        <v>-133050.35999999999</v>
      </c>
      <c r="F34" s="26">
        <v>0</v>
      </c>
      <c r="G34" s="26">
        <v>0</v>
      </c>
      <c r="H34" s="26">
        <v>-133050.35999999999</v>
      </c>
      <c r="I34" s="26">
        <v>0</v>
      </c>
      <c r="J34" s="26">
        <v>0</v>
      </c>
      <c r="K34" s="26">
        <v>0</v>
      </c>
      <c r="L34" s="26">
        <v>-133050.35999999999</v>
      </c>
      <c r="M34" s="26">
        <v>0</v>
      </c>
    </row>
    <row r="35" spans="1:13">
      <c r="A35" s="24" t="s">
        <v>116</v>
      </c>
      <c r="B35" s="24" t="s">
        <v>329</v>
      </c>
      <c r="C35" s="25">
        <v>45901</v>
      </c>
      <c r="D35" s="24" t="s">
        <v>2665</v>
      </c>
      <c r="E35" s="26">
        <v>-144290.35999999999</v>
      </c>
      <c r="F35" s="26">
        <v>0</v>
      </c>
      <c r="G35" s="26">
        <v>44034.400000000001</v>
      </c>
      <c r="H35" s="26">
        <v>-100255.96</v>
      </c>
      <c r="I35" s="26">
        <v>0</v>
      </c>
      <c r="J35" s="26">
        <v>0</v>
      </c>
      <c r="K35" s="26">
        <v>0</v>
      </c>
      <c r="L35" s="26">
        <v>-100255.96</v>
      </c>
      <c r="M35" s="26">
        <v>0</v>
      </c>
    </row>
    <row r="36" spans="1:13">
      <c r="A36" s="24" t="s">
        <v>116</v>
      </c>
      <c r="B36" s="24" t="s">
        <v>329</v>
      </c>
      <c r="C36" s="25">
        <v>45931</v>
      </c>
      <c r="D36" s="24" t="s">
        <v>2666</v>
      </c>
      <c r="E36" s="26">
        <v>-281874.07</v>
      </c>
      <c r="F36" s="26">
        <v>0</v>
      </c>
      <c r="G36" s="26">
        <v>62776.4</v>
      </c>
      <c r="H36" s="26">
        <v>-219097.67</v>
      </c>
      <c r="I36" s="26">
        <v>114092.71</v>
      </c>
      <c r="J36" s="26">
        <v>0</v>
      </c>
      <c r="K36" s="26">
        <v>114092.71</v>
      </c>
      <c r="L36" s="26">
        <v>-219097.67</v>
      </c>
      <c r="M36" s="26">
        <v>-114092.71</v>
      </c>
    </row>
    <row r="37" spans="1:13">
      <c r="A37" s="24" t="s">
        <v>116</v>
      </c>
      <c r="B37" s="24" t="s">
        <v>329</v>
      </c>
      <c r="C37" s="25">
        <v>45962</v>
      </c>
      <c r="D37" s="24" t="s">
        <v>2667</v>
      </c>
      <c r="E37" s="26">
        <v>-287135.07</v>
      </c>
      <c r="F37" s="26">
        <v>0</v>
      </c>
      <c r="G37" s="26">
        <v>106890.3</v>
      </c>
      <c r="H37" s="26">
        <v>-180244.77</v>
      </c>
      <c r="I37" s="26">
        <v>114092.71</v>
      </c>
      <c r="J37" s="26">
        <v>0</v>
      </c>
      <c r="K37" s="26">
        <v>114092.71</v>
      </c>
      <c r="L37" s="26">
        <v>-180244.77</v>
      </c>
      <c r="M37" s="26">
        <v>-114092.71000000009</v>
      </c>
    </row>
    <row r="38" spans="1:13">
      <c r="A38" s="24" t="s">
        <v>116</v>
      </c>
      <c r="B38" s="24" t="s">
        <v>329</v>
      </c>
      <c r="C38" s="25">
        <v>45992</v>
      </c>
      <c r="D38" s="24" t="s">
        <v>2668</v>
      </c>
      <c r="E38" s="26">
        <v>-326772.94</v>
      </c>
      <c r="F38" s="26">
        <v>0</v>
      </c>
      <c r="G38" s="26">
        <v>135386.12</v>
      </c>
      <c r="H38" s="26">
        <v>-191386.82</v>
      </c>
      <c r="I38" s="26">
        <v>114092.71</v>
      </c>
      <c r="J38" s="26">
        <v>0</v>
      </c>
      <c r="K38" s="26">
        <v>114092.71</v>
      </c>
      <c r="L38" s="26">
        <v>-191386.82</v>
      </c>
      <c r="M38" s="26">
        <v>-114092.71000000009</v>
      </c>
    </row>
    <row r="39" spans="1:13">
      <c r="A39" s="24" t="s">
        <v>94</v>
      </c>
      <c r="B39" s="24" t="s">
        <v>318</v>
      </c>
      <c r="C39" s="25">
        <v>45658</v>
      </c>
      <c r="D39" s="24" t="s">
        <v>2657</v>
      </c>
      <c r="E39" s="26">
        <v>-10469</v>
      </c>
      <c r="F39" s="26">
        <v>0</v>
      </c>
      <c r="G39" s="26">
        <v>0</v>
      </c>
      <c r="H39" s="26">
        <v>-10469</v>
      </c>
      <c r="I39" s="26">
        <v>0</v>
      </c>
      <c r="J39" s="26">
        <v>0</v>
      </c>
      <c r="K39" s="26">
        <v>0</v>
      </c>
      <c r="L39" s="26">
        <v>-10469</v>
      </c>
      <c r="M39" s="26">
        <v>0</v>
      </c>
    </row>
    <row r="40" spans="1:13">
      <c r="A40" s="24" t="s">
        <v>94</v>
      </c>
      <c r="B40" s="24" t="s">
        <v>318</v>
      </c>
      <c r="C40" s="25">
        <v>45689</v>
      </c>
      <c r="D40" s="24" t="s">
        <v>2658</v>
      </c>
      <c r="E40" s="26">
        <v>-31037</v>
      </c>
      <c r="F40" s="26">
        <v>0</v>
      </c>
      <c r="G40" s="26">
        <v>0</v>
      </c>
      <c r="H40" s="26">
        <v>-31037</v>
      </c>
      <c r="I40" s="26">
        <v>0</v>
      </c>
      <c r="J40" s="26">
        <v>0</v>
      </c>
      <c r="K40" s="26">
        <v>0</v>
      </c>
      <c r="L40" s="26">
        <v>-31037</v>
      </c>
      <c r="M40" s="26">
        <v>0</v>
      </c>
    </row>
    <row r="41" spans="1:13">
      <c r="A41" s="24" t="s">
        <v>94</v>
      </c>
      <c r="B41" s="24" t="s">
        <v>318</v>
      </c>
      <c r="C41" s="25">
        <v>45717</v>
      </c>
      <c r="D41" s="24" t="s">
        <v>2659</v>
      </c>
      <c r="E41" s="26">
        <v>-39836</v>
      </c>
      <c r="F41" s="26">
        <v>0</v>
      </c>
      <c r="G41" s="26">
        <v>0</v>
      </c>
      <c r="H41" s="26">
        <v>-39836</v>
      </c>
      <c r="I41" s="26">
        <v>0</v>
      </c>
      <c r="J41" s="26">
        <v>0</v>
      </c>
      <c r="K41" s="26">
        <v>0</v>
      </c>
      <c r="L41" s="26">
        <v>-39836</v>
      </c>
      <c r="M41" s="26">
        <v>0</v>
      </c>
    </row>
    <row r="42" spans="1:13">
      <c r="A42" s="24" t="s">
        <v>94</v>
      </c>
      <c r="B42" s="24" t="s">
        <v>318</v>
      </c>
      <c r="C42" s="25">
        <v>45748</v>
      </c>
      <c r="D42" s="24" t="s">
        <v>2660</v>
      </c>
      <c r="E42" s="26">
        <v>-61261</v>
      </c>
      <c r="F42" s="26">
        <v>0</v>
      </c>
      <c r="G42" s="26">
        <v>0</v>
      </c>
      <c r="H42" s="26">
        <v>-61261</v>
      </c>
      <c r="I42" s="26">
        <v>0</v>
      </c>
      <c r="J42" s="26">
        <v>0</v>
      </c>
      <c r="K42" s="26">
        <v>0</v>
      </c>
      <c r="L42" s="26">
        <v>-61261</v>
      </c>
      <c r="M42" s="26">
        <v>0</v>
      </c>
    </row>
    <row r="43" spans="1:13">
      <c r="A43" s="24" t="s">
        <v>94</v>
      </c>
      <c r="B43" s="24" t="s">
        <v>318</v>
      </c>
      <c r="C43" s="25">
        <v>45778</v>
      </c>
      <c r="D43" s="24" t="s">
        <v>2661</v>
      </c>
      <c r="E43" s="26">
        <v>-76715</v>
      </c>
      <c r="F43" s="26">
        <v>0</v>
      </c>
      <c r="G43" s="26">
        <v>0</v>
      </c>
      <c r="H43" s="26">
        <v>-76715</v>
      </c>
      <c r="I43" s="26">
        <v>0</v>
      </c>
      <c r="J43" s="26">
        <v>0</v>
      </c>
      <c r="K43" s="26">
        <v>0</v>
      </c>
      <c r="L43" s="26">
        <v>-76715</v>
      </c>
      <c r="M43" s="26">
        <v>0</v>
      </c>
    </row>
    <row r="44" spans="1:13">
      <c r="A44" s="24" t="s">
        <v>94</v>
      </c>
      <c r="B44" s="24" t="s">
        <v>318</v>
      </c>
      <c r="C44" s="25">
        <v>45809</v>
      </c>
      <c r="D44" s="24" t="s">
        <v>2662</v>
      </c>
      <c r="E44" s="26">
        <v>-97467</v>
      </c>
      <c r="F44" s="26">
        <v>0</v>
      </c>
      <c r="G44" s="26">
        <v>0</v>
      </c>
      <c r="H44" s="26">
        <v>-97467</v>
      </c>
      <c r="I44" s="26">
        <v>0</v>
      </c>
      <c r="J44" s="26">
        <v>0</v>
      </c>
      <c r="K44" s="26">
        <v>0</v>
      </c>
      <c r="L44" s="26">
        <v>-97467</v>
      </c>
      <c r="M44" s="26">
        <v>0</v>
      </c>
    </row>
    <row r="45" spans="1:13">
      <c r="A45" s="24" t="s">
        <v>94</v>
      </c>
      <c r="B45" s="24" t="s">
        <v>318</v>
      </c>
      <c r="C45" s="25">
        <v>45839</v>
      </c>
      <c r="D45" s="24" t="s">
        <v>2663</v>
      </c>
      <c r="E45" s="26">
        <v>-115244</v>
      </c>
      <c r="F45" s="26">
        <v>0</v>
      </c>
      <c r="G45" s="26">
        <v>0</v>
      </c>
      <c r="H45" s="26">
        <v>-115244</v>
      </c>
      <c r="I45" s="26">
        <v>0</v>
      </c>
      <c r="J45" s="26">
        <v>0</v>
      </c>
      <c r="K45" s="26">
        <v>0</v>
      </c>
      <c r="L45" s="26">
        <v>-115244</v>
      </c>
      <c r="M45" s="26">
        <v>0</v>
      </c>
    </row>
    <row r="46" spans="1:13">
      <c r="A46" s="24" t="s">
        <v>94</v>
      </c>
      <c r="B46" s="24" t="s">
        <v>318</v>
      </c>
      <c r="C46" s="25">
        <v>45870</v>
      </c>
      <c r="D46" s="24" t="s">
        <v>2664</v>
      </c>
      <c r="E46" s="26">
        <v>-139988</v>
      </c>
      <c r="F46" s="26">
        <v>0</v>
      </c>
      <c r="G46" s="26">
        <v>0</v>
      </c>
      <c r="H46" s="26">
        <v>-139988</v>
      </c>
      <c r="I46" s="26">
        <v>0</v>
      </c>
      <c r="J46" s="26">
        <v>0</v>
      </c>
      <c r="K46" s="26">
        <v>0</v>
      </c>
      <c r="L46" s="26">
        <v>-139988</v>
      </c>
      <c r="M46" s="26">
        <v>0</v>
      </c>
    </row>
    <row r="47" spans="1:13">
      <c r="A47" s="24" t="s">
        <v>94</v>
      </c>
      <c r="B47" s="24" t="s">
        <v>318</v>
      </c>
      <c r="C47" s="25">
        <v>45901</v>
      </c>
      <c r="D47" s="24" t="s">
        <v>2665</v>
      </c>
      <c r="E47" s="26">
        <v>-159490</v>
      </c>
      <c r="F47" s="26">
        <v>0</v>
      </c>
      <c r="G47" s="26">
        <v>0</v>
      </c>
      <c r="H47" s="26">
        <v>-159490</v>
      </c>
      <c r="I47" s="26">
        <v>0</v>
      </c>
      <c r="J47" s="26">
        <v>0</v>
      </c>
      <c r="K47" s="26">
        <v>0</v>
      </c>
      <c r="L47" s="26">
        <v>-159490</v>
      </c>
      <c r="M47" s="26">
        <v>0</v>
      </c>
    </row>
    <row r="48" spans="1:13">
      <c r="A48" s="24" t="s">
        <v>94</v>
      </c>
      <c r="B48" s="24" t="s">
        <v>318</v>
      </c>
      <c r="C48" s="25">
        <v>45931</v>
      </c>
      <c r="D48" s="24" t="s">
        <v>2666</v>
      </c>
      <c r="E48" s="26">
        <v>-166888</v>
      </c>
      <c r="F48" s="26">
        <v>0</v>
      </c>
      <c r="G48" s="26">
        <v>0</v>
      </c>
      <c r="H48" s="26">
        <v>-166888</v>
      </c>
      <c r="I48" s="26">
        <v>0</v>
      </c>
      <c r="J48" s="26">
        <v>0</v>
      </c>
      <c r="K48" s="26">
        <v>0</v>
      </c>
      <c r="L48" s="26">
        <v>-166888</v>
      </c>
      <c r="M48" s="26">
        <v>0</v>
      </c>
    </row>
    <row r="49" spans="1:13">
      <c r="A49" s="24" t="s">
        <v>94</v>
      </c>
      <c r="B49" s="24" t="s">
        <v>318</v>
      </c>
      <c r="C49" s="25">
        <v>45962</v>
      </c>
      <c r="D49" s="24" t="s">
        <v>2667</v>
      </c>
      <c r="E49" s="26">
        <v>-282266.3</v>
      </c>
      <c r="F49" s="26">
        <v>0</v>
      </c>
      <c r="G49" s="26">
        <v>0</v>
      </c>
      <c r="H49" s="26">
        <v>-282266.3</v>
      </c>
      <c r="I49" s="26">
        <v>0</v>
      </c>
      <c r="J49" s="26">
        <v>0</v>
      </c>
      <c r="K49" s="26">
        <v>0</v>
      </c>
      <c r="L49" s="26">
        <v>-282266.3</v>
      </c>
      <c r="M49" s="26">
        <v>0</v>
      </c>
    </row>
    <row r="50" spans="1:13">
      <c r="A50" s="24" t="s">
        <v>94</v>
      </c>
      <c r="B50" s="24" t="s">
        <v>318</v>
      </c>
      <c r="C50" s="25">
        <v>45992</v>
      </c>
      <c r="D50" s="24" t="s">
        <v>2668</v>
      </c>
      <c r="E50" s="26">
        <v>-296397.3</v>
      </c>
      <c r="F50" s="26">
        <v>0</v>
      </c>
      <c r="G50" s="26">
        <v>0</v>
      </c>
      <c r="H50" s="26">
        <v>-296397.3</v>
      </c>
      <c r="I50" s="26">
        <v>0</v>
      </c>
      <c r="J50" s="26">
        <v>0</v>
      </c>
      <c r="K50" s="26">
        <v>0</v>
      </c>
      <c r="L50" s="26">
        <v>-296397.3</v>
      </c>
      <c r="M50" s="26">
        <v>0</v>
      </c>
    </row>
    <row r="51" spans="1:13">
      <c r="A51" s="24" t="s">
        <v>57</v>
      </c>
      <c r="B51" s="24" t="s">
        <v>329</v>
      </c>
      <c r="C51" s="25">
        <v>45658</v>
      </c>
      <c r="D51" s="24" t="s">
        <v>2657</v>
      </c>
      <c r="E51" s="26">
        <v>-14673</v>
      </c>
      <c r="F51" s="26">
        <v>0</v>
      </c>
      <c r="G51" s="26">
        <v>0</v>
      </c>
      <c r="H51" s="26">
        <v>-14673</v>
      </c>
      <c r="I51" s="26">
        <v>0</v>
      </c>
      <c r="J51" s="26">
        <v>0</v>
      </c>
      <c r="K51" s="26">
        <v>0</v>
      </c>
      <c r="L51" s="26">
        <v>-14673</v>
      </c>
      <c r="M51" s="26">
        <v>0</v>
      </c>
    </row>
    <row r="52" spans="1:13">
      <c r="A52" s="24" t="s">
        <v>57</v>
      </c>
      <c r="B52" s="24" t="s">
        <v>329</v>
      </c>
      <c r="C52" s="25">
        <v>45689</v>
      </c>
      <c r="D52" s="24" t="s">
        <v>2658</v>
      </c>
      <c r="E52" s="26">
        <v>-35691</v>
      </c>
      <c r="F52" s="26">
        <v>0</v>
      </c>
      <c r="G52" s="26">
        <v>0</v>
      </c>
      <c r="H52" s="26">
        <v>-35691</v>
      </c>
      <c r="I52" s="26">
        <v>0</v>
      </c>
      <c r="J52" s="26">
        <v>0</v>
      </c>
      <c r="K52" s="26">
        <v>0</v>
      </c>
      <c r="L52" s="26">
        <v>-35691</v>
      </c>
      <c r="M52" s="26">
        <v>0</v>
      </c>
    </row>
    <row r="53" spans="1:13">
      <c r="A53" s="24" t="s">
        <v>57</v>
      </c>
      <c r="B53" s="24" t="s">
        <v>329</v>
      </c>
      <c r="C53" s="25">
        <v>45717</v>
      </c>
      <c r="D53" s="24" t="s">
        <v>2659</v>
      </c>
      <c r="E53" s="26">
        <v>-42389</v>
      </c>
      <c r="F53" s="26">
        <v>0</v>
      </c>
      <c r="G53" s="26">
        <v>0</v>
      </c>
      <c r="H53" s="26">
        <v>-42389</v>
      </c>
      <c r="I53" s="26">
        <v>0</v>
      </c>
      <c r="J53" s="26">
        <v>0</v>
      </c>
      <c r="K53" s="26">
        <v>0</v>
      </c>
      <c r="L53" s="26">
        <v>-42389</v>
      </c>
      <c r="M53" s="26">
        <v>0</v>
      </c>
    </row>
    <row r="54" spans="1:13">
      <c r="A54" s="24" t="s">
        <v>57</v>
      </c>
      <c r="B54" s="24" t="s">
        <v>329</v>
      </c>
      <c r="C54" s="25">
        <v>45748</v>
      </c>
      <c r="D54" s="24" t="s">
        <v>2660</v>
      </c>
      <c r="E54" s="26">
        <v>-63229</v>
      </c>
      <c r="F54" s="26">
        <v>0</v>
      </c>
      <c r="G54" s="26">
        <v>0</v>
      </c>
      <c r="H54" s="26">
        <v>-63229</v>
      </c>
      <c r="I54" s="26">
        <v>0</v>
      </c>
      <c r="J54" s="26">
        <v>0</v>
      </c>
      <c r="K54" s="26">
        <v>0</v>
      </c>
      <c r="L54" s="26">
        <v>-63229</v>
      </c>
      <c r="M54" s="26">
        <v>0</v>
      </c>
    </row>
    <row r="55" spans="1:13">
      <c r="A55" s="24" t="s">
        <v>57</v>
      </c>
      <c r="B55" s="24" t="s">
        <v>329</v>
      </c>
      <c r="C55" s="25">
        <v>45778</v>
      </c>
      <c r="D55" s="24" t="s">
        <v>2661</v>
      </c>
      <c r="E55" s="26">
        <v>-82877</v>
      </c>
      <c r="F55" s="26">
        <v>0</v>
      </c>
      <c r="G55" s="26">
        <v>0</v>
      </c>
      <c r="H55" s="26">
        <v>-82877</v>
      </c>
      <c r="I55" s="26">
        <v>0</v>
      </c>
      <c r="J55" s="26">
        <v>0</v>
      </c>
      <c r="K55" s="26">
        <v>0</v>
      </c>
      <c r="L55" s="26">
        <v>-82877</v>
      </c>
      <c r="M55" s="26">
        <v>0</v>
      </c>
    </row>
    <row r="56" spans="1:13">
      <c r="A56" s="24" t="s">
        <v>57</v>
      </c>
      <c r="B56" s="24" t="s">
        <v>329</v>
      </c>
      <c r="C56" s="25">
        <v>45809</v>
      </c>
      <c r="D56" s="24" t="s">
        <v>2662</v>
      </c>
      <c r="E56" s="26">
        <v>-101875</v>
      </c>
      <c r="F56" s="26">
        <v>0</v>
      </c>
      <c r="G56" s="26">
        <v>0</v>
      </c>
      <c r="H56" s="26">
        <v>-101875</v>
      </c>
      <c r="I56" s="26">
        <v>0</v>
      </c>
      <c r="J56" s="26">
        <v>0</v>
      </c>
      <c r="K56" s="26">
        <v>0</v>
      </c>
      <c r="L56" s="26">
        <v>-101875</v>
      </c>
      <c r="M56" s="26">
        <v>0</v>
      </c>
    </row>
    <row r="57" spans="1:13">
      <c r="A57" s="24" t="s">
        <v>57</v>
      </c>
      <c r="B57" s="24" t="s">
        <v>329</v>
      </c>
      <c r="C57" s="25">
        <v>45839</v>
      </c>
      <c r="D57" s="24" t="s">
        <v>2663</v>
      </c>
      <c r="E57" s="26">
        <v>-125868</v>
      </c>
      <c r="F57" s="26">
        <v>0</v>
      </c>
      <c r="G57" s="26">
        <v>27009.85</v>
      </c>
      <c r="H57" s="26">
        <v>-98858.15</v>
      </c>
      <c r="I57" s="26">
        <v>0</v>
      </c>
      <c r="J57" s="26">
        <v>0</v>
      </c>
      <c r="K57" s="26">
        <v>0</v>
      </c>
      <c r="L57" s="26">
        <v>-98858.15</v>
      </c>
      <c r="M57" s="26">
        <v>0</v>
      </c>
    </row>
    <row r="58" spans="1:13">
      <c r="A58" s="24" t="s">
        <v>57</v>
      </c>
      <c r="B58" s="24" t="s">
        <v>329</v>
      </c>
      <c r="C58" s="25">
        <v>45870</v>
      </c>
      <c r="D58" s="24" t="s">
        <v>2664</v>
      </c>
      <c r="E58" s="26">
        <v>-146424</v>
      </c>
      <c r="F58" s="26">
        <v>0</v>
      </c>
      <c r="G58" s="26">
        <v>27009.85</v>
      </c>
      <c r="H58" s="26">
        <v>-119414.15</v>
      </c>
      <c r="I58" s="26">
        <v>0</v>
      </c>
      <c r="J58" s="26">
        <v>126688.38</v>
      </c>
      <c r="K58" s="26">
        <v>126688.38</v>
      </c>
      <c r="L58" s="26">
        <v>-119414.15</v>
      </c>
      <c r="M58" s="26">
        <v>-126688.38</v>
      </c>
    </row>
    <row r="59" spans="1:13">
      <c r="A59" s="24" t="s">
        <v>57</v>
      </c>
      <c r="B59" s="24" t="s">
        <v>329</v>
      </c>
      <c r="C59" s="25">
        <v>45901</v>
      </c>
      <c r="D59" s="24" t="s">
        <v>2665</v>
      </c>
      <c r="E59" s="26">
        <v>-265198.02</v>
      </c>
      <c r="F59" s="26">
        <v>0</v>
      </c>
      <c r="G59" s="26">
        <v>44047.34</v>
      </c>
      <c r="H59" s="26">
        <v>-221150.68</v>
      </c>
      <c r="I59" s="26">
        <v>0</v>
      </c>
      <c r="J59" s="26">
        <v>224064.36</v>
      </c>
      <c r="K59" s="26">
        <v>224064.36</v>
      </c>
      <c r="L59" s="26">
        <v>-221150.68</v>
      </c>
      <c r="M59" s="26">
        <v>-224064.36</v>
      </c>
    </row>
    <row r="60" spans="1:13">
      <c r="A60" s="24" t="s">
        <v>57</v>
      </c>
      <c r="B60" s="24" t="s">
        <v>329</v>
      </c>
      <c r="C60" s="25">
        <v>45931</v>
      </c>
      <c r="D60" s="24" t="s">
        <v>2666</v>
      </c>
      <c r="E60" s="26">
        <v>-284435.02</v>
      </c>
      <c r="F60" s="26">
        <v>96149.82</v>
      </c>
      <c r="G60" s="26">
        <v>0</v>
      </c>
      <c r="H60" s="26">
        <v>-188285.2</v>
      </c>
      <c r="I60" s="26">
        <v>0</v>
      </c>
      <c r="J60" s="26">
        <v>199318.39</v>
      </c>
      <c r="K60" s="26">
        <v>199318.39</v>
      </c>
      <c r="L60" s="26">
        <v>-215641.71</v>
      </c>
      <c r="M60" s="26">
        <v>-171961.88</v>
      </c>
    </row>
    <row r="61" spans="1:13">
      <c r="A61" s="24" t="s">
        <v>57</v>
      </c>
      <c r="B61" s="24" t="s">
        <v>329</v>
      </c>
      <c r="C61" s="25">
        <v>45962</v>
      </c>
      <c r="D61" s="24" t="s">
        <v>2667</v>
      </c>
      <c r="E61" s="26">
        <v>-417564.04</v>
      </c>
      <c r="F61" s="26">
        <v>96149.82</v>
      </c>
      <c r="G61" s="26">
        <v>0</v>
      </c>
      <c r="H61" s="26">
        <v>-321414.21999999997</v>
      </c>
      <c r="I61" s="26">
        <v>0</v>
      </c>
      <c r="J61" s="26">
        <v>199318.39</v>
      </c>
      <c r="K61" s="26">
        <v>199318.39</v>
      </c>
      <c r="L61" s="26">
        <v>-348770.73</v>
      </c>
      <c r="M61" s="26">
        <v>-171961.88000000009</v>
      </c>
    </row>
    <row r="62" spans="1:13">
      <c r="A62" s="24" t="s">
        <v>57</v>
      </c>
      <c r="B62" s="24" t="s">
        <v>329</v>
      </c>
      <c r="C62" s="25">
        <v>45992</v>
      </c>
      <c r="D62" s="24" t="s">
        <v>2668</v>
      </c>
      <c r="E62" s="26">
        <v>-520471.75000000012</v>
      </c>
      <c r="F62" s="26">
        <v>96149.82</v>
      </c>
      <c r="G62" s="26">
        <v>0</v>
      </c>
      <c r="H62" s="26">
        <v>-424321.93000000011</v>
      </c>
      <c r="I62" s="26">
        <v>0</v>
      </c>
      <c r="J62" s="26">
        <v>172688.54</v>
      </c>
      <c r="K62" s="26">
        <v>172688.54</v>
      </c>
      <c r="L62" s="26">
        <v>-425048.59</v>
      </c>
      <c r="M62" s="26">
        <v>-171961.88000000009</v>
      </c>
    </row>
    <row r="63" spans="1:13">
      <c r="A63" s="24" t="s">
        <v>273</v>
      </c>
      <c r="B63" s="24" t="s">
        <v>337</v>
      </c>
      <c r="C63" s="25">
        <v>45658</v>
      </c>
      <c r="D63" s="24" t="s">
        <v>2657</v>
      </c>
      <c r="E63" s="26">
        <v>-6333</v>
      </c>
      <c r="F63" s="26">
        <v>0</v>
      </c>
      <c r="G63" s="26">
        <v>0</v>
      </c>
      <c r="H63" s="26">
        <v>-6333</v>
      </c>
      <c r="I63" s="26">
        <v>0</v>
      </c>
      <c r="J63" s="26">
        <v>0</v>
      </c>
      <c r="K63" s="26">
        <v>0</v>
      </c>
      <c r="L63" s="26">
        <v>-6333</v>
      </c>
      <c r="M63" s="26">
        <v>0</v>
      </c>
    </row>
    <row r="64" spans="1:13">
      <c r="A64" s="24" t="s">
        <v>273</v>
      </c>
      <c r="B64" s="24" t="s">
        <v>337</v>
      </c>
      <c r="C64" s="25">
        <v>45689</v>
      </c>
      <c r="D64" s="24" t="s">
        <v>2658</v>
      </c>
      <c r="E64" s="26">
        <v>-23707</v>
      </c>
      <c r="F64" s="26">
        <v>0</v>
      </c>
      <c r="G64" s="26">
        <v>0</v>
      </c>
      <c r="H64" s="26">
        <v>-23707</v>
      </c>
      <c r="I64" s="26">
        <v>0</v>
      </c>
      <c r="J64" s="26">
        <v>0</v>
      </c>
      <c r="K64" s="26">
        <v>0</v>
      </c>
      <c r="L64" s="26">
        <v>-23707</v>
      </c>
      <c r="M64" s="26">
        <v>0</v>
      </c>
    </row>
    <row r="65" spans="1:13">
      <c r="A65" s="24" t="s">
        <v>273</v>
      </c>
      <c r="B65" s="24" t="s">
        <v>337</v>
      </c>
      <c r="C65" s="25">
        <v>45717</v>
      </c>
      <c r="D65" s="24" t="s">
        <v>2659</v>
      </c>
      <c r="E65" s="26">
        <v>-36392</v>
      </c>
      <c r="F65" s="26">
        <v>0</v>
      </c>
      <c r="G65" s="26">
        <v>0</v>
      </c>
      <c r="H65" s="26">
        <v>-36392</v>
      </c>
      <c r="I65" s="26">
        <v>0</v>
      </c>
      <c r="J65" s="26">
        <v>0</v>
      </c>
      <c r="K65" s="26">
        <v>0</v>
      </c>
      <c r="L65" s="26">
        <v>-36392</v>
      </c>
      <c r="M65" s="26">
        <v>0</v>
      </c>
    </row>
    <row r="66" spans="1:13">
      <c r="A66" s="24" t="s">
        <v>273</v>
      </c>
      <c r="B66" s="24" t="s">
        <v>337</v>
      </c>
      <c r="C66" s="25">
        <v>45748</v>
      </c>
      <c r="D66" s="24" t="s">
        <v>2660</v>
      </c>
      <c r="E66" s="26">
        <v>-50108</v>
      </c>
      <c r="F66" s="26">
        <v>0</v>
      </c>
      <c r="G66" s="26">
        <v>0</v>
      </c>
      <c r="H66" s="26">
        <v>-50108</v>
      </c>
      <c r="I66" s="26">
        <v>0</v>
      </c>
      <c r="J66" s="26">
        <v>0</v>
      </c>
      <c r="K66" s="26">
        <v>0</v>
      </c>
      <c r="L66" s="26">
        <v>-50108</v>
      </c>
      <c r="M66" s="26">
        <v>0</v>
      </c>
    </row>
    <row r="67" spans="1:13">
      <c r="A67" s="24" t="s">
        <v>273</v>
      </c>
      <c r="B67" s="24" t="s">
        <v>337</v>
      </c>
      <c r="C67" s="25">
        <v>45778</v>
      </c>
      <c r="D67" s="24" t="s">
        <v>2661</v>
      </c>
      <c r="E67" s="26">
        <v>-67122</v>
      </c>
      <c r="F67" s="26">
        <v>0</v>
      </c>
      <c r="G67" s="26">
        <v>0</v>
      </c>
      <c r="H67" s="26">
        <v>-67122</v>
      </c>
      <c r="I67" s="26">
        <v>0</v>
      </c>
      <c r="J67" s="26">
        <v>0</v>
      </c>
      <c r="K67" s="26">
        <v>0</v>
      </c>
      <c r="L67" s="26">
        <v>-67122</v>
      </c>
      <c r="M67" s="26">
        <v>0</v>
      </c>
    </row>
    <row r="68" spans="1:13">
      <c r="A68" s="24" t="s">
        <v>273</v>
      </c>
      <c r="B68" s="24" t="s">
        <v>337</v>
      </c>
      <c r="C68" s="25">
        <v>45809</v>
      </c>
      <c r="D68" s="24" t="s">
        <v>2662</v>
      </c>
      <c r="E68" s="26">
        <v>-81347</v>
      </c>
      <c r="F68" s="26">
        <v>0</v>
      </c>
      <c r="G68" s="26">
        <v>0</v>
      </c>
      <c r="H68" s="26">
        <v>-81347</v>
      </c>
      <c r="I68" s="26">
        <v>0</v>
      </c>
      <c r="J68" s="26">
        <v>0</v>
      </c>
      <c r="K68" s="26">
        <v>0</v>
      </c>
      <c r="L68" s="26">
        <v>-81347</v>
      </c>
      <c r="M68" s="26">
        <v>0</v>
      </c>
    </row>
    <row r="69" spans="1:13">
      <c r="A69" s="24" t="s">
        <v>273</v>
      </c>
      <c r="B69" s="24" t="s">
        <v>337</v>
      </c>
      <c r="C69" s="25">
        <v>45839</v>
      </c>
      <c r="D69" s="24" t="s">
        <v>2663</v>
      </c>
      <c r="E69" s="26">
        <v>-98794</v>
      </c>
      <c r="F69" s="26">
        <v>0</v>
      </c>
      <c r="G69" s="26">
        <v>0</v>
      </c>
      <c r="H69" s="26">
        <v>-98794</v>
      </c>
      <c r="I69" s="26">
        <v>0</v>
      </c>
      <c r="J69" s="26">
        <v>0</v>
      </c>
      <c r="K69" s="26">
        <v>0</v>
      </c>
      <c r="L69" s="26">
        <v>-98794</v>
      </c>
      <c r="M69" s="26">
        <v>0</v>
      </c>
    </row>
    <row r="70" spans="1:13">
      <c r="A70" s="24" t="s">
        <v>273</v>
      </c>
      <c r="B70" s="24" t="s">
        <v>337</v>
      </c>
      <c r="C70" s="25">
        <v>45870</v>
      </c>
      <c r="D70" s="24" t="s">
        <v>2664</v>
      </c>
      <c r="E70" s="26">
        <v>-155602.03</v>
      </c>
      <c r="F70" s="26">
        <v>209090.59</v>
      </c>
      <c r="G70" s="26">
        <v>0</v>
      </c>
      <c r="H70" s="26">
        <v>53488.56</v>
      </c>
      <c r="I70" s="26">
        <v>39864.03</v>
      </c>
      <c r="J70" s="26">
        <v>0</v>
      </c>
      <c r="K70" s="26">
        <v>39864.03</v>
      </c>
      <c r="L70" s="26">
        <v>-155602.03</v>
      </c>
      <c r="M70" s="26">
        <v>169226.56</v>
      </c>
    </row>
    <row r="71" spans="1:13">
      <c r="A71" s="24" t="s">
        <v>273</v>
      </c>
      <c r="B71" s="24" t="s">
        <v>337</v>
      </c>
      <c r="C71" s="25">
        <v>45901</v>
      </c>
      <c r="D71" s="24" t="s">
        <v>2665</v>
      </c>
      <c r="E71" s="26">
        <v>-175639.03</v>
      </c>
      <c r="F71" s="26">
        <v>209090.59</v>
      </c>
      <c r="G71" s="26">
        <v>0</v>
      </c>
      <c r="H71" s="26">
        <v>33451.56</v>
      </c>
      <c r="I71" s="26">
        <v>39864.03</v>
      </c>
      <c r="J71" s="26">
        <v>572333.85000000009</v>
      </c>
      <c r="K71" s="26">
        <v>612197.88000000012</v>
      </c>
      <c r="L71" s="26">
        <v>-175639.03</v>
      </c>
      <c r="M71" s="26">
        <v>-403107.29</v>
      </c>
    </row>
    <row r="72" spans="1:13">
      <c r="A72" s="24" t="s">
        <v>273</v>
      </c>
      <c r="B72" s="24" t="s">
        <v>337</v>
      </c>
      <c r="C72" s="25">
        <v>45931</v>
      </c>
      <c r="D72" s="24" t="s">
        <v>2666</v>
      </c>
      <c r="E72" s="26">
        <v>-243271.06</v>
      </c>
      <c r="F72" s="26">
        <v>209090.59</v>
      </c>
      <c r="G72" s="26">
        <v>0</v>
      </c>
      <c r="H72" s="26">
        <v>-34180.47</v>
      </c>
      <c r="I72" s="26">
        <v>39864.03</v>
      </c>
      <c r="J72" s="26">
        <v>572333.85000000009</v>
      </c>
      <c r="K72" s="26">
        <v>612197.88000000012</v>
      </c>
      <c r="L72" s="26">
        <v>-243271.06</v>
      </c>
      <c r="M72" s="26">
        <v>-403107.2900000001</v>
      </c>
    </row>
    <row r="73" spans="1:13">
      <c r="A73" s="24" t="s">
        <v>273</v>
      </c>
      <c r="B73" s="24" t="s">
        <v>337</v>
      </c>
      <c r="C73" s="25">
        <v>45962</v>
      </c>
      <c r="D73" s="24" t="s">
        <v>2667</v>
      </c>
      <c r="E73" s="26">
        <v>-324577.01</v>
      </c>
      <c r="F73" s="26">
        <v>209090.59</v>
      </c>
      <c r="G73" s="26">
        <v>0</v>
      </c>
      <c r="H73" s="26">
        <v>-115486.42</v>
      </c>
      <c r="I73" s="26">
        <v>39864.03</v>
      </c>
      <c r="J73" s="26">
        <v>572333.85000000009</v>
      </c>
      <c r="K73" s="26">
        <v>612197.88000000012</v>
      </c>
      <c r="L73" s="26">
        <v>-324577.01</v>
      </c>
      <c r="M73" s="26">
        <v>-403107.29000000021</v>
      </c>
    </row>
    <row r="74" spans="1:13">
      <c r="A74" s="24" t="s">
        <v>273</v>
      </c>
      <c r="B74" s="24" t="s">
        <v>337</v>
      </c>
      <c r="C74" s="25">
        <v>45992</v>
      </c>
      <c r="D74" s="24" t="s">
        <v>2668</v>
      </c>
      <c r="E74" s="26">
        <v>-338043.01</v>
      </c>
      <c r="F74" s="26">
        <v>209090.59</v>
      </c>
      <c r="G74" s="26">
        <v>0</v>
      </c>
      <c r="H74" s="26">
        <v>-128952.42</v>
      </c>
      <c r="I74" s="26">
        <v>39864.03</v>
      </c>
      <c r="J74" s="26">
        <v>572333.85000000009</v>
      </c>
      <c r="K74" s="26">
        <v>612197.88000000012</v>
      </c>
      <c r="L74" s="26">
        <v>-338043.01</v>
      </c>
      <c r="M74" s="26">
        <v>-403107.29000000021</v>
      </c>
    </row>
    <row r="75" spans="1:13">
      <c r="A75" s="24" t="s">
        <v>197</v>
      </c>
      <c r="B75" s="24" t="s">
        <v>337</v>
      </c>
      <c r="C75" s="25">
        <v>45658</v>
      </c>
      <c r="D75" s="24" t="s">
        <v>2657</v>
      </c>
      <c r="E75" s="26">
        <v>-5435</v>
      </c>
      <c r="F75" s="26">
        <v>0</v>
      </c>
      <c r="G75" s="26">
        <v>0</v>
      </c>
      <c r="H75" s="26">
        <v>-5435</v>
      </c>
      <c r="I75" s="26">
        <v>0</v>
      </c>
      <c r="J75" s="26">
        <v>0</v>
      </c>
      <c r="K75" s="26">
        <v>0</v>
      </c>
      <c r="L75" s="26">
        <v>-5435</v>
      </c>
      <c r="M75" s="26">
        <v>0</v>
      </c>
    </row>
    <row r="76" spans="1:13">
      <c r="A76" s="24" t="s">
        <v>197</v>
      </c>
      <c r="B76" s="24" t="s">
        <v>337</v>
      </c>
      <c r="C76" s="25">
        <v>45689</v>
      </c>
      <c r="D76" s="24" t="s">
        <v>2658</v>
      </c>
      <c r="E76" s="26">
        <v>-22291</v>
      </c>
      <c r="F76" s="26">
        <v>0</v>
      </c>
      <c r="G76" s="26">
        <v>0</v>
      </c>
      <c r="H76" s="26">
        <v>-22291</v>
      </c>
      <c r="I76" s="26">
        <v>0</v>
      </c>
      <c r="J76" s="26">
        <v>0</v>
      </c>
      <c r="K76" s="26">
        <v>0</v>
      </c>
      <c r="L76" s="26">
        <v>-22291</v>
      </c>
      <c r="M76" s="26">
        <v>0</v>
      </c>
    </row>
    <row r="77" spans="1:13">
      <c r="A77" s="24" t="s">
        <v>197</v>
      </c>
      <c r="B77" s="24" t="s">
        <v>337</v>
      </c>
      <c r="C77" s="25">
        <v>45717</v>
      </c>
      <c r="D77" s="24" t="s">
        <v>2659</v>
      </c>
      <c r="E77" s="26">
        <v>-42961</v>
      </c>
      <c r="F77" s="26">
        <v>0</v>
      </c>
      <c r="G77" s="26">
        <v>0</v>
      </c>
      <c r="H77" s="26">
        <v>-42961</v>
      </c>
      <c r="I77" s="26">
        <v>0</v>
      </c>
      <c r="J77" s="26">
        <v>0</v>
      </c>
      <c r="K77" s="26">
        <v>0</v>
      </c>
      <c r="L77" s="26">
        <v>-42961</v>
      </c>
      <c r="M77" s="26">
        <v>0</v>
      </c>
    </row>
    <row r="78" spans="1:13">
      <c r="A78" s="24" t="s">
        <v>197</v>
      </c>
      <c r="B78" s="24" t="s">
        <v>337</v>
      </c>
      <c r="C78" s="25">
        <v>45748</v>
      </c>
      <c r="D78" s="24" t="s">
        <v>2660</v>
      </c>
      <c r="E78" s="26">
        <v>-61767</v>
      </c>
      <c r="F78" s="26">
        <v>0</v>
      </c>
      <c r="G78" s="26">
        <v>0</v>
      </c>
      <c r="H78" s="26">
        <v>-61767</v>
      </c>
      <c r="I78" s="26">
        <v>0</v>
      </c>
      <c r="J78" s="26">
        <v>0</v>
      </c>
      <c r="K78" s="26">
        <v>0</v>
      </c>
      <c r="L78" s="26">
        <v>-61767</v>
      </c>
      <c r="M78" s="26">
        <v>0</v>
      </c>
    </row>
    <row r="79" spans="1:13">
      <c r="A79" s="24" t="s">
        <v>197</v>
      </c>
      <c r="B79" s="24" t="s">
        <v>337</v>
      </c>
      <c r="C79" s="25">
        <v>45778</v>
      </c>
      <c r="D79" s="24" t="s">
        <v>2661</v>
      </c>
      <c r="E79" s="26">
        <v>-70503</v>
      </c>
      <c r="F79" s="26">
        <v>0</v>
      </c>
      <c r="G79" s="26">
        <v>0</v>
      </c>
      <c r="H79" s="26">
        <v>-70503</v>
      </c>
      <c r="I79" s="26">
        <v>0</v>
      </c>
      <c r="J79" s="26">
        <v>0</v>
      </c>
      <c r="K79" s="26">
        <v>0</v>
      </c>
      <c r="L79" s="26">
        <v>-70503</v>
      </c>
      <c r="M79" s="26">
        <v>0</v>
      </c>
    </row>
    <row r="80" spans="1:13">
      <c r="A80" s="24" t="s">
        <v>197</v>
      </c>
      <c r="B80" s="24" t="s">
        <v>337</v>
      </c>
      <c r="C80" s="25">
        <v>45809</v>
      </c>
      <c r="D80" s="24" t="s">
        <v>2662</v>
      </c>
      <c r="E80" s="26">
        <v>-94729</v>
      </c>
      <c r="F80" s="26">
        <v>0</v>
      </c>
      <c r="G80" s="26">
        <v>0</v>
      </c>
      <c r="H80" s="26">
        <v>-94729</v>
      </c>
      <c r="I80" s="26">
        <v>0</v>
      </c>
      <c r="J80" s="26">
        <v>0</v>
      </c>
      <c r="K80" s="26">
        <v>0</v>
      </c>
      <c r="L80" s="26">
        <v>-94729</v>
      </c>
      <c r="M80" s="26">
        <v>0</v>
      </c>
    </row>
    <row r="81" spans="1:13">
      <c r="A81" s="24" t="s">
        <v>197</v>
      </c>
      <c r="B81" s="24" t="s">
        <v>337</v>
      </c>
      <c r="C81" s="25">
        <v>45839</v>
      </c>
      <c r="D81" s="24" t="s">
        <v>2663</v>
      </c>
      <c r="E81" s="26">
        <v>-110501</v>
      </c>
      <c r="F81" s="26">
        <v>0</v>
      </c>
      <c r="G81" s="26">
        <v>0</v>
      </c>
      <c r="H81" s="26">
        <v>-110501</v>
      </c>
      <c r="I81" s="26">
        <v>0</v>
      </c>
      <c r="J81" s="26">
        <v>0</v>
      </c>
      <c r="K81" s="26">
        <v>0</v>
      </c>
      <c r="L81" s="26">
        <v>-110501</v>
      </c>
      <c r="M81" s="26">
        <v>0</v>
      </c>
    </row>
    <row r="82" spans="1:13">
      <c r="A82" s="24" t="s">
        <v>197</v>
      </c>
      <c r="B82" s="24" t="s">
        <v>337</v>
      </c>
      <c r="C82" s="25">
        <v>45870</v>
      </c>
      <c r="D82" s="24" t="s">
        <v>2664</v>
      </c>
      <c r="E82" s="26">
        <v>-118652</v>
      </c>
      <c r="F82" s="26">
        <v>0</v>
      </c>
      <c r="G82" s="26">
        <v>0</v>
      </c>
      <c r="H82" s="26">
        <v>-118652</v>
      </c>
      <c r="I82" s="26">
        <v>0</v>
      </c>
      <c r="J82" s="26">
        <v>75626.44</v>
      </c>
      <c r="K82" s="26">
        <v>75626.44</v>
      </c>
      <c r="L82" s="26">
        <v>-118652</v>
      </c>
      <c r="M82" s="26">
        <v>-75626.44</v>
      </c>
    </row>
    <row r="83" spans="1:13">
      <c r="A83" s="24" t="s">
        <v>197</v>
      </c>
      <c r="B83" s="24" t="s">
        <v>337</v>
      </c>
      <c r="C83" s="25">
        <v>45901</v>
      </c>
      <c r="D83" s="24" t="s">
        <v>2665</v>
      </c>
      <c r="E83" s="26">
        <v>-136659</v>
      </c>
      <c r="F83" s="26">
        <v>0</v>
      </c>
      <c r="G83" s="26">
        <v>5966.5</v>
      </c>
      <c r="H83" s="26">
        <v>-130692.5</v>
      </c>
      <c r="I83" s="26">
        <v>0</v>
      </c>
      <c r="J83" s="26">
        <v>69659.94</v>
      </c>
      <c r="K83" s="26">
        <v>69659.94</v>
      </c>
      <c r="L83" s="26">
        <v>-130692.5</v>
      </c>
      <c r="M83" s="26">
        <v>-69659.94</v>
      </c>
    </row>
    <row r="84" spans="1:13">
      <c r="A84" s="24" t="s">
        <v>197</v>
      </c>
      <c r="B84" s="24" t="s">
        <v>337</v>
      </c>
      <c r="C84" s="25">
        <v>45931</v>
      </c>
      <c r="D84" s="24" t="s">
        <v>2666</v>
      </c>
      <c r="E84" s="26">
        <v>-146619</v>
      </c>
      <c r="F84" s="26">
        <v>0</v>
      </c>
      <c r="G84" s="26">
        <v>5966.5</v>
      </c>
      <c r="H84" s="26">
        <v>-140652.5</v>
      </c>
      <c r="I84" s="26">
        <v>0</v>
      </c>
      <c r="J84" s="26">
        <v>69659.94</v>
      </c>
      <c r="K84" s="26">
        <v>69659.94</v>
      </c>
      <c r="L84" s="26">
        <v>-140652.5</v>
      </c>
      <c r="M84" s="26">
        <v>-69659.94</v>
      </c>
    </row>
    <row r="85" spans="1:13">
      <c r="A85" s="24" t="s">
        <v>197</v>
      </c>
      <c r="B85" s="24" t="s">
        <v>337</v>
      </c>
      <c r="C85" s="25">
        <v>45962</v>
      </c>
      <c r="D85" s="24" t="s">
        <v>2667</v>
      </c>
      <c r="E85" s="26">
        <v>-152625</v>
      </c>
      <c r="F85" s="26">
        <v>0</v>
      </c>
      <c r="G85" s="26">
        <v>7432.8700000000026</v>
      </c>
      <c r="H85" s="26">
        <v>-145192.13</v>
      </c>
      <c r="I85" s="26">
        <v>0</v>
      </c>
      <c r="J85" s="26">
        <v>59029.25</v>
      </c>
      <c r="K85" s="26">
        <v>59029.25</v>
      </c>
      <c r="L85" s="26">
        <v>-136027.81</v>
      </c>
      <c r="M85" s="26">
        <v>-68193.570000000007</v>
      </c>
    </row>
    <row r="86" spans="1:13">
      <c r="A86" s="24" t="s">
        <v>197</v>
      </c>
      <c r="B86" s="24" t="s">
        <v>337</v>
      </c>
      <c r="C86" s="25">
        <v>45992</v>
      </c>
      <c r="D86" s="24" t="s">
        <v>2668</v>
      </c>
      <c r="E86" s="26">
        <v>-162033</v>
      </c>
      <c r="F86" s="26">
        <v>0</v>
      </c>
      <c r="G86" s="26">
        <v>7432.8700000000026</v>
      </c>
      <c r="H86" s="26">
        <v>-154600.13</v>
      </c>
      <c r="I86" s="26">
        <v>0</v>
      </c>
      <c r="J86" s="26">
        <v>59029.25</v>
      </c>
      <c r="K86" s="26">
        <v>59029.25</v>
      </c>
      <c r="L86" s="26">
        <v>-145435.81</v>
      </c>
      <c r="M86" s="26">
        <v>-68193.570000000007</v>
      </c>
    </row>
    <row r="87" spans="1:13">
      <c r="A87" s="24" t="s">
        <v>43</v>
      </c>
      <c r="B87" s="24" t="s">
        <v>337</v>
      </c>
      <c r="C87" s="25">
        <v>45658</v>
      </c>
      <c r="D87" s="24" t="s">
        <v>2657</v>
      </c>
      <c r="E87" s="26">
        <v>-23367</v>
      </c>
      <c r="F87" s="26">
        <v>0</v>
      </c>
      <c r="G87" s="26">
        <v>0</v>
      </c>
      <c r="H87" s="26">
        <v>-23367</v>
      </c>
      <c r="I87" s="26">
        <v>0</v>
      </c>
      <c r="J87" s="26">
        <v>0</v>
      </c>
      <c r="K87" s="26">
        <v>0</v>
      </c>
      <c r="L87" s="26">
        <v>-23367</v>
      </c>
      <c r="M87" s="26">
        <v>0</v>
      </c>
    </row>
    <row r="88" spans="1:13">
      <c r="A88" s="24" t="s">
        <v>43</v>
      </c>
      <c r="B88" s="24" t="s">
        <v>337</v>
      </c>
      <c r="C88" s="25">
        <v>45689</v>
      </c>
      <c r="D88" s="24" t="s">
        <v>2658</v>
      </c>
      <c r="E88" s="26">
        <v>-35213</v>
      </c>
      <c r="F88" s="26">
        <v>0</v>
      </c>
      <c r="G88" s="26">
        <v>0</v>
      </c>
      <c r="H88" s="26">
        <v>-35213</v>
      </c>
      <c r="I88" s="26">
        <v>0</v>
      </c>
      <c r="J88" s="26">
        <v>0</v>
      </c>
      <c r="K88" s="26">
        <v>0</v>
      </c>
      <c r="L88" s="26">
        <v>-35213</v>
      </c>
      <c r="M88" s="26">
        <v>0</v>
      </c>
    </row>
    <row r="89" spans="1:13">
      <c r="A89" s="24" t="s">
        <v>43</v>
      </c>
      <c r="B89" s="24" t="s">
        <v>337</v>
      </c>
      <c r="C89" s="25">
        <v>45717</v>
      </c>
      <c r="D89" s="24" t="s">
        <v>2659</v>
      </c>
      <c r="E89" s="26">
        <v>-55572</v>
      </c>
      <c r="F89" s="26">
        <v>0</v>
      </c>
      <c r="G89" s="26">
        <v>0</v>
      </c>
      <c r="H89" s="26">
        <v>-55572</v>
      </c>
      <c r="I89" s="26">
        <v>0</v>
      </c>
      <c r="J89" s="26">
        <v>0</v>
      </c>
      <c r="K89" s="26">
        <v>0</v>
      </c>
      <c r="L89" s="26">
        <v>-55572</v>
      </c>
      <c r="M89" s="26">
        <v>0</v>
      </c>
    </row>
    <row r="90" spans="1:13">
      <c r="A90" s="24" t="s">
        <v>43</v>
      </c>
      <c r="B90" s="24" t="s">
        <v>337</v>
      </c>
      <c r="C90" s="25">
        <v>45748</v>
      </c>
      <c r="D90" s="24" t="s">
        <v>2660</v>
      </c>
      <c r="E90" s="26">
        <v>-75504</v>
      </c>
      <c r="F90" s="26">
        <v>0</v>
      </c>
      <c r="G90" s="26">
        <v>0</v>
      </c>
      <c r="H90" s="26">
        <v>-75504</v>
      </c>
      <c r="I90" s="26">
        <v>0</v>
      </c>
      <c r="J90" s="26">
        <v>0</v>
      </c>
      <c r="K90" s="26">
        <v>0</v>
      </c>
      <c r="L90" s="26">
        <v>-75504</v>
      </c>
      <c r="M90" s="26">
        <v>0</v>
      </c>
    </row>
    <row r="91" spans="1:13">
      <c r="A91" s="24" t="s">
        <v>43</v>
      </c>
      <c r="B91" s="24" t="s">
        <v>337</v>
      </c>
      <c r="C91" s="25">
        <v>45778</v>
      </c>
      <c r="D91" s="24" t="s">
        <v>2661</v>
      </c>
      <c r="E91" s="26">
        <v>-87165</v>
      </c>
      <c r="F91" s="26">
        <v>0</v>
      </c>
      <c r="G91" s="26">
        <v>0</v>
      </c>
      <c r="H91" s="26">
        <v>-87165</v>
      </c>
      <c r="I91" s="26">
        <v>0</v>
      </c>
      <c r="J91" s="26">
        <v>0</v>
      </c>
      <c r="K91" s="26">
        <v>0</v>
      </c>
      <c r="L91" s="26">
        <v>-87165</v>
      </c>
      <c r="M91" s="26">
        <v>0</v>
      </c>
    </row>
    <row r="92" spans="1:13">
      <c r="A92" s="24" t="s">
        <v>43</v>
      </c>
      <c r="B92" s="24" t="s">
        <v>337</v>
      </c>
      <c r="C92" s="25">
        <v>45809</v>
      </c>
      <c r="D92" s="24" t="s">
        <v>2662</v>
      </c>
      <c r="E92" s="26">
        <v>-101635</v>
      </c>
      <c r="F92" s="26">
        <v>0</v>
      </c>
      <c r="G92" s="26">
        <v>0</v>
      </c>
      <c r="H92" s="26">
        <v>-101635</v>
      </c>
      <c r="I92" s="26">
        <v>0</v>
      </c>
      <c r="J92" s="26">
        <v>0</v>
      </c>
      <c r="K92" s="26">
        <v>0</v>
      </c>
      <c r="L92" s="26">
        <v>-101635</v>
      </c>
      <c r="M92" s="26">
        <v>0</v>
      </c>
    </row>
    <row r="93" spans="1:13">
      <c r="A93" s="24" t="s">
        <v>43</v>
      </c>
      <c r="B93" s="24" t="s">
        <v>337</v>
      </c>
      <c r="C93" s="25">
        <v>45839</v>
      </c>
      <c r="D93" s="24" t="s">
        <v>2663</v>
      </c>
      <c r="E93" s="26">
        <v>-113418</v>
      </c>
      <c r="F93" s="26">
        <v>0</v>
      </c>
      <c r="G93" s="26">
        <v>0</v>
      </c>
      <c r="H93" s="26">
        <v>-113418</v>
      </c>
      <c r="I93" s="26">
        <v>0</v>
      </c>
      <c r="J93" s="26">
        <v>0</v>
      </c>
      <c r="K93" s="26">
        <v>0</v>
      </c>
      <c r="L93" s="26">
        <v>-113418</v>
      </c>
      <c r="M93" s="26">
        <v>0</v>
      </c>
    </row>
    <row r="94" spans="1:13">
      <c r="A94" s="24" t="s">
        <v>43</v>
      </c>
      <c r="B94" s="24" t="s">
        <v>337</v>
      </c>
      <c r="C94" s="25">
        <v>45870</v>
      </c>
      <c r="D94" s="24" t="s">
        <v>2664</v>
      </c>
      <c r="E94" s="26">
        <v>-129019.63</v>
      </c>
      <c r="F94" s="26">
        <v>0</v>
      </c>
      <c r="G94" s="26">
        <v>0</v>
      </c>
      <c r="H94" s="26">
        <v>-129019.63</v>
      </c>
      <c r="I94" s="26">
        <v>7677.63</v>
      </c>
      <c r="J94" s="26">
        <v>0</v>
      </c>
      <c r="K94" s="26">
        <v>7677.63</v>
      </c>
      <c r="L94" s="26">
        <v>-129019.63</v>
      </c>
      <c r="M94" s="26">
        <v>-7677.6300000000047</v>
      </c>
    </row>
    <row r="95" spans="1:13">
      <c r="A95" s="24" t="s">
        <v>43</v>
      </c>
      <c r="B95" s="24" t="s">
        <v>337</v>
      </c>
      <c r="C95" s="25">
        <v>45901</v>
      </c>
      <c r="D95" s="24" t="s">
        <v>2665</v>
      </c>
      <c r="E95" s="26">
        <v>-137551.63</v>
      </c>
      <c r="F95" s="26">
        <v>0</v>
      </c>
      <c r="G95" s="26">
        <v>0</v>
      </c>
      <c r="H95" s="26">
        <v>-137551.63</v>
      </c>
      <c r="I95" s="26">
        <v>7677.63</v>
      </c>
      <c r="J95" s="26">
        <v>0</v>
      </c>
      <c r="K95" s="26">
        <v>7677.63</v>
      </c>
      <c r="L95" s="26">
        <v>-137551.63</v>
      </c>
      <c r="M95" s="26">
        <v>-7677.6300000000047</v>
      </c>
    </row>
    <row r="96" spans="1:13">
      <c r="A96" s="24" t="s">
        <v>43</v>
      </c>
      <c r="B96" s="24" t="s">
        <v>337</v>
      </c>
      <c r="C96" s="25">
        <v>45931</v>
      </c>
      <c r="D96" s="24" t="s">
        <v>2666</v>
      </c>
      <c r="E96" s="26">
        <v>-183836.39</v>
      </c>
      <c r="F96" s="26">
        <v>0</v>
      </c>
      <c r="G96" s="26">
        <v>10579.66</v>
      </c>
      <c r="H96" s="26">
        <v>-173256.73</v>
      </c>
      <c r="I96" s="26">
        <v>7677.63</v>
      </c>
      <c r="J96" s="26">
        <v>0</v>
      </c>
      <c r="K96" s="26">
        <v>7677.63</v>
      </c>
      <c r="L96" s="26">
        <v>-173256.73</v>
      </c>
      <c r="M96" s="26">
        <v>-7677.6300000000047</v>
      </c>
    </row>
    <row r="97" spans="1:13">
      <c r="A97" s="24" t="s">
        <v>43</v>
      </c>
      <c r="B97" s="24" t="s">
        <v>337</v>
      </c>
      <c r="C97" s="25">
        <v>45962</v>
      </c>
      <c r="D97" s="24" t="s">
        <v>2667</v>
      </c>
      <c r="E97" s="26">
        <v>-191827.39</v>
      </c>
      <c r="F97" s="26">
        <v>0</v>
      </c>
      <c r="G97" s="26">
        <v>10579.66</v>
      </c>
      <c r="H97" s="26">
        <v>-181247.73</v>
      </c>
      <c r="I97" s="26">
        <v>7677.63</v>
      </c>
      <c r="J97" s="26">
        <v>88487.950000000012</v>
      </c>
      <c r="K97" s="26">
        <v>96165.580000000016</v>
      </c>
      <c r="L97" s="26">
        <v>-181247.73</v>
      </c>
      <c r="M97" s="26">
        <v>-96165.580000000045</v>
      </c>
    </row>
    <row r="98" spans="1:13">
      <c r="A98" s="24" t="s">
        <v>43</v>
      </c>
      <c r="B98" s="24" t="s">
        <v>337</v>
      </c>
      <c r="C98" s="25">
        <v>45992</v>
      </c>
      <c r="D98" s="24" t="s">
        <v>2668</v>
      </c>
      <c r="E98" s="26">
        <v>-204772.39</v>
      </c>
      <c r="F98" s="26">
        <v>59912.63</v>
      </c>
      <c r="G98" s="26">
        <v>0</v>
      </c>
      <c r="H98" s="26">
        <v>-144859.76</v>
      </c>
      <c r="I98" s="26">
        <v>7677.63</v>
      </c>
      <c r="J98" s="26">
        <v>214826.85</v>
      </c>
      <c r="K98" s="26">
        <v>222504.48</v>
      </c>
      <c r="L98" s="26">
        <v>-194192.73</v>
      </c>
      <c r="M98" s="26">
        <v>-173171.51</v>
      </c>
    </row>
    <row r="99" spans="1:13">
      <c r="A99" s="24" t="s">
        <v>114</v>
      </c>
      <c r="B99" s="24" t="s">
        <v>318</v>
      </c>
      <c r="C99" s="25">
        <v>45658</v>
      </c>
      <c r="D99" s="24" t="s">
        <v>2657</v>
      </c>
      <c r="E99" s="26">
        <v>-18538</v>
      </c>
      <c r="F99" s="26">
        <v>0</v>
      </c>
      <c r="G99" s="26">
        <v>0</v>
      </c>
      <c r="H99" s="26">
        <v>-18538</v>
      </c>
      <c r="I99" s="26">
        <v>0</v>
      </c>
      <c r="J99" s="26">
        <v>0</v>
      </c>
      <c r="K99" s="26">
        <v>0</v>
      </c>
      <c r="L99" s="26">
        <v>-18538</v>
      </c>
      <c r="M99" s="26">
        <v>0</v>
      </c>
    </row>
    <row r="100" spans="1:13">
      <c r="A100" s="24" t="s">
        <v>114</v>
      </c>
      <c r="B100" s="24" t="s">
        <v>318</v>
      </c>
      <c r="C100" s="25">
        <v>45689</v>
      </c>
      <c r="D100" s="24" t="s">
        <v>2658</v>
      </c>
      <c r="E100" s="26">
        <v>-32832</v>
      </c>
      <c r="F100" s="26">
        <v>0</v>
      </c>
      <c r="G100" s="26">
        <v>0</v>
      </c>
      <c r="H100" s="26">
        <v>-32832</v>
      </c>
      <c r="I100" s="26">
        <v>0</v>
      </c>
      <c r="J100" s="26">
        <v>0</v>
      </c>
      <c r="K100" s="26">
        <v>0</v>
      </c>
      <c r="L100" s="26">
        <v>-32832</v>
      </c>
      <c r="M100" s="26">
        <v>0</v>
      </c>
    </row>
    <row r="101" spans="1:13">
      <c r="A101" s="24" t="s">
        <v>114</v>
      </c>
      <c r="B101" s="24" t="s">
        <v>318</v>
      </c>
      <c r="C101" s="25">
        <v>45717</v>
      </c>
      <c r="D101" s="24" t="s">
        <v>2659</v>
      </c>
      <c r="E101" s="26">
        <v>-45698</v>
      </c>
      <c r="F101" s="26">
        <v>0</v>
      </c>
      <c r="G101" s="26">
        <v>0</v>
      </c>
      <c r="H101" s="26">
        <v>-45698</v>
      </c>
      <c r="I101" s="26">
        <v>0</v>
      </c>
      <c r="J101" s="26">
        <v>0</v>
      </c>
      <c r="K101" s="26">
        <v>0</v>
      </c>
      <c r="L101" s="26">
        <v>-45698</v>
      </c>
      <c r="M101" s="26">
        <v>0</v>
      </c>
    </row>
    <row r="102" spans="1:13">
      <c r="A102" s="24" t="s">
        <v>114</v>
      </c>
      <c r="B102" s="24" t="s">
        <v>318</v>
      </c>
      <c r="C102" s="25">
        <v>45748</v>
      </c>
      <c r="D102" s="24" t="s">
        <v>2660</v>
      </c>
      <c r="E102" s="26">
        <v>-57502</v>
      </c>
      <c r="F102" s="26">
        <v>0</v>
      </c>
      <c r="G102" s="26">
        <v>0</v>
      </c>
      <c r="H102" s="26">
        <v>-57502</v>
      </c>
      <c r="I102" s="26">
        <v>0</v>
      </c>
      <c r="J102" s="26">
        <v>0</v>
      </c>
      <c r="K102" s="26">
        <v>0</v>
      </c>
      <c r="L102" s="26">
        <v>-57502</v>
      </c>
      <c r="M102" s="26">
        <v>0</v>
      </c>
    </row>
    <row r="103" spans="1:13">
      <c r="A103" s="24" t="s">
        <v>114</v>
      </c>
      <c r="B103" s="24" t="s">
        <v>318</v>
      </c>
      <c r="C103" s="25">
        <v>45778</v>
      </c>
      <c r="D103" s="24" t="s">
        <v>2661</v>
      </c>
      <c r="E103" s="26">
        <v>-78717</v>
      </c>
      <c r="F103" s="26">
        <v>0</v>
      </c>
      <c r="G103" s="26">
        <v>0</v>
      </c>
      <c r="H103" s="26">
        <v>-78717</v>
      </c>
      <c r="I103" s="26">
        <v>0</v>
      </c>
      <c r="J103" s="26">
        <v>0</v>
      </c>
      <c r="K103" s="26">
        <v>0</v>
      </c>
      <c r="L103" s="26">
        <v>-78717</v>
      </c>
      <c r="M103" s="26">
        <v>0</v>
      </c>
    </row>
    <row r="104" spans="1:13">
      <c r="A104" s="24" t="s">
        <v>114</v>
      </c>
      <c r="B104" s="24" t="s">
        <v>318</v>
      </c>
      <c r="C104" s="25">
        <v>45809</v>
      </c>
      <c r="D104" s="24" t="s">
        <v>2662</v>
      </c>
      <c r="E104" s="26">
        <v>-97075</v>
      </c>
      <c r="F104" s="26">
        <v>0</v>
      </c>
      <c r="G104" s="26">
        <v>0</v>
      </c>
      <c r="H104" s="26">
        <v>-97075</v>
      </c>
      <c r="I104" s="26">
        <v>0</v>
      </c>
      <c r="J104" s="26">
        <v>0</v>
      </c>
      <c r="K104" s="26">
        <v>0</v>
      </c>
      <c r="L104" s="26">
        <v>-97075</v>
      </c>
      <c r="M104" s="26">
        <v>0</v>
      </c>
    </row>
    <row r="105" spans="1:13">
      <c r="A105" s="24" t="s">
        <v>114</v>
      </c>
      <c r="B105" s="24" t="s">
        <v>318</v>
      </c>
      <c r="C105" s="25">
        <v>45839</v>
      </c>
      <c r="D105" s="24" t="s">
        <v>2663</v>
      </c>
      <c r="E105" s="26">
        <v>-106867</v>
      </c>
      <c r="F105" s="26">
        <v>0</v>
      </c>
      <c r="G105" s="26">
        <v>0</v>
      </c>
      <c r="H105" s="26">
        <v>-106867</v>
      </c>
      <c r="I105" s="26">
        <v>0</v>
      </c>
      <c r="J105" s="26">
        <v>0</v>
      </c>
      <c r="K105" s="26">
        <v>0</v>
      </c>
      <c r="L105" s="26">
        <v>-106867</v>
      </c>
      <c r="M105" s="26">
        <v>0</v>
      </c>
    </row>
    <row r="106" spans="1:13">
      <c r="A106" s="24" t="s">
        <v>114</v>
      </c>
      <c r="B106" s="24" t="s">
        <v>318</v>
      </c>
      <c r="C106" s="25">
        <v>45870</v>
      </c>
      <c r="D106" s="24" t="s">
        <v>2664</v>
      </c>
      <c r="E106" s="26">
        <v>-116519</v>
      </c>
      <c r="F106" s="26">
        <v>0</v>
      </c>
      <c r="G106" s="26">
        <v>59662.47</v>
      </c>
      <c r="H106" s="26">
        <v>-56856.53</v>
      </c>
      <c r="I106" s="26">
        <v>0</v>
      </c>
      <c r="J106" s="26">
        <v>0</v>
      </c>
      <c r="K106" s="26">
        <v>0</v>
      </c>
      <c r="L106" s="26">
        <v>-56856.53</v>
      </c>
      <c r="M106" s="26">
        <v>0</v>
      </c>
    </row>
    <row r="107" spans="1:13">
      <c r="A107" s="24" t="s">
        <v>114</v>
      </c>
      <c r="B107" s="24" t="s">
        <v>318</v>
      </c>
      <c r="C107" s="25">
        <v>45901</v>
      </c>
      <c r="D107" s="24" t="s">
        <v>2665</v>
      </c>
      <c r="E107" s="26">
        <v>-139171</v>
      </c>
      <c r="F107" s="26">
        <v>0</v>
      </c>
      <c r="G107" s="26">
        <v>59662.47</v>
      </c>
      <c r="H107" s="26">
        <v>-79508.53</v>
      </c>
      <c r="I107" s="26">
        <v>0</v>
      </c>
      <c r="J107" s="26">
        <v>0</v>
      </c>
      <c r="K107" s="26">
        <v>0</v>
      </c>
      <c r="L107" s="26">
        <v>-79508.53</v>
      </c>
      <c r="M107" s="26">
        <v>0</v>
      </c>
    </row>
    <row r="108" spans="1:13">
      <c r="A108" s="24" t="s">
        <v>114</v>
      </c>
      <c r="B108" s="24" t="s">
        <v>318</v>
      </c>
      <c r="C108" s="25">
        <v>45931</v>
      </c>
      <c r="D108" s="24" t="s">
        <v>2666</v>
      </c>
      <c r="E108" s="26">
        <v>-167208.71</v>
      </c>
      <c r="F108" s="26">
        <v>0</v>
      </c>
      <c r="G108" s="26">
        <v>59662.47</v>
      </c>
      <c r="H108" s="26">
        <v>-107546.24000000001</v>
      </c>
      <c r="I108" s="26">
        <v>0</v>
      </c>
      <c r="J108" s="26">
        <v>0</v>
      </c>
      <c r="K108" s="26">
        <v>0</v>
      </c>
      <c r="L108" s="26">
        <v>-107546.24000000001</v>
      </c>
      <c r="M108" s="26">
        <v>0</v>
      </c>
    </row>
    <row r="109" spans="1:13">
      <c r="A109" s="24" t="s">
        <v>114</v>
      </c>
      <c r="B109" s="24" t="s">
        <v>318</v>
      </c>
      <c r="C109" s="25">
        <v>45962</v>
      </c>
      <c r="D109" s="24" t="s">
        <v>2667</v>
      </c>
      <c r="E109" s="26">
        <v>-188528.71</v>
      </c>
      <c r="F109" s="26">
        <v>0</v>
      </c>
      <c r="G109" s="26">
        <v>59662.47</v>
      </c>
      <c r="H109" s="26">
        <v>-128866.24000000001</v>
      </c>
      <c r="I109" s="26">
        <v>0</v>
      </c>
      <c r="J109" s="26">
        <v>0</v>
      </c>
      <c r="K109" s="26">
        <v>0</v>
      </c>
      <c r="L109" s="26">
        <v>-128866.24000000001</v>
      </c>
      <c r="M109" s="26">
        <v>0</v>
      </c>
    </row>
    <row r="110" spans="1:13">
      <c r="A110" s="24" t="s">
        <v>114</v>
      </c>
      <c r="B110" s="24" t="s">
        <v>318</v>
      </c>
      <c r="C110" s="25">
        <v>45992</v>
      </c>
      <c r="D110" s="24" t="s">
        <v>2668</v>
      </c>
      <c r="E110" s="26">
        <v>-203033.71</v>
      </c>
      <c r="F110" s="26">
        <v>0</v>
      </c>
      <c r="G110" s="26">
        <v>100467.2</v>
      </c>
      <c r="H110" s="26">
        <v>-102566.51</v>
      </c>
      <c r="I110" s="26">
        <v>0</v>
      </c>
      <c r="J110" s="26">
        <v>0</v>
      </c>
      <c r="K110" s="26">
        <v>0</v>
      </c>
      <c r="L110" s="26">
        <v>-102566.51</v>
      </c>
      <c r="M110" s="26">
        <v>0</v>
      </c>
    </row>
    <row r="111" spans="1:13">
      <c r="A111" s="24" t="s">
        <v>188</v>
      </c>
      <c r="B111" s="24" t="s">
        <v>324</v>
      </c>
      <c r="C111" s="25">
        <v>45658</v>
      </c>
      <c r="D111" s="24" t="s">
        <v>2657</v>
      </c>
      <c r="E111" s="26">
        <v>-6126</v>
      </c>
      <c r="F111" s="26">
        <v>0</v>
      </c>
      <c r="G111" s="26">
        <v>0</v>
      </c>
      <c r="H111" s="26">
        <v>-6126</v>
      </c>
      <c r="I111" s="26">
        <v>0</v>
      </c>
      <c r="J111" s="26">
        <v>0</v>
      </c>
      <c r="K111" s="26">
        <v>0</v>
      </c>
      <c r="L111" s="26">
        <v>-6126</v>
      </c>
      <c r="M111" s="26">
        <v>0</v>
      </c>
    </row>
    <row r="112" spans="1:13">
      <c r="A112" s="24" t="s">
        <v>188</v>
      </c>
      <c r="B112" s="24" t="s">
        <v>324</v>
      </c>
      <c r="C112" s="25">
        <v>45689</v>
      </c>
      <c r="D112" s="24" t="s">
        <v>2658</v>
      </c>
      <c r="E112" s="26">
        <v>-15754</v>
      </c>
      <c r="F112" s="26">
        <v>0</v>
      </c>
      <c r="G112" s="26">
        <v>0</v>
      </c>
      <c r="H112" s="26">
        <v>-15754</v>
      </c>
      <c r="I112" s="26">
        <v>0</v>
      </c>
      <c r="J112" s="26">
        <v>0</v>
      </c>
      <c r="K112" s="26">
        <v>0</v>
      </c>
      <c r="L112" s="26">
        <v>-15754</v>
      </c>
      <c r="M112" s="26">
        <v>0</v>
      </c>
    </row>
    <row r="113" spans="1:13">
      <c r="A113" s="24" t="s">
        <v>188</v>
      </c>
      <c r="B113" s="24" t="s">
        <v>324</v>
      </c>
      <c r="C113" s="25">
        <v>45717</v>
      </c>
      <c r="D113" s="24" t="s">
        <v>2659</v>
      </c>
      <c r="E113" s="26">
        <v>-33570</v>
      </c>
      <c r="F113" s="26">
        <v>0</v>
      </c>
      <c r="G113" s="26">
        <v>0</v>
      </c>
      <c r="H113" s="26">
        <v>-33570</v>
      </c>
      <c r="I113" s="26">
        <v>0</v>
      </c>
      <c r="J113" s="26">
        <v>0</v>
      </c>
      <c r="K113" s="26">
        <v>0</v>
      </c>
      <c r="L113" s="26">
        <v>-33570</v>
      </c>
      <c r="M113" s="26">
        <v>0</v>
      </c>
    </row>
    <row r="114" spans="1:13">
      <c r="A114" s="24" t="s">
        <v>188</v>
      </c>
      <c r="B114" s="24" t="s">
        <v>324</v>
      </c>
      <c r="C114" s="25">
        <v>45748</v>
      </c>
      <c r="D114" s="24" t="s">
        <v>2660</v>
      </c>
      <c r="E114" s="26">
        <v>-41399</v>
      </c>
      <c r="F114" s="26">
        <v>0</v>
      </c>
      <c r="G114" s="26">
        <v>0</v>
      </c>
      <c r="H114" s="26">
        <v>-41399</v>
      </c>
      <c r="I114" s="26">
        <v>0</v>
      </c>
      <c r="J114" s="26">
        <v>0</v>
      </c>
      <c r="K114" s="26">
        <v>0</v>
      </c>
      <c r="L114" s="26">
        <v>-41399</v>
      </c>
      <c r="M114" s="26">
        <v>0</v>
      </c>
    </row>
    <row r="115" spans="1:13">
      <c r="A115" s="24" t="s">
        <v>188</v>
      </c>
      <c r="B115" s="24" t="s">
        <v>324</v>
      </c>
      <c r="C115" s="25">
        <v>45778</v>
      </c>
      <c r="D115" s="24" t="s">
        <v>2661</v>
      </c>
      <c r="E115" s="26">
        <v>-58752</v>
      </c>
      <c r="F115" s="26">
        <v>0</v>
      </c>
      <c r="G115" s="26">
        <v>0</v>
      </c>
      <c r="H115" s="26">
        <v>-58752</v>
      </c>
      <c r="I115" s="26">
        <v>0</v>
      </c>
      <c r="J115" s="26">
        <v>0</v>
      </c>
      <c r="K115" s="26">
        <v>0</v>
      </c>
      <c r="L115" s="26">
        <v>-58752</v>
      </c>
      <c r="M115" s="26">
        <v>0</v>
      </c>
    </row>
    <row r="116" spans="1:13">
      <c r="A116" s="24" t="s">
        <v>188</v>
      </c>
      <c r="B116" s="24" t="s">
        <v>324</v>
      </c>
      <c r="C116" s="25">
        <v>45809</v>
      </c>
      <c r="D116" s="24" t="s">
        <v>2662</v>
      </c>
      <c r="E116" s="26">
        <v>-66570</v>
      </c>
      <c r="F116" s="26">
        <v>0</v>
      </c>
      <c r="G116" s="26">
        <v>0</v>
      </c>
      <c r="H116" s="26">
        <v>-66570</v>
      </c>
      <c r="I116" s="26">
        <v>0</v>
      </c>
      <c r="J116" s="26">
        <v>0</v>
      </c>
      <c r="K116" s="26">
        <v>0</v>
      </c>
      <c r="L116" s="26">
        <v>-66570</v>
      </c>
      <c r="M116" s="26">
        <v>0</v>
      </c>
    </row>
    <row r="117" spans="1:13">
      <c r="A117" s="24" t="s">
        <v>188</v>
      </c>
      <c r="B117" s="24" t="s">
        <v>324</v>
      </c>
      <c r="C117" s="25">
        <v>45839</v>
      </c>
      <c r="D117" s="24" t="s">
        <v>2663</v>
      </c>
      <c r="E117" s="26">
        <v>-89902</v>
      </c>
      <c r="F117" s="26">
        <v>0</v>
      </c>
      <c r="G117" s="26">
        <v>24662.080000000002</v>
      </c>
      <c r="H117" s="26">
        <v>-65239.92</v>
      </c>
      <c r="I117" s="26">
        <v>0</v>
      </c>
      <c r="J117" s="26">
        <v>0</v>
      </c>
      <c r="K117" s="26">
        <v>0</v>
      </c>
      <c r="L117" s="26">
        <v>-65239.92</v>
      </c>
      <c r="M117" s="26">
        <v>0</v>
      </c>
    </row>
    <row r="118" spans="1:13">
      <c r="A118" s="24" t="s">
        <v>188</v>
      </c>
      <c r="B118" s="24" t="s">
        <v>324</v>
      </c>
      <c r="C118" s="25">
        <v>45870</v>
      </c>
      <c r="D118" s="24" t="s">
        <v>2664</v>
      </c>
      <c r="E118" s="26">
        <v>-104070</v>
      </c>
      <c r="F118" s="26">
        <v>23339.23</v>
      </c>
      <c r="G118" s="26">
        <v>13741.81</v>
      </c>
      <c r="H118" s="26">
        <v>-66988.960000000006</v>
      </c>
      <c r="I118" s="26">
        <v>0</v>
      </c>
      <c r="J118" s="26">
        <v>0</v>
      </c>
      <c r="K118" s="26">
        <v>0</v>
      </c>
      <c r="L118" s="26">
        <v>-66988.959999999992</v>
      </c>
      <c r="M118" s="26">
        <v>-1.455191522836685E-11</v>
      </c>
    </row>
    <row r="119" spans="1:13">
      <c r="A119" s="24" t="s">
        <v>188</v>
      </c>
      <c r="B119" s="24" t="s">
        <v>324</v>
      </c>
      <c r="C119" s="25">
        <v>45901</v>
      </c>
      <c r="D119" s="24" t="s">
        <v>2665</v>
      </c>
      <c r="E119" s="26">
        <v>-80600.429999999993</v>
      </c>
      <c r="F119" s="26">
        <v>23339.23</v>
      </c>
      <c r="G119" s="26">
        <v>0</v>
      </c>
      <c r="H119" s="26">
        <v>-57261.2</v>
      </c>
      <c r="I119" s="26">
        <v>0</v>
      </c>
      <c r="J119" s="26">
        <v>0</v>
      </c>
      <c r="K119" s="26">
        <v>0</v>
      </c>
      <c r="L119" s="26">
        <v>-64401.299999999988</v>
      </c>
      <c r="M119" s="26">
        <v>7140.0999999999913</v>
      </c>
    </row>
    <row r="120" spans="1:13">
      <c r="A120" s="24" t="s">
        <v>188</v>
      </c>
      <c r="B120" s="24" t="s">
        <v>324</v>
      </c>
      <c r="C120" s="25">
        <v>45931</v>
      </c>
      <c r="D120" s="24" t="s">
        <v>2666</v>
      </c>
      <c r="E120" s="26">
        <v>-89353.43</v>
      </c>
      <c r="F120" s="26">
        <v>23339.23</v>
      </c>
      <c r="G120" s="26">
        <v>0</v>
      </c>
      <c r="H120" s="26">
        <v>-66014.2</v>
      </c>
      <c r="I120" s="26">
        <v>0</v>
      </c>
      <c r="J120" s="26">
        <v>0</v>
      </c>
      <c r="K120" s="26">
        <v>0</v>
      </c>
      <c r="L120" s="26">
        <v>-73154.299999999988</v>
      </c>
      <c r="M120" s="26">
        <v>7140.0999999999913</v>
      </c>
    </row>
    <row r="121" spans="1:13">
      <c r="A121" s="24" t="s">
        <v>188</v>
      </c>
      <c r="B121" s="24" t="s">
        <v>324</v>
      </c>
      <c r="C121" s="25">
        <v>45962</v>
      </c>
      <c r="D121" s="24" t="s">
        <v>2667</v>
      </c>
      <c r="E121" s="26">
        <v>-101002.43</v>
      </c>
      <c r="F121" s="26">
        <v>23339.23</v>
      </c>
      <c r="G121" s="26">
        <v>7122.6999999999971</v>
      </c>
      <c r="H121" s="26">
        <v>-70540.5</v>
      </c>
      <c r="I121" s="26">
        <v>0</v>
      </c>
      <c r="J121" s="26">
        <v>0</v>
      </c>
      <c r="K121" s="26">
        <v>0</v>
      </c>
      <c r="L121" s="26">
        <v>-70540.499999999985</v>
      </c>
      <c r="M121" s="26">
        <v>-1.455191522836685E-11</v>
      </c>
    </row>
    <row r="122" spans="1:13">
      <c r="A122" s="24" t="s">
        <v>188</v>
      </c>
      <c r="B122" s="24" t="s">
        <v>324</v>
      </c>
      <c r="C122" s="25">
        <v>45992</v>
      </c>
      <c r="D122" s="24" t="s">
        <v>2668</v>
      </c>
      <c r="E122" s="26">
        <v>-112494.43</v>
      </c>
      <c r="F122" s="26">
        <v>23339.23</v>
      </c>
      <c r="G122" s="26">
        <v>7122.6999999999971</v>
      </c>
      <c r="H122" s="26">
        <v>-82032.5</v>
      </c>
      <c r="I122" s="26">
        <v>0</v>
      </c>
      <c r="J122" s="26">
        <v>144625.79999999999</v>
      </c>
      <c r="K122" s="26">
        <v>144625.79999999999</v>
      </c>
      <c r="L122" s="26">
        <v>-82032.499999999985</v>
      </c>
      <c r="M122" s="26">
        <v>-144625.79999999999</v>
      </c>
    </row>
    <row r="123" spans="1:13">
      <c r="A123" s="24" t="s">
        <v>105</v>
      </c>
      <c r="B123" s="24" t="s">
        <v>329</v>
      </c>
      <c r="C123" s="25">
        <v>45658</v>
      </c>
      <c r="D123" s="24" t="s">
        <v>2657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</row>
    <row r="124" spans="1:13">
      <c r="A124" s="24" t="s">
        <v>105</v>
      </c>
      <c r="B124" s="24" t="s">
        <v>329</v>
      </c>
      <c r="C124" s="25">
        <v>45689</v>
      </c>
      <c r="D124" s="24" t="s">
        <v>2658</v>
      </c>
      <c r="E124" s="26">
        <v>0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</row>
    <row r="125" spans="1:13">
      <c r="A125" s="24" t="s">
        <v>105</v>
      </c>
      <c r="B125" s="24" t="s">
        <v>329</v>
      </c>
      <c r="C125" s="25">
        <v>45717</v>
      </c>
      <c r="D125" s="24" t="s">
        <v>2659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</row>
    <row r="126" spans="1:13">
      <c r="A126" s="24" t="s">
        <v>105</v>
      </c>
      <c r="B126" s="24" t="s">
        <v>329</v>
      </c>
      <c r="C126" s="25">
        <v>45748</v>
      </c>
      <c r="D126" s="24" t="s">
        <v>2660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</row>
    <row r="127" spans="1:13">
      <c r="A127" s="24" t="s">
        <v>105</v>
      </c>
      <c r="B127" s="24" t="s">
        <v>329</v>
      </c>
      <c r="C127" s="25">
        <v>45778</v>
      </c>
      <c r="D127" s="24" t="s">
        <v>2661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</row>
    <row r="128" spans="1:13">
      <c r="A128" s="24" t="s">
        <v>105</v>
      </c>
      <c r="B128" s="24" t="s">
        <v>329</v>
      </c>
      <c r="C128" s="25">
        <v>45809</v>
      </c>
      <c r="D128" s="24" t="s">
        <v>2662</v>
      </c>
      <c r="E128" s="26">
        <v>0</v>
      </c>
      <c r="F128" s="26">
        <v>0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</row>
    <row r="129" spans="1:13">
      <c r="A129" s="24" t="s">
        <v>105</v>
      </c>
      <c r="B129" s="24" t="s">
        <v>329</v>
      </c>
      <c r="C129" s="25">
        <v>45839</v>
      </c>
      <c r="D129" s="24" t="s">
        <v>2663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</row>
    <row r="130" spans="1:13">
      <c r="A130" s="24" t="s">
        <v>105</v>
      </c>
      <c r="B130" s="24" t="s">
        <v>329</v>
      </c>
      <c r="C130" s="25">
        <v>45870</v>
      </c>
      <c r="D130" s="24" t="s">
        <v>2664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</row>
    <row r="131" spans="1:13">
      <c r="A131" s="24" t="s">
        <v>105</v>
      </c>
      <c r="B131" s="24" t="s">
        <v>329</v>
      </c>
      <c r="C131" s="25">
        <v>45901</v>
      </c>
      <c r="D131" s="24" t="s">
        <v>2665</v>
      </c>
      <c r="E131" s="26">
        <v>-48980.21</v>
      </c>
      <c r="F131" s="26">
        <v>0</v>
      </c>
      <c r="G131" s="26">
        <v>0</v>
      </c>
      <c r="H131" s="26">
        <v>-48980.21</v>
      </c>
      <c r="I131" s="26">
        <v>0</v>
      </c>
      <c r="J131" s="26">
        <v>0</v>
      </c>
      <c r="K131" s="26">
        <v>0</v>
      </c>
      <c r="L131" s="26">
        <v>-48980.21</v>
      </c>
      <c r="M131" s="26">
        <v>0</v>
      </c>
    </row>
    <row r="132" spans="1:13">
      <c r="A132" s="24" t="s">
        <v>105</v>
      </c>
      <c r="B132" s="24" t="s">
        <v>329</v>
      </c>
      <c r="C132" s="25">
        <v>45931</v>
      </c>
      <c r="D132" s="24" t="s">
        <v>2666</v>
      </c>
      <c r="E132" s="26">
        <v>-48980.21</v>
      </c>
      <c r="F132" s="26">
        <v>221448.56</v>
      </c>
      <c r="G132" s="26">
        <v>0</v>
      </c>
      <c r="H132" s="26">
        <v>172468.35</v>
      </c>
      <c r="I132" s="26">
        <v>0</v>
      </c>
      <c r="J132" s="26">
        <v>0</v>
      </c>
      <c r="K132" s="26">
        <v>0</v>
      </c>
      <c r="L132" s="26">
        <v>-48980.21</v>
      </c>
      <c r="M132" s="26">
        <v>221448.56</v>
      </c>
    </row>
    <row r="133" spans="1:13">
      <c r="A133" s="24" t="s">
        <v>105</v>
      </c>
      <c r="B133" s="24" t="s">
        <v>329</v>
      </c>
      <c r="C133" s="25">
        <v>45962</v>
      </c>
      <c r="D133" s="24" t="s">
        <v>2667</v>
      </c>
      <c r="E133" s="26">
        <v>-48980.21</v>
      </c>
      <c r="F133" s="26">
        <v>221448.56</v>
      </c>
      <c r="G133" s="26">
        <v>0</v>
      </c>
      <c r="H133" s="26">
        <v>172468.35</v>
      </c>
      <c r="I133" s="26">
        <v>0</v>
      </c>
      <c r="J133" s="26">
        <v>580770.16</v>
      </c>
      <c r="K133" s="26">
        <v>580770.16</v>
      </c>
      <c r="L133" s="26">
        <v>-48980.21</v>
      </c>
      <c r="M133" s="26">
        <v>-359321.59999999998</v>
      </c>
    </row>
    <row r="134" spans="1:13">
      <c r="A134" s="24" t="s">
        <v>105</v>
      </c>
      <c r="B134" s="24" t="s">
        <v>329</v>
      </c>
      <c r="C134" s="25">
        <v>45992</v>
      </c>
      <c r="D134" s="24" t="s">
        <v>2668</v>
      </c>
      <c r="E134" s="26">
        <v>-331802.90999999997</v>
      </c>
      <c r="F134" s="26">
        <v>221448.56</v>
      </c>
      <c r="G134" s="26">
        <v>0</v>
      </c>
      <c r="H134" s="26">
        <v>-110354.35</v>
      </c>
      <c r="I134" s="26">
        <v>0</v>
      </c>
      <c r="J134" s="26">
        <v>778113.56</v>
      </c>
      <c r="K134" s="26">
        <v>778113.56</v>
      </c>
      <c r="L134" s="26">
        <v>-331802.90999999997</v>
      </c>
      <c r="M134" s="26">
        <v>-556665.00000000012</v>
      </c>
    </row>
    <row r="135" spans="1:13">
      <c r="A135" s="24" t="s">
        <v>283</v>
      </c>
      <c r="B135" s="24" t="s">
        <v>318</v>
      </c>
      <c r="C135" s="25">
        <v>45658</v>
      </c>
      <c r="D135" s="24" t="s">
        <v>2657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</row>
    <row r="136" spans="1:13">
      <c r="A136" s="24" t="s">
        <v>283</v>
      </c>
      <c r="B136" s="24" t="s">
        <v>318</v>
      </c>
      <c r="C136" s="25">
        <v>45689</v>
      </c>
      <c r="D136" s="24" t="s">
        <v>2658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</row>
    <row r="137" spans="1:13">
      <c r="A137" s="24" t="s">
        <v>283</v>
      </c>
      <c r="B137" s="24" t="s">
        <v>318</v>
      </c>
      <c r="C137" s="25">
        <v>45717</v>
      </c>
      <c r="D137" s="24" t="s">
        <v>2659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</row>
    <row r="138" spans="1:13">
      <c r="A138" s="24" t="s">
        <v>283</v>
      </c>
      <c r="B138" s="24" t="s">
        <v>318</v>
      </c>
      <c r="C138" s="25">
        <v>45748</v>
      </c>
      <c r="D138" s="24" t="s">
        <v>2660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</row>
    <row r="139" spans="1:13">
      <c r="A139" s="24" t="s">
        <v>283</v>
      </c>
      <c r="B139" s="24" t="s">
        <v>318</v>
      </c>
      <c r="C139" s="25">
        <v>45778</v>
      </c>
      <c r="D139" s="24" t="s">
        <v>2661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</row>
    <row r="140" spans="1:13">
      <c r="A140" s="24" t="s">
        <v>283</v>
      </c>
      <c r="B140" s="24" t="s">
        <v>318</v>
      </c>
      <c r="C140" s="25">
        <v>45809</v>
      </c>
      <c r="D140" s="24" t="s">
        <v>2662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</row>
    <row r="141" spans="1:13">
      <c r="A141" s="24" t="s">
        <v>283</v>
      </c>
      <c r="B141" s="24" t="s">
        <v>318</v>
      </c>
      <c r="C141" s="25">
        <v>45839</v>
      </c>
      <c r="D141" s="24" t="s">
        <v>2663</v>
      </c>
      <c r="E141" s="26">
        <v>0</v>
      </c>
      <c r="F141" s="26">
        <v>0</v>
      </c>
      <c r="G141" s="26">
        <v>27873.18</v>
      </c>
      <c r="H141" s="26">
        <v>27873.18</v>
      </c>
      <c r="I141" s="26">
        <v>0</v>
      </c>
      <c r="J141" s="26">
        <v>0</v>
      </c>
      <c r="K141" s="26">
        <v>0</v>
      </c>
      <c r="L141" s="26">
        <v>27873.18</v>
      </c>
      <c r="M141" s="26">
        <v>0</v>
      </c>
    </row>
    <row r="142" spans="1:13">
      <c r="A142" s="24" t="s">
        <v>283</v>
      </c>
      <c r="B142" s="24" t="s">
        <v>318</v>
      </c>
      <c r="C142" s="25">
        <v>45870</v>
      </c>
      <c r="D142" s="24" t="s">
        <v>2664</v>
      </c>
      <c r="E142" s="26">
        <v>-199279.71</v>
      </c>
      <c r="F142" s="26">
        <v>0</v>
      </c>
      <c r="G142" s="26">
        <v>61872.2</v>
      </c>
      <c r="H142" s="26">
        <v>-137407.51</v>
      </c>
      <c r="I142" s="26">
        <v>85688.2</v>
      </c>
      <c r="J142" s="26">
        <v>0</v>
      </c>
      <c r="K142" s="26">
        <v>85688.2</v>
      </c>
      <c r="L142" s="26">
        <v>-137407.51</v>
      </c>
      <c r="M142" s="26">
        <v>-85688.200000000012</v>
      </c>
    </row>
    <row r="143" spans="1:13">
      <c r="A143" s="24" t="s">
        <v>283</v>
      </c>
      <c r="B143" s="24" t="s">
        <v>318</v>
      </c>
      <c r="C143" s="25">
        <v>45901</v>
      </c>
      <c r="D143" s="24" t="s">
        <v>2665</v>
      </c>
      <c r="E143" s="26">
        <v>-199279.71</v>
      </c>
      <c r="F143" s="26">
        <v>56231.76</v>
      </c>
      <c r="G143" s="26">
        <v>20090.240000000002</v>
      </c>
      <c r="H143" s="26">
        <v>-122957.71</v>
      </c>
      <c r="I143" s="26">
        <v>85688.2</v>
      </c>
      <c r="J143" s="26">
        <v>0</v>
      </c>
      <c r="K143" s="26">
        <v>85688.2</v>
      </c>
      <c r="L143" s="26">
        <v>-122957.71</v>
      </c>
      <c r="M143" s="26">
        <v>-85688.199999999968</v>
      </c>
    </row>
    <row r="144" spans="1:13">
      <c r="A144" s="24" t="s">
        <v>283</v>
      </c>
      <c r="B144" s="24" t="s">
        <v>318</v>
      </c>
      <c r="C144" s="25">
        <v>45931</v>
      </c>
      <c r="D144" s="24" t="s">
        <v>2666</v>
      </c>
      <c r="E144" s="26">
        <v>-348844.54</v>
      </c>
      <c r="F144" s="26">
        <v>56231.76</v>
      </c>
      <c r="G144" s="26">
        <v>20090.240000000002</v>
      </c>
      <c r="H144" s="26">
        <v>-272522.53999999998</v>
      </c>
      <c r="I144" s="26">
        <v>173955.33</v>
      </c>
      <c r="J144" s="26">
        <v>0</v>
      </c>
      <c r="K144" s="26">
        <v>173955.33</v>
      </c>
      <c r="L144" s="26">
        <v>-272522.53999999998</v>
      </c>
      <c r="M144" s="26">
        <v>-173955.33</v>
      </c>
    </row>
    <row r="145" spans="1:13">
      <c r="A145" s="24" t="s">
        <v>283</v>
      </c>
      <c r="B145" s="24" t="s">
        <v>318</v>
      </c>
      <c r="C145" s="25">
        <v>45962</v>
      </c>
      <c r="D145" s="24" t="s">
        <v>2667</v>
      </c>
      <c r="E145" s="26">
        <v>-348844.54</v>
      </c>
      <c r="F145" s="26">
        <v>56231.76</v>
      </c>
      <c r="G145" s="26">
        <v>45071.329999999987</v>
      </c>
      <c r="H145" s="26">
        <v>-247541.45</v>
      </c>
      <c r="I145" s="26">
        <v>173955.33</v>
      </c>
      <c r="J145" s="26">
        <v>0</v>
      </c>
      <c r="K145" s="26">
        <v>173955.33</v>
      </c>
      <c r="L145" s="26">
        <v>-247541.45</v>
      </c>
      <c r="M145" s="26">
        <v>-173955.33</v>
      </c>
    </row>
    <row r="146" spans="1:13">
      <c r="A146" s="24" t="s">
        <v>283</v>
      </c>
      <c r="B146" s="24" t="s">
        <v>318</v>
      </c>
      <c r="C146" s="25">
        <v>45992</v>
      </c>
      <c r="D146" s="24" t="s">
        <v>2668</v>
      </c>
      <c r="E146" s="26">
        <v>-348844.54</v>
      </c>
      <c r="F146" s="26">
        <v>56231.76</v>
      </c>
      <c r="G146" s="26">
        <v>45071.329999999987</v>
      </c>
      <c r="H146" s="26">
        <v>-247541.45</v>
      </c>
      <c r="I146" s="26">
        <v>173955.33</v>
      </c>
      <c r="J146" s="26">
        <v>0</v>
      </c>
      <c r="K146" s="26">
        <v>173955.33</v>
      </c>
      <c r="L146" s="26">
        <v>-247541.45</v>
      </c>
      <c r="M146" s="26">
        <v>-173955.33</v>
      </c>
    </row>
    <row r="147" spans="1:13">
      <c r="A147" s="24" t="s">
        <v>118</v>
      </c>
      <c r="B147" s="24" t="s">
        <v>318</v>
      </c>
      <c r="C147" s="25">
        <v>45658</v>
      </c>
      <c r="D147" s="24" t="s">
        <v>2657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</row>
    <row r="148" spans="1:13">
      <c r="A148" s="24" t="s">
        <v>118</v>
      </c>
      <c r="B148" s="24" t="s">
        <v>318</v>
      </c>
      <c r="C148" s="25">
        <v>45689</v>
      </c>
      <c r="D148" s="24" t="s">
        <v>2658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</row>
    <row r="149" spans="1:13">
      <c r="A149" s="24" t="s">
        <v>118</v>
      </c>
      <c r="B149" s="24" t="s">
        <v>318</v>
      </c>
      <c r="C149" s="25">
        <v>45717</v>
      </c>
      <c r="D149" s="24" t="s">
        <v>2659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</row>
    <row r="150" spans="1:13">
      <c r="A150" s="24" t="s">
        <v>118</v>
      </c>
      <c r="B150" s="24" t="s">
        <v>318</v>
      </c>
      <c r="C150" s="25">
        <v>45748</v>
      </c>
      <c r="D150" s="24" t="s">
        <v>2660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</row>
    <row r="151" spans="1:13">
      <c r="A151" s="24" t="s">
        <v>118</v>
      </c>
      <c r="B151" s="24" t="s">
        <v>318</v>
      </c>
      <c r="C151" s="25">
        <v>45778</v>
      </c>
      <c r="D151" s="24" t="s">
        <v>2661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</row>
    <row r="152" spans="1:13">
      <c r="A152" s="24" t="s">
        <v>118</v>
      </c>
      <c r="B152" s="24" t="s">
        <v>318</v>
      </c>
      <c r="C152" s="25">
        <v>45809</v>
      </c>
      <c r="D152" s="24" t="s">
        <v>2662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</row>
    <row r="153" spans="1:13">
      <c r="A153" s="24" t="s">
        <v>118</v>
      </c>
      <c r="B153" s="24" t="s">
        <v>318</v>
      </c>
      <c r="C153" s="25">
        <v>45839</v>
      </c>
      <c r="D153" s="24" t="s">
        <v>2663</v>
      </c>
      <c r="E153" s="26">
        <v>-64477.22</v>
      </c>
      <c r="F153" s="26">
        <v>0</v>
      </c>
      <c r="G153" s="26">
        <v>0</v>
      </c>
      <c r="H153" s="26">
        <v>-64477.22</v>
      </c>
      <c r="I153" s="26">
        <v>64477.22</v>
      </c>
      <c r="J153" s="26">
        <v>0</v>
      </c>
      <c r="K153" s="26">
        <v>64477.22</v>
      </c>
      <c r="L153" s="26">
        <v>-64477.22</v>
      </c>
      <c r="M153" s="26">
        <v>-64477.22</v>
      </c>
    </row>
    <row r="154" spans="1:13">
      <c r="A154" s="24" t="s">
        <v>118</v>
      </c>
      <c r="B154" s="24" t="s">
        <v>318</v>
      </c>
      <c r="C154" s="25">
        <v>45870</v>
      </c>
      <c r="D154" s="24" t="s">
        <v>2664</v>
      </c>
      <c r="E154" s="26">
        <v>-141571.98000000001</v>
      </c>
      <c r="F154" s="26">
        <v>0</v>
      </c>
      <c r="G154" s="26">
        <v>41876.18</v>
      </c>
      <c r="H154" s="26">
        <v>-99695.799999999988</v>
      </c>
      <c r="I154" s="26">
        <v>141571.98000000001</v>
      </c>
      <c r="J154" s="26">
        <v>0</v>
      </c>
      <c r="K154" s="26">
        <v>141571.98000000001</v>
      </c>
      <c r="L154" s="26">
        <v>-99695.799999999988</v>
      </c>
      <c r="M154" s="26">
        <v>-141571.98000000001</v>
      </c>
    </row>
    <row r="155" spans="1:13">
      <c r="A155" s="24" t="s">
        <v>118</v>
      </c>
      <c r="B155" s="24" t="s">
        <v>318</v>
      </c>
      <c r="C155" s="25">
        <v>45901</v>
      </c>
      <c r="D155" s="24" t="s">
        <v>2665</v>
      </c>
      <c r="E155" s="26">
        <v>-141571.98000000001</v>
      </c>
      <c r="F155" s="26">
        <v>0</v>
      </c>
      <c r="G155" s="26">
        <v>106535.61</v>
      </c>
      <c r="H155" s="26">
        <v>-35036.369999999981</v>
      </c>
      <c r="I155" s="26">
        <v>141571.98000000001</v>
      </c>
      <c r="J155" s="26">
        <v>0</v>
      </c>
      <c r="K155" s="26">
        <v>141571.98000000001</v>
      </c>
      <c r="L155" s="26">
        <v>-35036.369999999988</v>
      </c>
      <c r="M155" s="26">
        <v>-141571.98000000001</v>
      </c>
    </row>
    <row r="156" spans="1:13">
      <c r="A156" s="24" t="s">
        <v>118</v>
      </c>
      <c r="B156" s="24" t="s">
        <v>318</v>
      </c>
      <c r="C156" s="25">
        <v>45931</v>
      </c>
      <c r="D156" s="24" t="s">
        <v>2666</v>
      </c>
      <c r="E156" s="26">
        <v>-141571.98000000001</v>
      </c>
      <c r="F156" s="26">
        <v>0</v>
      </c>
      <c r="G156" s="26">
        <v>165040.76999999999</v>
      </c>
      <c r="H156" s="26">
        <v>23468.790000000041</v>
      </c>
      <c r="I156" s="26">
        <v>141571.98000000001</v>
      </c>
      <c r="J156" s="26">
        <v>0</v>
      </c>
      <c r="K156" s="26">
        <v>141571.98000000001</v>
      </c>
      <c r="L156" s="26">
        <v>23468.790000000019</v>
      </c>
      <c r="M156" s="26">
        <v>-141571.98000000001</v>
      </c>
    </row>
    <row r="157" spans="1:13">
      <c r="A157" s="24" t="s">
        <v>118</v>
      </c>
      <c r="B157" s="24" t="s">
        <v>318</v>
      </c>
      <c r="C157" s="25">
        <v>45962</v>
      </c>
      <c r="D157" s="24" t="s">
        <v>2667</v>
      </c>
      <c r="E157" s="26">
        <v>-20964.439999999991</v>
      </c>
      <c r="F157" s="26">
        <v>0</v>
      </c>
      <c r="G157" s="26">
        <v>53823.640000000007</v>
      </c>
      <c r="H157" s="26">
        <v>32859.200000000033</v>
      </c>
      <c r="I157" s="26">
        <v>141571.98000000001</v>
      </c>
      <c r="J157" s="26">
        <v>0</v>
      </c>
      <c r="K157" s="26">
        <v>141571.98000000001</v>
      </c>
      <c r="L157" s="26">
        <v>79676.400000000023</v>
      </c>
      <c r="M157" s="26">
        <v>-188389.18</v>
      </c>
    </row>
    <row r="158" spans="1:13">
      <c r="A158" s="24" t="s">
        <v>118</v>
      </c>
      <c r="B158" s="24" t="s">
        <v>318</v>
      </c>
      <c r="C158" s="25">
        <v>45992</v>
      </c>
      <c r="D158" s="24" t="s">
        <v>2668</v>
      </c>
      <c r="E158" s="26">
        <v>-20964.439999999991</v>
      </c>
      <c r="F158" s="26">
        <v>0</v>
      </c>
      <c r="G158" s="26">
        <v>53823.640000000007</v>
      </c>
      <c r="H158" s="26">
        <v>32859.200000000033</v>
      </c>
      <c r="I158" s="26">
        <v>141571.98000000001</v>
      </c>
      <c r="J158" s="26">
        <v>0</v>
      </c>
      <c r="K158" s="26">
        <v>141571.98000000001</v>
      </c>
      <c r="L158" s="26">
        <v>79676.400000000023</v>
      </c>
      <c r="M158" s="26">
        <v>-188389.18</v>
      </c>
    </row>
    <row r="159" spans="1:13">
      <c r="A159" s="24" t="s">
        <v>99</v>
      </c>
      <c r="B159" s="24" t="s">
        <v>345</v>
      </c>
      <c r="C159" s="25">
        <v>45658</v>
      </c>
      <c r="D159" s="24" t="s">
        <v>2657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</row>
    <row r="160" spans="1:13">
      <c r="A160" s="24" t="s">
        <v>99</v>
      </c>
      <c r="B160" s="24" t="s">
        <v>345</v>
      </c>
      <c r="C160" s="25">
        <v>45689</v>
      </c>
      <c r="D160" s="24" t="s">
        <v>2658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</row>
    <row r="161" spans="1:13">
      <c r="A161" s="24" t="s">
        <v>99</v>
      </c>
      <c r="B161" s="24" t="s">
        <v>345</v>
      </c>
      <c r="C161" s="25">
        <v>45717</v>
      </c>
      <c r="D161" s="24" t="s">
        <v>2659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</row>
    <row r="162" spans="1:13">
      <c r="A162" s="24" t="s">
        <v>99</v>
      </c>
      <c r="B162" s="24" t="s">
        <v>345</v>
      </c>
      <c r="C162" s="25">
        <v>45748</v>
      </c>
      <c r="D162" s="24" t="s">
        <v>2660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</row>
    <row r="163" spans="1:13">
      <c r="A163" s="24" t="s">
        <v>99</v>
      </c>
      <c r="B163" s="24" t="s">
        <v>345</v>
      </c>
      <c r="C163" s="25">
        <v>45778</v>
      </c>
      <c r="D163" s="24" t="s">
        <v>2661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</row>
    <row r="164" spans="1:13">
      <c r="A164" s="24" t="s">
        <v>99</v>
      </c>
      <c r="B164" s="24" t="s">
        <v>345</v>
      </c>
      <c r="C164" s="25">
        <v>45809</v>
      </c>
      <c r="D164" s="24" t="s">
        <v>2662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</row>
    <row r="165" spans="1:13">
      <c r="A165" s="24" t="s">
        <v>99</v>
      </c>
      <c r="B165" s="24" t="s">
        <v>345</v>
      </c>
      <c r="C165" s="25">
        <v>45839</v>
      </c>
      <c r="D165" s="24" t="s">
        <v>2663</v>
      </c>
      <c r="E165" s="26">
        <v>0</v>
      </c>
      <c r="F165" s="26">
        <v>0</v>
      </c>
      <c r="G165" s="26">
        <v>0</v>
      </c>
      <c r="H165" s="26">
        <v>0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</row>
    <row r="166" spans="1:13">
      <c r="A166" s="24" t="s">
        <v>99</v>
      </c>
      <c r="B166" s="24" t="s">
        <v>345</v>
      </c>
      <c r="C166" s="25">
        <v>45870</v>
      </c>
      <c r="D166" s="24" t="s">
        <v>2664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</row>
    <row r="167" spans="1:13">
      <c r="A167" s="24" t="s">
        <v>99</v>
      </c>
      <c r="B167" s="24" t="s">
        <v>345</v>
      </c>
      <c r="C167" s="25">
        <v>45901</v>
      </c>
      <c r="D167" s="24" t="s">
        <v>2665</v>
      </c>
      <c r="E167" s="26">
        <v>0</v>
      </c>
      <c r="F167" s="26">
        <v>67692.86</v>
      </c>
      <c r="G167" s="26">
        <v>0</v>
      </c>
      <c r="H167" s="26">
        <v>67692.86</v>
      </c>
      <c r="I167" s="26">
        <v>0</v>
      </c>
      <c r="J167" s="26">
        <v>500901.74</v>
      </c>
      <c r="K167" s="26">
        <v>500901.74</v>
      </c>
      <c r="L167" s="26">
        <v>0</v>
      </c>
      <c r="M167" s="26">
        <v>-433208.88</v>
      </c>
    </row>
    <row r="168" spans="1:13">
      <c r="A168" s="24" t="s">
        <v>99</v>
      </c>
      <c r="B168" s="24" t="s">
        <v>345</v>
      </c>
      <c r="C168" s="25">
        <v>45931</v>
      </c>
      <c r="D168" s="24" t="s">
        <v>2666</v>
      </c>
      <c r="E168" s="26">
        <v>-34318.28</v>
      </c>
      <c r="F168" s="26">
        <v>142899.84</v>
      </c>
      <c r="G168" s="26">
        <v>0</v>
      </c>
      <c r="H168" s="26">
        <v>108581.56</v>
      </c>
      <c r="I168" s="26">
        <v>34318.28</v>
      </c>
      <c r="J168" s="26">
        <v>1025145.84</v>
      </c>
      <c r="K168" s="26">
        <v>1059464.1200000001</v>
      </c>
      <c r="L168" s="26">
        <v>39733.94</v>
      </c>
      <c r="M168" s="26">
        <v>-990616.5</v>
      </c>
    </row>
    <row r="169" spans="1:13">
      <c r="A169" s="24" t="s">
        <v>99</v>
      </c>
      <c r="B169" s="24" t="s">
        <v>345</v>
      </c>
      <c r="C169" s="25">
        <v>45962</v>
      </c>
      <c r="D169" s="24" t="s">
        <v>2667</v>
      </c>
      <c r="E169" s="26">
        <v>155859.51</v>
      </c>
      <c r="F169" s="26">
        <v>142899.84</v>
      </c>
      <c r="G169" s="26">
        <v>0</v>
      </c>
      <c r="H169" s="26">
        <v>298759.34999999998</v>
      </c>
      <c r="I169" s="26">
        <v>34318.28</v>
      </c>
      <c r="J169" s="26">
        <v>969974.06</v>
      </c>
      <c r="K169" s="26">
        <v>1004292.34</v>
      </c>
      <c r="L169" s="26">
        <v>94905.72</v>
      </c>
      <c r="M169" s="26">
        <v>-800438.71000000008</v>
      </c>
    </row>
    <row r="170" spans="1:13">
      <c r="A170" s="24" t="s">
        <v>99</v>
      </c>
      <c r="B170" s="24" t="s">
        <v>345</v>
      </c>
      <c r="C170" s="25">
        <v>45992</v>
      </c>
      <c r="D170" s="24" t="s">
        <v>2668</v>
      </c>
      <c r="E170" s="26">
        <v>248142.96</v>
      </c>
      <c r="F170" s="26">
        <v>142899.84</v>
      </c>
      <c r="G170" s="26">
        <v>0</v>
      </c>
      <c r="H170" s="26">
        <v>391042.8</v>
      </c>
      <c r="I170" s="26">
        <v>145696.91</v>
      </c>
      <c r="J170" s="26">
        <v>886660.3</v>
      </c>
      <c r="K170" s="26">
        <v>1032357.21</v>
      </c>
      <c r="L170" s="26">
        <v>66840.849999999991</v>
      </c>
      <c r="M170" s="26">
        <v>-708155.26000000013</v>
      </c>
    </row>
    <row r="171" spans="1:13">
      <c r="A171" s="24" t="s">
        <v>36</v>
      </c>
      <c r="B171" s="24" t="s">
        <v>324</v>
      </c>
      <c r="C171" s="25">
        <v>45658</v>
      </c>
      <c r="D171" s="24" t="s">
        <v>2657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</row>
    <row r="172" spans="1:13">
      <c r="A172" s="24" t="s">
        <v>36</v>
      </c>
      <c r="B172" s="24" t="s">
        <v>324</v>
      </c>
      <c r="C172" s="25">
        <v>45689</v>
      </c>
      <c r="D172" s="24" t="s">
        <v>2658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</row>
    <row r="173" spans="1:13">
      <c r="A173" s="24" t="s">
        <v>36</v>
      </c>
      <c r="B173" s="24" t="s">
        <v>324</v>
      </c>
      <c r="C173" s="25">
        <v>45717</v>
      </c>
      <c r="D173" s="24" t="s">
        <v>2659</v>
      </c>
      <c r="E173" s="26">
        <v>0</v>
      </c>
      <c r="F173" s="26">
        <v>0</v>
      </c>
      <c r="G173" s="26">
        <v>0</v>
      </c>
      <c r="H173" s="26">
        <v>0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</row>
    <row r="174" spans="1:13">
      <c r="A174" s="24" t="s">
        <v>36</v>
      </c>
      <c r="B174" s="24" t="s">
        <v>324</v>
      </c>
      <c r="C174" s="25">
        <v>45748</v>
      </c>
      <c r="D174" s="24" t="s">
        <v>2660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</row>
    <row r="175" spans="1:13">
      <c r="A175" s="24" t="s">
        <v>36</v>
      </c>
      <c r="B175" s="24" t="s">
        <v>324</v>
      </c>
      <c r="C175" s="25">
        <v>45778</v>
      </c>
      <c r="D175" s="24" t="s">
        <v>2661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</row>
    <row r="176" spans="1:13">
      <c r="A176" s="24" t="s">
        <v>36</v>
      </c>
      <c r="B176" s="24" t="s">
        <v>324</v>
      </c>
      <c r="C176" s="25">
        <v>45809</v>
      </c>
      <c r="D176" s="24" t="s">
        <v>2662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</row>
    <row r="177" spans="1:13">
      <c r="A177" s="24" t="s">
        <v>36</v>
      </c>
      <c r="B177" s="24" t="s">
        <v>324</v>
      </c>
      <c r="C177" s="25">
        <v>45839</v>
      </c>
      <c r="D177" s="24" t="s">
        <v>2663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</row>
    <row r="178" spans="1:13">
      <c r="A178" s="24" t="s">
        <v>36</v>
      </c>
      <c r="B178" s="24" t="s">
        <v>324</v>
      </c>
      <c r="C178" s="25">
        <v>45870</v>
      </c>
      <c r="D178" s="24" t="s">
        <v>2664</v>
      </c>
      <c r="E178" s="26">
        <v>147427.94</v>
      </c>
      <c r="F178" s="26">
        <v>0</v>
      </c>
      <c r="G178" s="26">
        <v>0</v>
      </c>
      <c r="H178" s="26">
        <v>147427.94</v>
      </c>
      <c r="I178" s="26">
        <v>0</v>
      </c>
      <c r="J178" s="26">
        <v>0</v>
      </c>
      <c r="K178" s="26">
        <v>0</v>
      </c>
      <c r="L178" s="26">
        <v>66201.72</v>
      </c>
      <c r="M178" s="26">
        <v>81226.22</v>
      </c>
    </row>
    <row r="179" spans="1:13">
      <c r="A179" s="24" t="s">
        <v>36</v>
      </c>
      <c r="B179" s="24" t="s">
        <v>324</v>
      </c>
      <c r="C179" s="25">
        <v>45901</v>
      </c>
      <c r="D179" s="24" t="s">
        <v>2665</v>
      </c>
      <c r="E179" s="26">
        <v>147427.94</v>
      </c>
      <c r="F179" s="26">
        <v>0</v>
      </c>
      <c r="G179" s="26">
        <v>0</v>
      </c>
      <c r="H179" s="26">
        <v>147427.94</v>
      </c>
      <c r="I179" s="26">
        <v>0</v>
      </c>
      <c r="J179" s="26">
        <v>0</v>
      </c>
      <c r="K179" s="26">
        <v>0</v>
      </c>
      <c r="L179" s="26">
        <v>137538.01</v>
      </c>
      <c r="M179" s="26">
        <v>9889.929999999993</v>
      </c>
    </row>
    <row r="180" spans="1:13">
      <c r="A180" s="24" t="s">
        <v>36</v>
      </c>
      <c r="B180" s="24" t="s">
        <v>324</v>
      </c>
      <c r="C180" s="25">
        <v>45931</v>
      </c>
      <c r="D180" s="24" t="s">
        <v>2666</v>
      </c>
      <c r="E180" s="26">
        <v>-59249.279999999999</v>
      </c>
      <c r="F180" s="26">
        <v>0</v>
      </c>
      <c r="G180" s="26">
        <v>0</v>
      </c>
      <c r="H180" s="26">
        <v>-59249.279999999999</v>
      </c>
      <c r="I180" s="26">
        <v>139176.29</v>
      </c>
      <c r="J180" s="26">
        <v>0</v>
      </c>
      <c r="K180" s="26">
        <v>139176.29</v>
      </c>
      <c r="L180" s="26">
        <v>-119345.69</v>
      </c>
      <c r="M180" s="26">
        <v>-79079.88</v>
      </c>
    </row>
    <row r="181" spans="1:13">
      <c r="A181" s="24" t="s">
        <v>36</v>
      </c>
      <c r="B181" s="24" t="s">
        <v>324</v>
      </c>
      <c r="C181" s="25">
        <v>45962</v>
      </c>
      <c r="D181" s="24" t="s">
        <v>2667</v>
      </c>
      <c r="E181" s="26">
        <v>-59249.279999999999</v>
      </c>
      <c r="F181" s="26">
        <v>0</v>
      </c>
      <c r="G181" s="26">
        <v>0</v>
      </c>
      <c r="H181" s="26">
        <v>-59249.279999999999</v>
      </c>
      <c r="I181" s="26">
        <v>139176.29</v>
      </c>
      <c r="J181" s="26">
        <v>0</v>
      </c>
      <c r="K181" s="26">
        <v>139176.29</v>
      </c>
      <c r="L181" s="26">
        <v>-119345.69</v>
      </c>
      <c r="M181" s="26">
        <v>-79079.88</v>
      </c>
    </row>
    <row r="182" spans="1:13">
      <c r="A182" s="24" t="s">
        <v>36</v>
      </c>
      <c r="B182" s="24" t="s">
        <v>324</v>
      </c>
      <c r="C182" s="25">
        <v>45992</v>
      </c>
      <c r="D182" s="24" t="s">
        <v>2668</v>
      </c>
      <c r="E182" s="26">
        <v>-59249.279999999999</v>
      </c>
      <c r="F182" s="26">
        <v>0</v>
      </c>
      <c r="G182" s="26">
        <v>3189.8699999999949</v>
      </c>
      <c r="H182" s="26">
        <v>-56059.41</v>
      </c>
      <c r="I182" s="26">
        <v>139176.29</v>
      </c>
      <c r="J182" s="26">
        <v>0</v>
      </c>
      <c r="K182" s="26">
        <v>139176.29</v>
      </c>
      <c r="L182" s="26">
        <v>-56059.41</v>
      </c>
      <c r="M182" s="26">
        <v>-139176.29</v>
      </c>
    </row>
    <row r="183" spans="1:13">
      <c r="A183" s="24" t="s">
        <v>121</v>
      </c>
      <c r="B183" s="24" t="s">
        <v>318</v>
      </c>
      <c r="C183" s="25">
        <v>45658</v>
      </c>
      <c r="D183" s="24" t="s">
        <v>2657</v>
      </c>
      <c r="E183" s="26">
        <v>0</v>
      </c>
      <c r="F183" s="26">
        <v>0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</row>
    <row r="184" spans="1:13">
      <c r="A184" s="24" t="s">
        <v>121</v>
      </c>
      <c r="B184" s="24" t="s">
        <v>318</v>
      </c>
      <c r="C184" s="25">
        <v>45689</v>
      </c>
      <c r="D184" s="24" t="s">
        <v>2658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</row>
    <row r="185" spans="1:13">
      <c r="A185" s="24" t="s">
        <v>121</v>
      </c>
      <c r="B185" s="24" t="s">
        <v>318</v>
      </c>
      <c r="C185" s="25">
        <v>45717</v>
      </c>
      <c r="D185" s="24" t="s">
        <v>2659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</row>
    <row r="186" spans="1:13">
      <c r="A186" s="24" t="s">
        <v>121</v>
      </c>
      <c r="B186" s="24" t="s">
        <v>318</v>
      </c>
      <c r="C186" s="25">
        <v>45748</v>
      </c>
      <c r="D186" s="24" t="s">
        <v>2660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</row>
    <row r="187" spans="1:13">
      <c r="A187" s="24" t="s">
        <v>121</v>
      </c>
      <c r="B187" s="24" t="s">
        <v>318</v>
      </c>
      <c r="C187" s="25">
        <v>45778</v>
      </c>
      <c r="D187" s="24" t="s">
        <v>2661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</row>
    <row r="188" spans="1:13">
      <c r="A188" s="24" t="s">
        <v>121</v>
      </c>
      <c r="B188" s="24" t="s">
        <v>318</v>
      </c>
      <c r="C188" s="25">
        <v>45809</v>
      </c>
      <c r="D188" s="24" t="s">
        <v>2662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</row>
    <row r="189" spans="1:13">
      <c r="A189" s="24" t="s">
        <v>121</v>
      </c>
      <c r="B189" s="24" t="s">
        <v>318</v>
      </c>
      <c r="C189" s="25">
        <v>45839</v>
      </c>
      <c r="D189" s="24" t="s">
        <v>2663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</row>
    <row r="190" spans="1:13">
      <c r="A190" s="24" t="s">
        <v>121</v>
      </c>
      <c r="B190" s="24" t="s">
        <v>318</v>
      </c>
      <c r="C190" s="25">
        <v>45870</v>
      </c>
      <c r="D190" s="24" t="s">
        <v>2664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</row>
    <row r="191" spans="1:13">
      <c r="A191" s="24" t="s">
        <v>121</v>
      </c>
      <c r="B191" s="24" t="s">
        <v>318</v>
      </c>
      <c r="C191" s="25">
        <v>45901</v>
      </c>
      <c r="D191" s="24" t="s">
        <v>2665</v>
      </c>
      <c r="E191" s="26">
        <v>0</v>
      </c>
      <c r="F191" s="26">
        <v>0</v>
      </c>
      <c r="G191" s="26">
        <v>79256.759999999995</v>
      </c>
      <c r="H191" s="26">
        <v>79256.759999999995</v>
      </c>
      <c r="I191" s="26">
        <v>0</v>
      </c>
      <c r="J191" s="26">
        <v>0</v>
      </c>
      <c r="K191" s="26">
        <v>0</v>
      </c>
      <c r="L191" s="26">
        <v>79256.759999999995</v>
      </c>
      <c r="M191" s="26">
        <v>0</v>
      </c>
    </row>
    <row r="192" spans="1:13">
      <c r="A192" s="24" t="s">
        <v>121</v>
      </c>
      <c r="B192" s="24" t="s">
        <v>318</v>
      </c>
      <c r="C192" s="25">
        <v>45931</v>
      </c>
      <c r="D192" s="24" t="s">
        <v>2666</v>
      </c>
      <c r="E192" s="26">
        <v>0</v>
      </c>
      <c r="F192" s="26">
        <v>0</v>
      </c>
      <c r="G192" s="26">
        <v>79256.759999999995</v>
      </c>
      <c r="H192" s="26">
        <v>79256.759999999995</v>
      </c>
      <c r="I192" s="26">
        <v>0</v>
      </c>
      <c r="J192" s="26">
        <v>0</v>
      </c>
      <c r="K192" s="26">
        <v>0</v>
      </c>
      <c r="L192" s="26">
        <v>79256.759999999995</v>
      </c>
      <c r="M192" s="26">
        <v>0</v>
      </c>
    </row>
    <row r="193" spans="1:13">
      <c r="A193" s="24" t="s">
        <v>121</v>
      </c>
      <c r="B193" s="24" t="s">
        <v>318</v>
      </c>
      <c r="C193" s="25">
        <v>45962</v>
      </c>
      <c r="D193" s="24" t="s">
        <v>2667</v>
      </c>
      <c r="E193" s="26">
        <v>0</v>
      </c>
      <c r="F193" s="26">
        <v>0</v>
      </c>
      <c r="G193" s="26">
        <v>135330.56</v>
      </c>
      <c r="H193" s="26">
        <v>135330.56</v>
      </c>
      <c r="I193" s="26">
        <v>0</v>
      </c>
      <c r="J193" s="26">
        <v>0</v>
      </c>
      <c r="K193" s="26">
        <v>0</v>
      </c>
      <c r="L193" s="26">
        <v>135330.56</v>
      </c>
      <c r="M193" s="26">
        <v>0</v>
      </c>
    </row>
    <row r="194" spans="1:13">
      <c r="A194" s="24" t="s">
        <v>121</v>
      </c>
      <c r="B194" s="24" t="s">
        <v>318</v>
      </c>
      <c r="C194" s="25">
        <v>45992</v>
      </c>
      <c r="D194" s="24" t="s">
        <v>2668</v>
      </c>
      <c r="E194" s="26">
        <v>0</v>
      </c>
      <c r="F194" s="26">
        <v>0</v>
      </c>
      <c r="G194" s="26">
        <v>135330.56</v>
      </c>
      <c r="H194" s="26">
        <v>135330.56</v>
      </c>
      <c r="I194" s="26">
        <v>0</v>
      </c>
      <c r="J194" s="26">
        <v>206268.58</v>
      </c>
      <c r="K194" s="26">
        <v>206268.58</v>
      </c>
      <c r="L194" s="26">
        <v>135330.56</v>
      </c>
      <c r="M194" s="26">
        <v>-206268.58</v>
      </c>
    </row>
    <row r="195" spans="1:13">
      <c r="A195" s="24" t="s">
        <v>53</v>
      </c>
      <c r="B195" s="24" t="s">
        <v>324</v>
      </c>
      <c r="C195" s="25">
        <v>45658</v>
      </c>
      <c r="D195" s="24" t="s">
        <v>2657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</row>
    <row r="196" spans="1:13">
      <c r="A196" s="24" t="s">
        <v>53</v>
      </c>
      <c r="B196" s="24" t="s">
        <v>324</v>
      </c>
      <c r="C196" s="25">
        <v>45689</v>
      </c>
      <c r="D196" s="24" t="s">
        <v>2658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</row>
    <row r="197" spans="1:13">
      <c r="A197" s="24" t="s">
        <v>53</v>
      </c>
      <c r="B197" s="24" t="s">
        <v>324</v>
      </c>
      <c r="C197" s="25">
        <v>45717</v>
      </c>
      <c r="D197" s="24" t="s">
        <v>2659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</row>
    <row r="198" spans="1:13">
      <c r="A198" s="24" t="s">
        <v>53</v>
      </c>
      <c r="B198" s="24" t="s">
        <v>324</v>
      </c>
      <c r="C198" s="25">
        <v>45748</v>
      </c>
      <c r="D198" s="24" t="s">
        <v>2660</v>
      </c>
      <c r="E198" s="26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</row>
    <row r="199" spans="1:13">
      <c r="A199" s="24" t="s">
        <v>53</v>
      </c>
      <c r="B199" s="24" t="s">
        <v>324</v>
      </c>
      <c r="C199" s="25">
        <v>45778</v>
      </c>
      <c r="D199" s="24" t="s">
        <v>2661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</row>
    <row r="200" spans="1:13">
      <c r="A200" s="24" t="s">
        <v>53</v>
      </c>
      <c r="B200" s="24" t="s">
        <v>324</v>
      </c>
      <c r="C200" s="25">
        <v>45809</v>
      </c>
      <c r="D200" s="24" t="s">
        <v>2662</v>
      </c>
      <c r="E200" s="26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</row>
    <row r="201" spans="1:13">
      <c r="A201" s="24" t="s">
        <v>53</v>
      </c>
      <c r="B201" s="24" t="s">
        <v>324</v>
      </c>
      <c r="C201" s="25">
        <v>45839</v>
      </c>
      <c r="D201" s="24" t="s">
        <v>2663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</row>
    <row r="202" spans="1:13">
      <c r="A202" s="24" t="s">
        <v>53</v>
      </c>
      <c r="B202" s="24" t="s">
        <v>324</v>
      </c>
      <c r="C202" s="25">
        <v>45870</v>
      </c>
      <c r="D202" s="24" t="s">
        <v>2664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</row>
    <row r="203" spans="1:13">
      <c r="A203" s="24" t="s">
        <v>53</v>
      </c>
      <c r="B203" s="24" t="s">
        <v>324</v>
      </c>
      <c r="C203" s="25">
        <v>45901</v>
      </c>
      <c r="D203" s="24" t="s">
        <v>2665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</row>
    <row r="204" spans="1:13">
      <c r="A204" s="24" t="s">
        <v>53</v>
      </c>
      <c r="B204" s="24" t="s">
        <v>324</v>
      </c>
      <c r="C204" s="25">
        <v>45931</v>
      </c>
      <c r="D204" s="24" t="s">
        <v>2666</v>
      </c>
      <c r="E204" s="26">
        <v>0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</row>
    <row r="205" spans="1:13">
      <c r="A205" s="24" t="s">
        <v>53</v>
      </c>
      <c r="B205" s="24" t="s">
        <v>324</v>
      </c>
      <c r="C205" s="25">
        <v>45962</v>
      </c>
      <c r="D205" s="24" t="s">
        <v>2667</v>
      </c>
      <c r="E205" s="26">
        <v>0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</row>
    <row r="206" spans="1:13">
      <c r="A206" s="24" t="s">
        <v>53</v>
      </c>
      <c r="B206" s="24" t="s">
        <v>324</v>
      </c>
      <c r="C206" s="25">
        <v>45992</v>
      </c>
      <c r="D206" s="24" t="s">
        <v>2668</v>
      </c>
      <c r="E206" s="26">
        <v>-100515</v>
      </c>
      <c r="F206" s="26">
        <v>181739.23</v>
      </c>
      <c r="G206" s="26">
        <v>0</v>
      </c>
      <c r="H206" s="26">
        <v>81224.23000000001</v>
      </c>
      <c r="I206" s="26">
        <v>100515</v>
      </c>
      <c r="J206" s="26">
        <v>0</v>
      </c>
      <c r="K206" s="26">
        <v>100515</v>
      </c>
      <c r="L206" s="26">
        <v>-100515</v>
      </c>
      <c r="M206" s="26">
        <v>81224.23000000001</v>
      </c>
    </row>
    <row r="207" spans="1:13">
      <c r="A207" s="24" t="s">
        <v>16</v>
      </c>
      <c r="B207" s="24" t="s">
        <v>318</v>
      </c>
      <c r="C207" s="25">
        <v>45658</v>
      </c>
      <c r="D207" s="24" t="s">
        <v>2657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</row>
    <row r="208" spans="1:13">
      <c r="A208" s="24" t="s">
        <v>16</v>
      </c>
      <c r="B208" s="24" t="s">
        <v>318</v>
      </c>
      <c r="C208" s="25">
        <v>45689</v>
      </c>
      <c r="D208" s="24" t="s">
        <v>2658</v>
      </c>
      <c r="E208" s="26">
        <v>0</v>
      </c>
      <c r="F208" s="26">
        <v>0</v>
      </c>
      <c r="G208" s="26">
        <v>0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</row>
    <row r="209" spans="1:13">
      <c r="A209" s="24" t="s">
        <v>16</v>
      </c>
      <c r="B209" s="24" t="s">
        <v>318</v>
      </c>
      <c r="C209" s="25">
        <v>45717</v>
      </c>
      <c r="D209" s="24" t="s">
        <v>2659</v>
      </c>
      <c r="E209" s="26">
        <v>0</v>
      </c>
      <c r="F209" s="26">
        <v>0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</row>
    <row r="210" spans="1:13">
      <c r="A210" s="24" t="s">
        <v>16</v>
      </c>
      <c r="B210" s="24" t="s">
        <v>318</v>
      </c>
      <c r="C210" s="25">
        <v>45748</v>
      </c>
      <c r="D210" s="24" t="s">
        <v>2660</v>
      </c>
      <c r="E210" s="26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0</v>
      </c>
      <c r="L210" s="26">
        <v>0</v>
      </c>
      <c r="M210" s="26">
        <v>0</v>
      </c>
    </row>
    <row r="211" spans="1:13">
      <c r="A211" s="24" t="s">
        <v>16</v>
      </c>
      <c r="B211" s="24" t="s">
        <v>318</v>
      </c>
      <c r="C211" s="25">
        <v>45778</v>
      </c>
      <c r="D211" s="24" t="s">
        <v>2661</v>
      </c>
      <c r="E211" s="26">
        <v>0</v>
      </c>
      <c r="F211" s="26">
        <v>0</v>
      </c>
      <c r="G211" s="26">
        <v>0</v>
      </c>
      <c r="H211" s="26">
        <v>0</v>
      </c>
      <c r="I211" s="26">
        <v>0</v>
      </c>
      <c r="J211" s="26">
        <v>0</v>
      </c>
      <c r="K211" s="26">
        <v>0</v>
      </c>
      <c r="L211" s="26">
        <v>0</v>
      </c>
      <c r="M211" s="26">
        <v>0</v>
      </c>
    </row>
    <row r="212" spans="1:13">
      <c r="A212" s="24" t="s">
        <v>16</v>
      </c>
      <c r="B212" s="24" t="s">
        <v>318</v>
      </c>
      <c r="C212" s="25">
        <v>45809</v>
      </c>
      <c r="D212" s="24" t="s">
        <v>2662</v>
      </c>
      <c r="E212" s="26">
        <v>0</v>
      </c>
      <c r="F212" s="26">
        <v>0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</row>
    <row r="213" spans="1:13">
      <c r="A213" s="24" t="s">
        <v>16</v>
      </c>
      <c r="B213" s="24" t="s">
        <v>318</v>
      </c>
      <c r="C213" s="25">
        <v>45839</v>
      </c>
      <c r="D213" s="24" t="s">
        <v>2663</v>
      </c>
      <c r="E213" s="26">
        <v>0</v>
      </c>
      <c r="F213" s="26">
        <v>0</v>
      </c>
      <c r="G213" s="26">
        <v>32476.560000000001</v>
      </c>
      <c r="H213" s="26">
        <v>32476.560000000001</v>
      </c>
      <c r="I213" s="26">
        <v>0</v>
      </c>
      <c r="J213" s="26">
        <v>0</v>
      </c>
      <c r="K213" s="26">
        <v>0</v>
      </c>
      <c r="L213" s="26">
        <v>32476.560000000001</v>
      </c>
      <c r="M213" s="26">
        <v>0</v>
      </c>
    </row>
    <row r="214" spans="1:13">
      <c r="A214" s="24" t="s">
        <v>16</v>
      </c>
      <c r="B214" s="24" t="s">
        <v>318</v>
      </c>
      <c r="C214" s="25">
        <v>45870</v>
      </c>
      <c r="D214" s="24" t="s">
        <v>2664</v>
      </c>
      <c r="E214" s="26">
        <v>0</v>
      </c>
      <c r="F214" s="26">
        <v>0</v>
      </c>
      <c r="G214" s="26">
        <v>32476.560000000001</v>
      </c>
      <c r="H214" s="26">
        <v>32476.560000000001</v>
      </c>
      <c r="I214" s="26">
        <v>0</v>
      </c>
      <c r="J214" s="26">
        <v>0</v>
      </c>
      <c r="K214" s="26">
        <v>0</v>
      </c>
      <c r="L214" s="26">
        <v>32476.560000000001</v>
      </c>
      <c r="M214" s="26">
        <v>0</v>
      </c>
    </row>
    <row r="215" spans="1:13">
      <c r="A215" s="24" t="s">
        <v>16</v>
      </c>
      <c r="B215" s="24" t="s">
        <v>318</v>
      </c>
      <c r="C215" s="25">
        <v>45901</v>
      </c>
      <c r="D215" s="24" t="s">
        <v>2665</v>
      </c>
      <c r="E215" s="26">
        <v>0</v>
      </c>
      <c r="F215" s="26">
        <v>0</v>
      </c>
      <c r="G215" s="26">
        <v>81443.55</v>
      </c>
      <c r="H215" s="26">
        <v>81443.55</v>
      </c>
      <c r="I215" s="26">
        <v>0</v>
      </c>
      <c r="J215" s="26">
        <v>0</v>
      </c>
      <c r="K215" s="26">
        <v>0</v>
      </c>
      <c r="L215" s="26">
        <v>81443.55</v>
      </c>
      <c r="M215" s="26">
        <v>0</v>
      </c>
    </row>
    <row r="216" spans="1:13">
      <c r="A216" s="24" t="s">
        <v>16</v>
      </c>
      <c r="B216" s="24" t="s">
        <v>318</v>
      </c>
      <c r="C216" s="25">
        <v>45931</v>
      </c>
      <c r="D216" s="24" t="s">
        <v>2666</v>
      </c>
      <c r="E216" s="26">
        <v>0</v>
      </c>
      <c r="F216" s="26">
        <v>0</v>
      </c>
      <c r="G216" s="26">
        <v>117261.88</v>
      </c>
      <c r="H216" s="26">
        <v>117261.88</v>
      </c>
      <c r="I216" s="26">
        <v>0</v>
      </c>
      <c r="J216" s="26">
        <v>729648.64000000001</v>
      </c>
      <c r="K216" s="26">
        <v>729648.64000000001</v>
      </c>
      <c r="L216" s="26">
        <v>117261.88</v>
      </c>
      <c r="M216" s="26">
        <v>-729648.64000000001</v>
      </c>
    </row>
    <row r="217" spans="1:13">
      <c r="A217" s="24" t="s">
        <v>16</v>
      </c>
      <c r="B217" s="24" t="s">
        <v>318</v>
      </c>
      <c r="C217" s="25">
        <v>45962</v>
      </c>
      <c r="D217" s="24" t="s">
        <v>2667</v>
      </c>
      <c r="E217" s="26">
        <v>202063.69</v>
      </c>
      <c r="F217" s="26">
        <v>0</v>
      </c>
      <c r="G217" s="26">
        <v>0</v>
      </c>
      <c r="H217" s="26">
        <v>202063.69</v>
      </c>
      <c r="I217" s="26">
        <v>0</v>
      </c>
      <c r="J217" s="26">
        <v>729648.64000000001</v>
      </c>
      <c r="K217" s="26">
        <v>729648.64000000001</v>
      </c>
      <c r="L217" s="26">
        <v>117261.88</v>
      </c>
      <c r="M217" s="26">
        <v>-644846.82999999996</v>
      </c>
    </row>
    <row r="218" spans="1:13">
      <c r="A218" s="24" t="s">
        <v>16</v>
      </c>
      <c r="B218" s="24" t="s">
        <v>318</v>
      </c>
      <c r="C218" s="25">
        <v>45992</v>
      </c>
      <c r="D218" s="24" t="s">
        <v>2668</v>
      </c>
      <c r="E218" s="26">
        <v>-41798.950000000012</v>
      </c>
      <c r="F218" s="26">
        <v>0</v>
      </c>
      <c r="G218" s="26">
        <v>0</v>
      </c>
      <c r="H218" s="26">
        <v>-41798.950000000012</v>
      </c>
      <c r="I218" s="26">
        <v>0</v>
      </c>
      <c r="J218" s="26">
        <v>729648.64000000001</v>
      </c>
      <c r="K218" s="26">
        <v>729648.64000000001</v>
      </c>
      <c r="L218" s="26">
        <v>-126600.76</v>
      </c>
      <c r="M218" s="26">
        <v>-644846.83000000007</v>
      </c>
    </row>
    <row r="219" spans="1:13">
      <c r="A219" s="24" t="s">
        <v>74</v>
      </c>
      <c r="B219" s="24" t="s">
        <v>337</v>
      </c>
      <c r="C219" s="25">
        <v>45658</v>
      </c>
      <c r="D219" s="24" t="s">
        <v>2657</v>
      </c>
      <c r="E219" s="26">
        <v>0</v>
      </c>
      <c r="F219" s="26">
        <v>0</v>
      </c>
      <c r="G219" s="26">
        <v>0</v>
      </c>
      <c r="H219" s="26">
        <v>0</v>
      </c>
      <c r="I219" s="26">
        <v>0</v>
      </c>
      <c r="J219" s="26">
        <v>0</v>
      </c>
      <c r="K219" s="26">
        <v>0</v>
      </c>
      <c r="L219" s="26">
        <v>0</v>
      </c>
      <c r="M219" s="26">
        <v>0</v>
      </c>
    </row>
    <row r="220" spans="1:13">
      <c r="A220" s="24" t="s">
        <v>74</v>
      </c>
      <c r="B220" s="24" t="s">
        <v>337</v>
      </c>
      <c r="C220" s="25">
        <v>45689</v>
      </c>
      <c r="D220" s="24" t="s">
        <v>2658</v>
      </c>
      <c r="E220" s="26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</row>
    <row r="221" spans="1:13">
      <c r="A221" s="24" t="s">
        <v>74</v>
      </c>
      <c r="B221" s="24" t="s">
        <v>337</v>
      </c>
      <c r="C221" s="25">
        <v>45717</v>
      </c>
      <c r="D221" s="24" t="s">
        <v>2659</v>
      </c>
      <c r="E221" s="26">
        <v>0</v>
      </c>
      <c r="F221" s="26">
        <v>0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</row>
    <row r="222" spans="1:13">
      <c r="A222" s="24" t="s">
        <v>74</v>
      </c>
      <c r="B222" s="24" t="s">
        <v>337</v>
      </c>
      <c r="C222" s="25">
        <v>45748</v>
      </c>
      <c r="D222" s="24" t="s">
        <v>2660</v>
      </c>
      <c r="E222" s="26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</row>
    <row r="223" spans="1:13">
      <c r="A223" s="24" t="s">
        <v>74</v>
      </c>
      <c r="B223" s="24" t="s">
        <v>337</v>
      </c>
      <c r="C223" s="25">
        <v>45778</v>
      </c>
      <c r="D223" s="24" t="s">
        <v>2661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</row>
    <row r="224" spans="1:13">
      <c r="A224" s="24" t="s">
        <v>74</v>
      </c>
      <c r="B224" s="24" t="s">
        <v>337</v>
      </c>
      <c r="C224" s="25">
        <v>45809</v>
      </c>
      <c r="D224" s="24" t="s">
        <v>2662</v>
      </c>
      <c r="E224" s="26">
        <v>0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</row>
    <row r="225" spans="1:13">
      <c r="A225" s="24" t="s">
        <v>74</v>
      </c>
      <c r="B225" s="24" t="s">
        <v>337</v>
      </c>
      <c r="C225" s="25">
        <v>45839</v>
      </c>
      <c r="D225" s="24" t="s">
        <v>2663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</row>
    <row r="226" spans="1:13">
      <c r="A226" s="24" t="s">
        <v>74</v>
      </c>
      <c r="B226" s="24" t="s">
        <v>337</v>
      </c>
      <c r="C226" s="25">
        <v>45870</v>
      </c>
      <c r="D226" s="24" t="s">
        <v>2664</v>
      </c>
      <c r="E226" s="26">
        <v>0</v>
      </c>
      <c r="F226" s="26">
        <v>68968.13</v>
      </c>
      <c r="G226" s="26">
        <v>0</v>
      </c>
      <c r="H226" s="26">
        <v>68968.13</v>
      </c>
      <c r="I226" s="26">
        <v>0</v>
      </c>
      <c r="J226" s="26">
        <v>63308.2</v>
      </c>
      <c r="K226" s="26">
        <v>63308.2</v>
      </c>
      <c r="L226" s="26">
        <v>31783.83</v>
      </c>
      <c r="M226" s="26">
        <v>-26123.899999999991</v>
      </c>
    </row>
    <row r="227" spans="1:13">
      <c r="A227" s="24" t="s">
        <v>74</v>
      </c>
      <c r="B227" s="24" t="s">
        <v>337</v>
      </c>
      <c r="C227" s="25">
        <v>45901</v>
      </c>
      <c r="D227" s="24" t="s">
        <v>2665</v>
      </c>
      <c r="E227" s="26">
        <v>0</v>
      </c>
      <c r="F227" s="26">
        <v>68968.13</v>
      </c>
      <c r="G227" s="26">
        <v>0</v>
      </c>
      <c r="H227" s="26">
        <v>68968.13</v>
      </c>
      <c r="I227" s="26">
        <v>0</v>
      </c>
      <c r="J227" s="26">
        <v>63308.2</v>
      </c>
      <c r="K227" s="26">
        <v>63308.2</v>
      </c>
      <c r="L227" s="26">
        <v>31783.83</v>
      </c>
      <c r="M227" s="26">
        <v>-26123.899999999991</v>
      </c>
    </row>
    <row r="228" spans="1:13">
      <c r="A228" s="24" t="s">
        <v>74</v>
      </c>
      <c r="B228" s="24" t="s">
        <v>337</v>
      </c>
      <c r="C228" s="25">
        <v>45931</v>
      </c>
      <c r="D228" s="24" t="s">
        <v>2666</v>
      </c>
      <c r="E228" s="26">
        <v>-29863.31</v>
      </c>
      <c r="F228" s="26">
        <v>68968.13</v>
      </c>
      <c r="G228" s="26">
        <v>0</v>
      </c>
      <c r="H228" s="26">
        <v>39104.820000000007</v>
      </c>
      <c r="I228" s="26">
        <v>0</v>
      </c>
      <c r="J228" s="26">
        <v>31577.72</v>
      </c>
      <c r="K228" s="26">
        <v>31577.72</v>
      </c>
      <c r="L228" s="26">
        <v>33651</v>
      </c>
      <c r="M228" s="26">
        <v>-26123.899999999991</v>
      </c>
    </row>
    <row r="229" spans="1:13">
      <c r="A229" s="24" t="s">
        <v>74</v>
      </c>
      <c r="B229" s="24" t="s">
        <v>337</v>
      </c>
      <c r="C229" s="25">
        <v>45962</v>
      </c>
      <c r="D229" s="24" t="s">
        <v>2667</v>
      </c>
      <c r="E229" s="26">
        <v>-29863.31</v>
      </c>
      <c r="F229" s="26">
        <v>68968.13</v>
      </c>
      <c r="G229" s="26">
        <v>21960.319999999989</v>
      </c>
      <c r="H229" s="26">
        <v>61065.14</v>
      </c>
      <c r="I229" s="26">
        <v>0</v>
      </c>
      <c r="J229" s="26">
        <v>4163.5800000000017</v>
      </c>
      <c r="K229" s="26">
        <v>4163.5800000000017</v>
      </c>
      <c r="L229" s="26">
        <v>61065.14</v>
      </c>
      <c r="M229" s="26">
        <v>-4163.5800000000017</v>
      </c>
    </row>
    <row r="230" spans="1:13">
      <c r="A230" s="24" t="s">
        <v>74</v>
      </c>
      <c r="B230" s="24" t="s">
        <v>337</v>
      </c>
      <c r="C230" s="25">
        <v>45992</v>
      </c>
      <c r="D230" s="24" t="s">
        <v>2668</v>
      </c>
      <c r="E230" s="26">
        <v>-105153.27</v>
      </c>
      <c r="F230" s="26">
        <v>68968.13</v>
      </c>
      <c r="G230" s="26">
        <v>8764.4899999999907</v>
      </c>
      <c r="H230" s="26">
        <v>-27420.650000000009</v>
      </c>
      <c r="I230" s="26">
        <v>103238.57</v>
      </c>
      <c r="J230" s="26">
        <v>0</v>
      </c>
      <c r="K230" s="26">
        <v>103238.57</v>
      </c>
      <c r="L230" s="26">
        <v>-27420.650000000009</v>
      </c>
      <c r="M230" s="26">
        <v>-103238.57</v>
      </c>
    </row>
    <row r="231" spans="1:13">
      <c r="A231" s="24" t="s">
        <v>18</v>
      </c>
      <c r="B231" s="24" t="s">
        <v>329</v>
      </c>
      <c r="C231" s="25">
        <v>45658</v>
      </c>
      <c r="D231" s="24" t="s">
        <v>2657</v>
      </c>
      <c r="E231" s="26">
        <v>0</v>
      </c>
      <c r="F231" s="26">
        <v>0</v>
      </c>
      <c r="G231" s="26">
        <v>0</v>
      </c>
      <c r="H231" s="26">
        <v>0</v>
      </c>
      <c r="I231" s="26">
        <v>0</v>
      </c>
      <c r="J231" s="26">
        <v>0</v>
      </c>
      <c r="K231" s="26">
        <v>0</v>
      </c>
      <c r="L231" s="26">
        <v>0</v>
      </c>
      <c r="M231" s="26">
        <v>0</v>
      </c>
    </row>
    <row r="232" spans="1:13">
      <c r="A232" s="24" t="s">
        <v>18</v>
      </c>
      <c r="B232" s="24" t="s">
        <v>329</v>
      </c>
      <c r="C232" s="25">
        <v>45689</v>
      </c>
      <c r="D232" s="24" t="s">
        <v>2658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</row>
    <row r="233" spans="1:13">
      <c r="A233" s="24" t="s">
        <v>18</v>
      </c>
      <c r="B233" s="24" t="s">
        <v>329</v>
      </c>
      <c r="C233" s="25">
        <v>45717</v>
      </c>
      <c r="D233" s="24" t="s">
        <v>2659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</row>
    <row r="234" spans="1:13">
      <c r="A234" s="24" t="s">
        <v>18</v>
      </c>
      <c r="B234" s="24" t="s">
        <v>329</v>
      </c>
      <c r="C234" s="25">
        <v>45748</v>
      </c>
      <c r="D234" s="24" t="s">
        <v>2660</v>
      </c>
      <c r="E234" s="26">
        <v>0</v>
      </c>
      <c r="F234" s="26">
        <v>0</v>
      </c>
      <c r="G234" s="26">
        <v>0</v>
      </c>
      <c r="H234" s="26">
        <v>0</v>
      </c>
      <c r="I234" s="26">
        <v>0</v>
      </c>
      <c r="J234" s="26">
        <v>0</v>
      </c>
      <c r="K234" s="26">
        <v>0</v>
      </c>
      <c r="L234" s="26">
        <v>0</v>
      </c>
      <c r="M234" s="26">
        <v>0</v>
      </c>
    </row>
    <row r="235" spans="1:13">
      <c r="A235" s="24" t="s">
        <v>18</v>
      </c>
      <c r="B235" s="24" t="s">
        <v>329</v>
      </c>
      <c r="C235" s="25">
        <v>45778</v>
      </c>
      <c r="D235" s="24" t="s">
        <v>2661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</row>
    <row r="236" spans="1:13">
      <c r="A236" s="24" t="s">
        <v>18</v>
      </c>
      <c r="B236" s="24" t="s">
        <v>329</v>
      </c>
      <c r="C236" s="25">
        <v>45809</v>
      </c>
      <c r="D236" s="24" t="s">
        <v>2662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</row>
    <row r="237" spans="1:13">
      <c r="A237" s="24" t="s">
        <v>18</v>
      </c>
      <c r="B237" s="24" t="s">
        <v>329</v>
      </c>
      <c r="C237" s="25">
        <v>45839</v>
      </c>
      <c r="D237" s="24" t="s">
        <v>2663</v>
      </c>
      <c r="E237" s="26">
        <v>0</v>
      </c>
      <c r="F237" s="26">
        <v>0</v>
      </c>
      <c r="G237" s="26">
        <v>0</v>
      </c>
      <c r="H237" s="26">
        <v>0</v>
      </c>
      <c r="I237" s="26">
        <v>0</v>
      </c>
      <c r="J237" s="26">
        <v>0</v>
      </c>
      <c r="K237" s="26">
        <v>0</v>
      </c>
      <c r="L237" s="26">
        <v>0</v>
      </c>
      <c r="M237" s="26">
        <v>0</v>
      </c>
    </row>
    <row r="238" spans="1:13">
      <c r="A238" s="24" t="s">
        <v>18</v>
      </c>
      <c r="B238" s="24" t="s">
        <v>329</v>
      </c>
      <c r="C238" s="25">
        <v>45870</v>
      </c>
      <c r="D238" s="24" t="s">
        <v>2664</v>
      </c>
      <c r="E238" s="26">
        <v>0</v>
      </c>
      <c r="F238" s="26">
        <v>188846.62</v>
      </c>
      <c r="G238" s="26">
        <v>0</v>
      </c>
      <c r="H238" s="26">
        <v>188846.62</v>
      </c>
      <c r="I238" s="26">
        <v>0</v>
      </c>
      <c r="J238" s="26">
        <v>0</v>
      </c>
      <c r="K238" s="26">
        <v>0</v>
      </c>
      <c r="L238" s="26">
        <v>91967.96</v>
      </c>
      <c r="M238" s="26">
        <v>96878.659999999989</v>
      </c>
    </row>
    <row r="239" spans="1:13">
      <c r="A239" s="24" t="s">
        <v>18</v>
      </c>
      <c r="B239" s="24" t="s">
        <v>329</v>
      </c>
      <c r="C239" s="25">
        <v>45901</v>
      </c>
      <c r="D239" s="24" t="s">
        <v>2665</v>
      </c>
      <c r="E239" s="26">
        <v>0</v>
      </c>
      <c r="F239" s="26">
        <v>188846.62</v>
      </c>
      <c r="G239" s="26">
        <v>0</v>
      </c>
      <c r="H239" s="26">
        <v>188846.62</v>
      </c>
      <c r="I239" s="26">
        <v>0</v>
      </c>
      <c r="J239" s="26">
        <v>485282.49999999988</v>
      </c>
      <c r="K239" s="26">
        <v>485282.49999999988</v>
      </c>
      <c r="L239" s="26">
        <v>91967.96</v>
      </c>
      <c r="M239" s="26">
        <v>-388403.84</v>
      </c>
    </row>
    <row r="240" spans="1:13">
      <c r="A240" s="24" t="s">
        <v>18</v>
      </c>
      <c r="B240" s="24" t="s">
        <v>329</v>
      </c>
      <c r="C240" s="25">
        <v>45931</v>
      </c>
      <c r="D240" s="24" t="s">
        <v>2666</v>
      </c>
      <c r="E240" s="26">
        <v>0</v>
      </c>
      <c r="F240" s="26">
        <v>188846.62</v>
      </c>
      <c r="G240" s="26">
        <v>0</v>
      </c>
      <c r="H240" s="26">
        <v>188846.62</v>
      </c>
      <c r="I240" s="26">
        <v>0</v>
      </c>
      <c r="J240" s="26">
        <v>485282.49999999988</v>
      </c>
      <c r="K240" s="26">
        <v>485282.49999999988</v>
      </c>
      <c r="L240" s="26">
        <v>91967.96</v>
      </c>
      <c r="M240" s="26">
        <v>-388403.84</v>
      </c>
    </row>
    <row r="241" spans="1:13">
      <c r="A241" s="24" t="s">
        <v>18</v>
      </c>
      <c r="B241" s="24" t="s">
        <v>329</v>
      </c>
      <c r="C241" s="25">
        <v>45962</v>
      </c>
      <c r="D241" s="24" t="s">
        <v>2667</v>
      </c>
      <c r="E241" s="26">
        <v>0</v>
      </c>
      <c r="F241" s="26">
        <v>188846.62</v>
      </c>
      <c r="G241" s="26">
        <v>0</v>
      </c>
      <c r="H241" s="26">
        <v>188846.62</v>
      </c>
      <c r="I241" s="26">
        <v>0</v>
      </c>
      <c r="J241" s="26">
        <v>485282.49999999988</v>
      </c>
      <c r="K241" s="26">
        <v>485282.49999999988</v>
      </c>
      <c r="L241" s="26">
        <v>91967.96</v>
      </c>
      <c r="M241" s="26">
        <v>-388403.84</v>
      </c>
    </row>
    <row r="242" spans="1:13">
      <c r="A242" s="24" t="s">
        <v>18</v>
      </c>
      <c r="B242" s="24" t="s">
        <v>329</v>
      </c>
      <c r="C242" s="25">
        <v>45992</v>
      </c>
      <c r="D242" s="24" t="s">
        <v>2668</v>
      </c>
      <c r="E242" s="26">
        <v>0</v>
      </c>
      <c r="F242" s="26">
        <v>188846.62</v>
      </c>
      <c r="G242" s="26">
        <v>0</v>
      </c>
      <c r="H242" s="26">
        <v>188846.62</v>
      </c>
      <c r="I242" s="26">
        <v>0</v>
      </c>
      <c r="J242" s="26">
        <v>485282.49999999988</v>
      </c>
      <c r="K242" s="26">
        <v>485282.49999999988</v>
      </c>
      <c r="L242" s="26">
        <v>91967.96</v>
      </c>
      <c r="M242" s="26">
        <v>-388403.84</v>
      </c>
    </row>
    <row r="243" spans="1:13">
      <c r="A243" s="24" t="s">
        <v>285</v>
      </c>
      <c r="B243" s="24" t="s">
        <v>329</v>
      </c>
      <c r="C243" s="25">
        <v>45658</v>
      </c>
      <c r="D243" s="24" t="s">
        <v>2657</v>
      </c>
      <c r="E243" s="26">
        <v>0</v>
      </c>
      <c r="F243" s="26">
        <v>0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</row>
    <row r="244" spans="1:13">
      <c r="A244" s="24" t="s">
        <v>285</v>
      </c>
      <c r="B244" s="24" t="s">
        <v>329</v>
      </c>
      <c r="C244" s="25">
        <v>45689</v>
      </c>
      <c r="D244" s="24" t="s">
        <v>2658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</row>
    <row r="245" spans="1:13">
      <c r="A245" s="24" t="s">
        <v>285</v>
      </c>
      <c r="B245" s="24" t="s">
        <v>329</v>
      </c>
      <c r="C245" s="25">
        <v>45717</v>
      </c>
      <c r="D245" s="24" t="s">
        <v>2659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</row>
    <row r="246" spans="1:13">
      <c r="A246" s="24" t="s">
        <v>285</v>
      </c>
      <c r="B246" s="24" t="s">
        <v>329</v>
      </c>
      <c r="C246" s="25">
        <v>45748</v>
      </c>
      <c r="D246" s="24" t="s">
        <v>2660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</row>
    <row r="247" spans="1:13">
      <c r="A247" s="24" t="s">
        <v>285</v>
      </c>
      <c r="B247" s="24" t="s">
        <v>329</v>
      </c>
      <c r="C247" s="25">
        <v>45778</v>
      </c>
      <c r="D247" s="24" t="s">
        <v>2661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</row>
    <row r="248" spans="1:13">
      <c r="A248" s="24" t="s">
        <v>285</v>
      </c>
      <c r="B248" s="24" t="s">
        <v>329</v>
      </c>
      <c r="C248" s="25">
        <v>45809</v>
      </c>
      <c r="D248" s="24" t="s">
        <v>2662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</row>
    <row r="249" spans="1:13">
      <c r="A249" s="24" t="s">
        <v>285</v>
      </c>
      <c r="B249" s="24" t="s">
        <v>329</v>
      </c>
      <c r="C249" s="25">
        <v>45839</v>
      </c>
      <c r="D249" s="24" t="s">
        <v>2663</v>
      </c>
      <c r="E249" s="26">
        <v>0</v>
      </c>
      <c r="F249" s="26">
        <v>0</v>
      </c>
      <c r="G249" s="26">
        <v>0</v>
      </c>
      <c r="H249" s="26">
        <v>0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</row>
    <row r="250" spans="1:13">
      <c r="A250" s="24" t="s">
        <v>285</v>
      </c>
      <c r="B250" s="24" t="s">
        <v>329</v>
      </c>
      <c r="C250" s="25">
        <v>45870</v>
      </c>
      <c r="D250" s="24" t="s">
        <v>2664</v>
      </c>
      <c r="E250" s="26">
        <v>0</v>
      </c>
      <c r="F250" s="26">
        <v>79170.14</v>
      </c>
      <c r="G250" s="26">
        <v>0</v>
      </c>
      <c r="H250" s="26">
        <v>79170.14</v>
      </c>
      <c r="I250" s="26">
        <v>0</v>
      </c>
      <c r="J250" s="26">
        <v>0</v>
      </c>
      <c r="K250" s="26">
        <v>0</v>
      </c>
      <c r="L250" s="26">
        <v>42785.98</v>
      </c>
      <c r="M250" s="26">
        <v>36384.160000000003</v>
      </c>
    </row>
    <row r="251" spans="1:13">
      <c r="A251" s="24" t="s">
        <v>285</v>
      </c>
      <c r="B251" s="24" t="s">
        <v>329</v>
      </c>
      <c r="C251" s="25">
        <v>45901</v>
      </c>
      <c r="D251" s="24" t="s">
        <v>2665</v>
      </c>
      <c r="E251" s="26">
        <v>0</v>
      </c>
      <c r="F251" s="26">
        <v>79170.14</v>
      </c>
      <c r="G251" s="26">
        <v>30544.680000000011</v>
      </c>
      <c r="H251" s="26">
        <v>109714.82</v>
      </c>
      <c r="I251" s="26">
        <v>0</v>
      </c>
      <c r="J251" s="26">
        <v>234534.82</v>
      </c>
      <c r="K251" s="26">
        <v>234534.82</v>
      </c>
      <c r="L251" s="26">
        <v>109714.82</v>
      </c>
      <c r="M251" s="26">
        <v>-234534.82</v>
      </c>
    </row>
    <row r="252" spans="1:13">
      <c r="A252" s="24" t="s">
        <v>285</v>
      </c>
      <c r="B252" s="24" t="s">
        <v>329</v>
      </c>
      <c r="C252" s="25">
        <v>45931</v>
      </c>
      <c r="D252" s="24" t="s">
        <v>2666</v>
      </c>
      <c r="E252" s="26">
        <v>-206924.53</v>
      </c>
      <c r="F252" s="26">
        <v>79170.14</v>
      </c>
      <c r="G252" s="26">
        <v>30544.680000000011</v>
      </c>
      <c r="H252" s="26">
        <v>-97209.709999999992</v>
      </c>
      <c r="I252" s="26">
        <v>0</v>
      </c>
      <c r="J252" s="26">
        <v>469262.50000000012</v>
      </c>
      <c r="K252" s="26">
        <v>469262.50000000012</v>
      </c>
      <c r="L252" s="26">
        <v>-97209.709999999992</v>
      </c>
      <c r="M252" s="26">
        <v>-469262.50000000012</v>
      </c>
    </row>
    <row r="253" spans="1:13">
      <c r="A253" s="24" t="s">
        <v>285</v>
      </c>
      <c r="B253" s="24" t="s">
        <v>329</v>
      </c>
      <c r="C253" s="25">
        <v>45962</v>
      </c>
      <c r="D253" s="24" t="s">
        <v>2667</v>
      </c>
      <c r="E253" s="26">
        <v>-206924.53</v>
      </c>
      <c r="F253" s="26">
        <v>79170.14</v>
      </c>
      <c r="G253" s="26">
        <v>57180.67</v>
      </c>
      <c r="H253" s="26">
        <v>-70573.72</v>
      </c>
      <c r="I253" s="26">
        <v>0</v>
      </c>
      <c r="J253" s="26">
        <v>442626.51000000013</v>
      </c>
      <c r="K253" s="26">
        <v>442626.51000000013</v>
      </c>
      <c r="L253" s="26">
        <v>-70573.719999999987</v>
      </c>
      <c r="M253" s="26">
        <v>-442626.51000000013</v>
      </c>
    </row>
    <row r="254" spans="1:13">
      <c r="A254" s="24" t="s">
        <v>285</v>
      </c>
      <c r="B254" s="24" t="s">
        <v>329</v>
      </c>
      <c r="C254" s="25">
        <v>45992</v>
      </c>
      <c r="D254" s="24" t="s">
        <v>2668</v>
      </c>
      <c r="E254" s="26">
        <v>-243799.04000000001</v>
      </c>
      <c r="F254" s="26">
        <v>79170.14</v>
      </c>
      <c r="G254" s="26">
        <v>130754.21</v>
      </c>
      <c r="H254" s="26">
        <v>-33874.690000000053</v>
      </c>
      <c r="I254" s="26">
        <v>36874.51</v>
      </c>
      <c r="J254" s="26">
        <v>369052.97000000009</v>
      </c>
      <c r="K254" s="26">
        <v>405927.4800000001</v>
      </c>
      <c r="L254" s="26">
        <v>-33874.69</v>
      </c>
      <c r="M254" s="26">
        <v>-405927.48000000021</v>
      </c>
    </row>
    <row r="255" spans="1:13">
      <c r="A255" s="24" t="s">
        <v>219</v>
      </c>
      <c r="B255" s="24" t="s">
        <v>337</v>
      </c>
      <c r="C255" s="25">
        <v>45658</v>
      </c>
      <c r="D255" s="24" t="s">
        <v>2657</v>
      </c>
      <c r="E255" s="26">
        <v>0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6">
        <v>0</v>
      </c>
      <c r="M255" s="26">
        <v>0</v>
      </c>
    </row>
    <row r="256" spans="1:13">
      <c r="A256" s="24" t="s">
        <v>219</v>
      </c>
      <c r="B256" s="24" t="s">
        <v>337</v>
      </c>
      <c r="C256" s="25">
        <v>45689</v>
      </c>
      <c r="D256" s="24" t="s">
        <v>2658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</row>
    <row r="257" spans="1:13">
      <c r="A257" s="24" t="s">
        <v>219</v>
      </c>
      <c r="B257" s="24" t="s">
        <v>337</v>
      </c>
      <c r="C257" s="25">
        <v>45717</v>
      </c>
      <c r="D257" s="24" t="s">
        <v>2659</v>
      </c>
      <c r="E257" s="26">
        <v>0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>
        <v>0</v>
      </c>
      <c r="L257" s="26">
        <v>0</v>
      </c>
      <c r="M257" s="26">
        <v>0</v>
      </c>
    </row>
    <row r="258" spans="1:13">
      <c r="A258" s="24" t="s">
        <v>219</v>
      </c>
      <c r="B258" s="24" t="s">
        <v>337</v>
      </c>
      <c r="C258" s="25">
        <v>45748</v>
      </c>
      <c r="D258" s="24" t="s">
        <v>2660</v>
      </c>
      <c r="E258" s="26">
        <v>0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</row>
    <row r="259" spans="1:13">
      <c r="A259" s="24" t="s">
        <v>219</v>
      </c>
      <c r="B259" s="24" t="s">
        <v>337</v>
      </c>
      <c r="C259" s="25">
        <v>45778</v>
      </c>
      <c r="D259" s="24" t="s">
        <v>2661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</row>
    <row r="260" spans="1:13">
      <c r="A260" s="24" t="s">
        <v>219</v>
      </c>
      <c r="B260" s="24" t="s">
        <v>337</v>
      </c>
      <c r="C260" s="25">
        <v>45809</v>
      </c>
      <c r="D260" s="24" t="s">
        <v>2662</v>
      </c>
      <c r="E260" s="26">
        <v>0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>
        <v>0</v>
      </c>
      <c r="L260" s="26">
        <v>0</v>
      </c>
      <c r="M260" s="26">
        <v>0</v>
      </c>
    </row>
    <row r="261" spans="1:13">
      <c r="A261" s="24" t="s">
        <v>219</v>
      </c>
      <c r="B261" s="24" t="s">
        <v>337</v>
      </c>
      <c r="C261" s="25">
        <v>45839</v>
      </c>
      <c r="D261" s="24" t="s">
        <v>2663</v>
      </c>
      <c r="E261" s="26">
        <v>0</v>
      </c>
      <c r="F261" s="26">
        <v>0</v>
      </c>
      <c r="G261" s="26">
        <v>53316.52</v>
      </c>
      <c r="H261" s="26">
        <v>53316.52</v>
      </c>
      <c r="I261" s="26">
        <v>0</v>
      </c>
      <c r="J261" s="26">
        <v>0</v>
      </c>
      <c r="K261" s="26">
        <v>0</v>
      </c>
      <c r="L261" s="26">
        <v>53316.52</v>
      </c>
      <c r="M261" s="26">
        <v>0</v>
      </c>
    </row>
    <row r="262" spans="1:13">
      <c r="A262" s="24" t="s">
        <v>219</v>
      </c>
      <c r="B262" s="24" t="s">
        <v>337</v>
      </c>
      <c r="C262" s="25">
        <v>45870</v>
      </c>
      <c r="D262" s="24" t="s">
        <v>2664</v>
      </c>
      <c r="E262" s="26">
        <v>140955.73000000001</v>
      </c>
      <c r="F262" s="26">
        <v>163444.31</v>
      </c>
      <c r="G262" s="26">
        <v>0</v>
      </c>
      <c r="H262" s="26">
        <v>304400.03999999998</v>
      </c>
      <c r="I262" s="26">
        <v>0</v>
      </c>
      <c r="J262" s="26">
        <v>0</v>
      </c>
      <c r="K262" s="26">
        <v>0</v>
      </c>
      <c r="L262" s="26">
        <v>53316.52</v>
      </c>
      <c r="M262" s="26">
        <v>251083.51999999999</v>
      </c>
    </row>
    <row r="263" spans="1:13">
      <c r="A263" s="24" t="s">
        <v>219</v>
      </c>
      <c r="B263" s="24" t="s">
        <v>337</v>
      </c>
      <c r="C263" s="25">
        <v>45901</v>
      </c>
      <c r="D263" s="24" t="s">
        <v>2665</v>
      </c>
      <c r="E263" s="26">
        <v>140955.73000000001</v>
      </c>
      <c r="F263" s="26">
        <v>163444.31</v>
      </c>
      <c r="G263" s="26">
        <v>0</v>
      </c>
      <c r="H263" s="26">
        <v>304400.03999999998</v>
      </c>
      <c r="I263" s="26">
        <v>0</v>
      </c>
      <c r="J263" s="26">
        <v>0</v>
      </c>
      <c r="K263" s="26">
        <v>0</v>
      </c>
      <c r="L263" s="26">
        <v>53316.52</v>
      </c>
      <c r="M263" s="26">
        <v>251083.51999999999</v>
      </c>
    </row>
    <row r="264" spans="1:13">
      <c r="A264" s="24" t="s">
        <v>219</v>
      </c>
      <c r="B264" s="24" t="s">
        <v>337</v>
      </c>
      <c r="C264" s="25">
        <v>45931</v>
      </c>
      <c r="D264" s="24" t="s">
        <v>2666</v>
      </c>
      <c r="E264" s="26">
        <v>87881.180000000008</v>
      </c>
      <c r="F264" s="26">
        <v>163444.31</v>
      </c>
      <c r="G264" s="26">
        <v>0</v>
      </c>
      <c r="H264" s="26">
        <v>251325.49</v>
      </c>
      <c r="I264" s="26">
        <v>53074.55</v>
      </c>
      <c r="J264" s="26">
        <v>783313.48</v>
      </c>
      <c r="K264" s="26">
        <v>836388.03</v>
      </c>
      <c r="L264" s="26">
        <v>241.96999999999389</v>
      </c>
      <c r="M264" s="26">
        <v>-585304.51</v>
      </c>
    </row>
    <row r="265" spans="1:13">
      <c r="A265" s="24" t="s">
        <v>219</v>
      </c>
      <c r="B265" s="24" t="s">
        <v>337</v>
      </c>
      <c r="C265" s="25">
        <v>45962</v>
      </c>
      <c r="D265" s="24" t="s">
        <v>2667</v>
      </c>
      <c r="E265" s="26">
        <v>87881.180000000008</v>
      </c>
      <c r="F265" s="26">
        <v>163444.31</v>
      </c>
      <c r="G265" s="26">
        <v>0</v>
      </c>
      <c r="H265" s="26">
        <v>251325.49</v>
      </c>
      <c r="I265" s="26">
        <v>53074.55</v>
      </c>
      <c r="J265" s="26">
        <v>783313.48</v>
      </c>
      <c r="K265" s="26">
        <v>836388.03</v>
      </c>
      <c r="L265" s="26">
        <v>241.96999999999389</v>
      </c>
      <c r="M265" s="26">
        <v>-585304.51</v>
      </c>
    </row>
    <row r="266" spans="1:13">
      <c r="A266" s="24" t="s">
        <v>219</v>
      </c>
      <c r="B266" s="24" t="s">
        <v>337</v>
      </c>
      <c r="C266" s="25">
        <v>45992</v>
      </c>
      <c r="D266" s="24" t="s">
        <v>2668</v>
      </c>
      <c r="E266" s="26">
        <v>-2883.8799999999901</v>
      </c>
      <c r="F266" s="26">
        <v>163444.31</v>
      </c>
      <c r="G266" s="26">
        <v>0</v>
      </c>
      <c r="H266" s="26">
        <v>160560.43</v>
      </c>
      <c r="I266" s="26">
        <v>53074.55</v>
      </c>
      <c r="J266" s="26">
        <v>783313.48</v>
      </c>
      <c r="K266" s="26">
        <v>836388.03</v>
      </c>
      <c r="L266" s="26">
        <v>-90523.09</v>
      </c>
      <c r="M266" s="26">
        <v>-585304.51000000013</v>
      </c>
    </row>
    <row r="267" spans="1:13">
      <c r="A267" s="24" t="s">
        <v>63</v>
      </c>
      <c r="B267" s="24" t="s">
        <v>329</v>
      </c>
      <c r="C267" s="25">
        <v>45658</v>
      </c>
      <c r="D267" s="24" t="s">
        <v>2657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>
        <v>0</v>
      </c>
    </row>
    <row r="268" spans="1:13">
      <c r="A268" s="24" t="s">
        <v>63</v>
      </c>
      <c r="B268" s="24" t="s">
        <v>329</v>
      </c>
      <c r="C268" s="25">
        <v>45689</v>
      </c>
      <c r="D268" s="24" t="s">
        <v>2658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</row>
    <row r="269" spans="1:13">
      <c r="A269" s="24" t="s">
        <v>63</v>
      </c>
      <c r="B269" s="24" t="s">
        <v>329</v>
      </c>
      <c r="C269" s="25">
        <v>45717</v>
      </c>
      <c r="D269" s="24" t="s">
        <v>2659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</row>
    <row r="270" spans="1:13">
      <c r="A270" s="24" t="s">
        <v>63</v>
      </c>
      <c r="B270" s="24" t="s">
        <v>329</v>
      </c>
      <c r="C270" s="25">
        <v>45748</v>
      </c>
      <c r="D270" s="24" t="s">
        <v>2660</v>
      </c>
      <c r="E270" s="26">
        <v>0</v>
      </c>
      <c r="F270" s="26">
        <v>0</v>
      </c>
      <c r="G270" s="26">
        <v>0</v>
      </c>
      <c r="H270" s="26">
        <v>0</v>
      </c>
      <c r="I270" s="26">
        <v>0</v>
      </c>
      <c r="J270" s="26">
        <v>0</v>
      </c>
      <c r="K270" s="26">
        <v>0</v>
      </c>
      <c r="L270" s="26">
        <v>0</v>
      </c>
      <c r="M270" s="26">
        <v>0</v>
      </c>
    </row>
    <row r="271" spans="1:13">
      <c r="A271" s="24" t="s">
        <v>63</v>
      </c>
      <c r="B271" s="24" t="s">
        <v>329</v>
      </c>
      <c r="C271" s="25">
        <v>45778</v>
      </c>
      <c r="D271" s="24" t="s">
        <v>2661</v>
      </c>
      <c r="E271" s="26">
        <v>0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6">
        <v>0</v>
      </c>
      <c r="M271" s="26">
        <v>0</v>
      </c>
    </row>
    <row r="272" spans="1:13">
      <c r="A272" s="24" t="s">
        <v>63</v>
      </c>
      <c r="B272" s="24" t="s">
        <v>329</v>
      </c>
      <c r="C272" s="25">
        <v>45809</v>
      </c>
      <c r="D272" s="24" t="s">
        <v>2662</v>
      </c>
      <c r="E272" s="26">
        <v>0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6">
        <v>0</v>
      </c>
      <c r="M272" s="26">
        <v>0</v>
      </c>
    </row>
    <row r="273" spans="1:13">
      <c r="A273" s="24" t="s">
        <v>63</v>
      </c>
      <c r="B273" s="24" t="s">
        <v>329</v>
      </c>
      <c r="C273" s="25">
        <v>45839</v>
      </c>
      <c r="D273" s="24" t="s">
        <v>2663</v>
      </c>
      <c r="E273" s="26">
        <v>0</v>
      </c>
      <c r="F273" s="26">
        <v>0</v>
      </c>
      <c r="G273" s="26">
        <v>35446.300000000003</v>
      </c>
      <c r="H273" s="26">
        <v>35446.300000000003</v>
      </c>
      <c r="I273" s="26">
        <v>0</v>
      </c>
      <c r="J273" s="26">
        <v>0</v>
      </c>
      <c r="K273" s="26">
        <v>0</v>
      </c>
      <c r="L273" s="26">
        <v>35446.300000000003</v>
      </c>
      <c r="M273" s="26">
        <v>0</v>
      </c>
    </row>
    <row r="274" spans="1:13">
      <c r="A274" s="24" t="s">
        <v>63</v>
      </c>
      <c r="B274" s="24" t="s">
        <v>329</v>
      </c>
      <c r="C274" s="25">
        <v>45870</v>
      </c>
      <c r="D274" s="24" t="s">
        <v>2664</v>
      </c>
      <c r="E274" s="26">
        <v>0</v>
      </c>
      <c r="F274" s="26">
        <v>0</v>
      </c>
      <c r="G274" s="26">
        <v>35446.300000000003</v>
      </c>
      <c r="H274" s="26">
        <v>35446.300000000003</v>
      </c>
      <c r="I274" s="26">
        <v>0</v>
      </c>
      <c r="J274" s="26">
        <v>0</v>
      </c>
      <c r="K274" s="26">
        <v>0</v>
      </c>
      <c r="L274" s="26">
        <v>35446.300000000003</v>
      </c>
      <c r="M274" s="26">
        <v>0</v>
      </c>
    </row>
    <row r="275" spans="1:13">
      <c r="A275" s="24" t="s">
        <v>63</v>
      </c>
      <c r="B275" s="24" t="s">
        <v>329</v>
      </c>
      <c r="C275" s="25">
        <v>45901</v>
      </c>
      <c r="D275" s="24" t="s">
        <v>2665</v>
      </c>
      <c r="E275" s="26">
        <v>-92258.08</v>
      </c>
      <c r="F275" s="26">
        <v>0</v>
      </c>
      <c r="G275" s="26">
        <v>50258.75</v>
      </c>
      <c r="H275" s="26">
        <v>-41999.33</v>
      </c>
      <c r="I275" s="26">
        <v>92258.08</v>
      </c>
      <c r="J275" s="26">
        <v>0</v>
      </c>
      <c r="K275" s="26">
        <v>92258.08</v>
      </c>
      <c r="L275" s="26">
        <v>-41999.33</v>
      </c>
      <c r="M275" s="26">
        <v>-92258.08</v>
      </c>
    </row>
    <row r="276" spans="1:13">
      <c r="A276" s="24" t="s">
        <v>63</v>
      </c>
      <c r="B276" s="24" t="s">
        <v>329</v>
      </c>
      <c r="C276" s="25">
        <v>45931</v>
      </c>
      <c r="D276" s="24" t="s">
        <v>2666</v>
      </c>
      <c r="E276" s="26">
        <v>-92258.08</v>
      </c>
      <c r="F276" s="26">
        <v>0</v>
      </c>
      <c r="G276" s="26">
        <v>50258.75</v>
      </c>
      <c r="H276" s="26">
        <v>-41999.33</v>
      </c>
      <c r="I276" s="26">
        <v>92258.08</v>
      </c>
      <c r="J276" s="26">
        <v>0</v>
      </c>
      <c r="K276" s="26">
        <v>92258.08</v>
      </c>
      <c r="L276" s="26">
        <v>-41999.33</v>
      </c>
      <c r="M276" s="26">
        <v>-92258.08</v>
      </c>
    </row>
    <row r="277" spans="1:13">
      <c r="A277" s="24" t="s">
        <v>63</v>
      </c>
      <c r="B277" s="24" t="s">
        <v>329</v>
      </c>
      <c r="C277" s="25">
        <v>45962</v>
      </c>
      <c r="D277" s="24" t="s">
        <v>2667</v>
      </c>
      <c r="E277" s="26">
        <v>-92258.08</v>
      </c>
      <c r="F277" s="26">
        <v>0</v>
      </c>
      <c r="G277" s="26">
        <v>86882.11</v>
      </c>
      <c r="H277" s="26">
        <v>-5375.9700000000012</v>
      </c>
      <c r="I277" s="26">
        <v>92258.08</v>
      </c>
      <c r="J277" s="26">
        <v>0</v>
      </c>
      <c r="K277" s="26">
        <v>92258.08</v>
      </c>
      <c r="L277" s="26">
        <v>-5375.9700000000012</v>
      </c>
      <c r="M277" s="26">
        <v>-92258.08</v>
      </c>
    </row>
    <row r="278" spans="1:13">
      <c r="A278" s="24" t="s">
        <v>63</v>
      </c>
      <c r="B278" s="24" t="s">
        <v>329</v>
      </c>
      <c r="C278" s="25">
        <v>45992</v>
      </c>
      <c r="D278" s="24" t="s">
        <v>2668</v>
      </c>
      <c r="E278" s="26">
        <v>-124121.22</v>
      </c>
      <c r="F278" s="26">
        <v>86038.47</v>
      </c>
      <c r="G278" s="26">
        <v>843.63999999999942</v>
      </c>
      <c r="H278" s="26">
        <v>-37239.11</v>
      </c>
      <c r="I278" s="26">
        <v>92258.08</v>
      </c>
      <c r="J278" s="26">
        <v>0</v>
      </c>
      <c r="K278" s="26">
        <v>92258.08</v>
      </c>
      <c r="L278" s="26">
        <v>-37239.11</v>
      </c>
      <c r="M278" s="26">
        <v>-92258.08</v>
      </c>
    </row>
    <row r="279" spans="1:13">
      <c r="A279" s="24" t="s">
        <v>133</v>
      </c>
      <c r="B279" s="24" t="s">
        <v>324</v>
      </c>
      <c r="C279" s="25">
        <v>45658</v>
      </c>
      <c r="D279" s="24" t="s">
        <v>2657</v>
      </c>
      <c r="E279" s="26">
        <v>0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>
        <v>0</v>
      </c>
      <c r="L279" s="26">
        <v>0</v>
      </c>
      <c r="M279" s="26">
        <v>0</v>
      </c>
    </row>
    <row r="280" spans="1:13">
      <c r="A280" s="24" t="s">
        <v>133</v>
      </c>
      <c r="B280" s="24" t="s">
        <v>324</v>
      </c>
      <c r="C280" s="25">
        <v>45689</v>
      </c>
      <c r="D280" s="24" t="s">
        <v>2658</v>
      </c>
      <c r="E280" s="26">
        <v>0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</row>
    <row r="281" spans="1:13">
      <c r="A281" s="24" t="s">
        <v>133</v>
      </c>
      <c r="B281" s="24" t="s">
        <v>324</v>
      </c>
      <c r="C281" s="25">
        <v>45717</v>
      </c>
      <c r="D281" s="24" t="s">
        <v>2659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</row>
    <row r="282" spans="1:13">
      <c r="A282" s="24" t="s">
        <v>133</v>
      </c>
      <c r="B282" s="24" t="s">
        <v>324</v>
      </c>
      <c r="C282" s="25">
        <v>45748</v>
      </c>
      <c r="D282" s="24" t="s">
        <v>2660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</row>
    <row r="283" spans="1:13">
      <c r="A283" s="24" t="s">
        <v>133</v>
      </c>
      <c r="B283" s="24" t="s">
        <v>324</v>
      </c>
      <c r="C283" s="25">
        <v>45778</v>
      </c>
      <c r="D283" s="24" t="s">
        <v>2661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</row>
    <row r="284" spans="1:13">
      <c r="A284" s="24" t="s">
        <v>133</v>
      </c>
      <c r="B284" s="24" t="s">
        <v>324</v>
      </c>
      <c r="C284" s="25">
        <v>45809</v>
      </c>
      <c r="D284" s="24" t="s">
        <v>2662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</row>
    <row r="285" spans="1:13">
      <c r="A285" s="24" t="s">
        <v>133</v>
      </c>
      <c r="B285" s="24" t="s">
        <v>324</v>
      </c>
      <c r="C285" s="25">
        <v>45839</v>
      </c>
      <c r="D285" s="24" t="s">
        <v>2663</v>
      </c>
      <c r="E285" s="26">
        <v>0</v>
      </c>
      <c r="F285" s="26">
        <v>0</v>
      </c>
      <c r="G285" s="26">
        <v>41455.49</v>
      </c>
      <c r="H285" s="26">
        <v>41455.49</v>
      </c>
      <c r="I285" s="26">
        <v>0</v>
      </c>
      <c r="J285" s="26">
        <v>0</v>
      </c>
      <c r="K285" s="26">
        <v>0</v>
      </c>
      <c r="L285" s="26">
        <v>41455.49</v>
      </c>
      <c r="M285" s="26">
        <v>0</v>
      </c>
    </row>
    <row r="286" spans="1:13">
      <c r="A286" s="24" t="s">
        <v>133</v>
      </c>
      <c r="B286" s="24" t="s">
        <v>324</v>
      </c>
      <c r="C286" s="25">
        <v>45870</v>
      </c>
      <c r="D286" s="24" t="s">
        <v>2664</v>
      </c>
      <c r="E286" s="26">
        <v>0</v>
      </c>
      <c r="F286" s="26">
        <v>0</v>
      </c>
      <c r="G286" s="26">
        <v>95351.4</v>
      </c>
      <c r="H286" s="26">
        <v>95351.4</v>
      </c>
      <c r="I286" s="26">
        <v>0</v>
      </c>
      <c r="J286" s="26">
        <v>126125.67</v>
      </c>
      <c r="K286" s="26">
        <v>126125.67</v>
      </c>
      <c r="L286" s="26">
        <v>95351.4</v>
      </c>
      <c r="M286" s="26">
        <v>-126125.67</v>
      </c>
    </row>
    <row r="287" spans="1:13">
      <c r="A287" s="24" t="s">
        <v>133</v>
      </c>
      <c r="B287" s="24" t="s">
        <v>324</v>
      </c>
      <c r="C287" s="25">
        <v>45901</v>
      </c>
      <c r="D287" s="24" t="s">
        <v>2665</v>
      </c>
      <c r="E287" s="26">
        <v>0</v>
      </c>
      <c r="F287" s="26">
        <v>0</v>
      </c>
      <c r="G287" s="26">
        <v>95351.4</v>
      </c>
      <c r="H287" s="26">
        <v>95351.4</v>
      </c>
      <c r="I287" s="26">
        <v>0</v>
      </c>
      <c r="J287" s="26">
        <v>126125.67</v>
      </c>
      <c r="K287" s="26">
        <v>126125.67</v>
      </c>
      <c r="L287" s="26">
        <v>95351.4</v>
      </c>
      <c r="M287" s="26">
        <v>-126125.67</v>
      </c>
    </row>
    <row r="288" spans="1:13">
      <c r="A288" s="24" t="s">
        <v>133</v>
      </c>
      <c r="B288" s="24" t="s">
        <v>324</v>
      </c>
      <c r="C288" s="25">
        <v>45931</v>
      </c>
      <c r="D288" s="24" t="s">
        <v>2666</v>
      </c>
      <c r="E288" s="26">
        <v>0</v>
      </c>
      <c r="F288" s="26">
        <v>0</v>
      </c>
      <c r="G288" s="26">
        <v>135211.96</v>
      </c>
      <c r="H288" s="26">
        <v>135211.96</v>
      </c>
      <c r="I288" s="26">
        <v>0</v>
      </c>
      <c r="J288" s="26">
        <v>86265.110000000015</v>
      </c>
      <c r="K288" s="26">
        <v>86265.110000000015</v>
      </c>
      <c r="L288" s="26">
        <v>135211.96</v>
      </c>
      <c r="M288" s="26">
        <v>-86265.110000000015</v>
      </c>
    </row>
    <row r="289" spans="1:13">
      <c r="A289" s="24" t="s">
        <v>133</v>
      </c>
      <c r="B289" s="24" t="s">
        <v>324</v>
      </c>
      <c r="C289" s="25">
        <v>45962</v>
      </c>
      <c r="D289" s="24" t="s">
        <v>2667</v>
      </c>
      <c r="E289" s="26">
        <v>-188850.56</v>
      </c>
      <c r="F289" s="26">
        <v>0</v>
      </c>
      <c r="G289" s="26">
        <v>164168.10999999999</v>
      </c>
      <c r="H289" s="26">
        <v>-24682.450000000012</v>
      </c>
      <c r="I289" s="26">
        <v>85776.86</v>
      </c>
      <c r="J289" s="26">
        <v>57308.960000000021</v>
      </c>
      <c r="K289" s="26">
        <v>143085.82</v>
      </c>
      <c r="L289" s="26">
        <v>-24682.450000000012</v>
      </c>
      <c r="M289" s="26">
        <v>-143085.82</v>
      </c>
    </row>
    <row r="290" spans="1:13">
      <c r="A290" s="24" t="s">
        <v>133</v>
      </c>
      <c r="B290" s="24" t="s">
        <v>324</v>
      </c>
      <c r="C290" s="25">
        <v>45992</v>
      </c>
      <c r="D290" s="24" t="s">
        <v>2668</v>
      </c>
      <c r="E290" s="26">
        <v>-260197.24</v>
      </c>
      <c r="F290" s="26">
        <v>0</v>
      </c>
      <c r="G290" s="26">
        <v>164168.10999999999</v>
      </c>
      <c r="H290" s="26">
        <v>-96029.13</v>
      </c>
      <c r="I290" s="26">
        <v>157123.54</v>
      </c>
      <c r="J290" s="26">
        <v>57308.960000000021</v>
      </c>
      <c r="K290" s="26">
        <v>214432.5</v>
      </c>
      <c r="L290" s="26">
        <v>-96029.13</v>
      </c>
      <c r="M290" s="26">
        <v>-214432.5</v>
      </c>
    </row>
    <row r="291" spans="1:13">
      <c r="A291" s="24" t="s">
        <v>202</v>
      </c>
      <c r="B291" s="24" t="s">
        <v>329</v>
      </c>
      <c r="C291" s="25">
        <v>45658</v>
      </c>
      <c r="D291" s="24" t="s">
        <v>2657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</row>
    <row r="292" spans="1:13">
      <c r="A292" s="24" t="s">
        <v>202</v>
      </c>
      <c r="B292" s="24" t="s">
        <v>329</v>
      </c>
      <c r="C292" s="25">
        <v>45689</v>
      </c>
      <c r="D292" s="24" t="s">
        <v>2658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</row>
    <row r="293" spans="1:13">
      <c r="A293" s="24" t="s">
        <v>202</v>
      </c>
      <c r="B293" s="24" t="s">
        <v>329</v>
      </c>
      <c r="C293" s="25">
        <v>45717</v>
      </c>
      <c r="D293" s="24" t="s">
        <v>2659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</row>
    <row r="294" spans="1:13">
      <c r="A294" s="24" t="s">
        <v>202</v>
      </c>
      <c r="B294" s="24" t="s">
        <v>329</v>
      </c>
      <c r="C294" s="25">
        <v>45748</v>
      </c>
      <c r="D294" s="24" t="s">
        <v>2660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</row>
    <row r="295" spans="1:13">
      <c r="A295" s="24" t="s">
        <v>202</v>
      </c>
      <c r="B295" s="24" t="s">
        <v>329</v>
      </c>
      <c r="C295" s="25">
        <v>45778</v>
      </c>
      <c r="D295" s="24" t="s">
        <v>2661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</row>
    <row r="296" spans="1:13">
      <c r="A296" s="24" t="s">
        <v>202</v>
      </c>
      <c r="B296" s="24" t="s">
        <v>329</v>
      </c>
      <c r="C296" s="25">
        <v>45809</v>
      </c>
      <c r="D296" s="24" t="s">
        <v>2662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</row>
    <row r="297" spans="1:13">
      <c r="A297" s="24" t="s">
        <v>202</v>
      </c>
      <c r="B297" s="24" t="s">
        <v>329</v>
      </c>
      <c r="C297" s="25">
        <v>45839</v>
      </c>
      <c r="D297" s="24" t="s">
        <v>2663</v>
      </c>
      <c r="E297" s="26">
        <v>0</v>
      </c>
      <c r="F297" s="26">
        <v>0</v>
      </c>
      <c r="G297" s="26">
        <v>90161.39</v>
      </c>
      <c r="H297" s="26">
        <v>90161.39</v>
      </c>
      <c r="I297" s="26">
        <v>0</v>
      </c>
      <c r="J297" s="26">
        <v>0</v>
      </c>
      <c r="K297" s="26">
        <v>0</v>
      </c>
      <c r="L297" s="26">
        <v>90161.39</v>
      </c>
      <c r="M297" s="26">
        <v>0</v>
      </c>
    </row>
    <row r="298" spans="1:13">
      <c r="A298" s="24" t="s">
        <v>202</v>
      </c>
      <c r="B298" s="24" t="s">
        <v>329</v>
      </c>
      <c r="C298" s="25">
        <v>45870</v>
      </c>
      <c r="D298" s="24" t="s">
        <v>2664</v>
      </c>
      <c r="E298" s="26">
        <v>0</v>
      </c>
      <c r="F298" s="26">
        <v>0</v>
      </c>
      <c r="G298" s="26">
        <v>90161.39</v>
      </c>
      <c r="H298" s="26">
        <v>90161.39</v>
      </c>
      <c r="I298" s="26">
        <v>0</v>
      </c>
      <c r="J298" s="26">
        <v>0</v>
      </c>
      <c r="K298" s="26">
        <v>0</v>
      </c>
      <c r="L298" s="26">
        <v>90161.39</v>
      </c>
      <c r="M298" s="26">
        <v>0</v>
      </c>
    </row>
    <row r="299" spans="1:13">
      <c r="A299" s="24" t="s">
        <v>202</v>
      </c>
      <c r="B299" s="24" t="s">
        <v>329</v>
      </c>
      <c r="C299" s="25">
        <v>45901</v>
      </c>
      <c r="D299" s="24" t="s">
        <v>2665</v>
      </c>
      <c r="E299" s="26">
        <v>0</v>
      </c>
      <c r="F299" s="26">
        <v>0</v>
      </c>
      <c r="G299" s="26">
        <v>143885.94</v>
      </c>
      <c r="H299" s="26">
        <v>143885.94</v>
      </c>
      <c r="I299" s="26">
        <v>0</v>
      </c>
      <c r="J299" s="26">
        <v>0</v>
      </c>
      <c r="K299" s="26">
        <v>0</v>
      </c>
      <c r="L299" s="26">
        <v>143885.94</v>
      </c>
      <c r="M299" s="26">
        <v>0</v>
      </c>
    </row>
    <row r="300" spans="1:13">
      <c r="A300" s="24" t="s">
        <v>202</v>
      </c>
      <c r="B300" s="24" t="s">
        <v>329</v>
      </c>
      <c r="C300" s="25">
        <v>45931</v>
      </c>
      <c r="D300" s="24" t="s">
        <v>2666</v>
      </c>
      <c r="E300" s="26">
        <v>0</v>
      </c>
      <c r="F300" s="26">
        <v>0</v>
      </c>
      <c r="G300" s="26">
        <v>143885.94</v>
      </c>
      <c r="H300" s="26">
        <v>143885.94</v>
      </c>
      <c r="I300" s="26">
        <v>0</v>
      </c>
      <c r="J300" s="26">
        <v>0</v>
      </c>
      <c r="K300" s="26">
        <v>0</v>
      </c>
      <c r="L300" s="26">
        <v>143885.94</v>
      </c>
      <c r="M300" s="26">
        <v>0</v>
      </c>
    </row>
    <row r="301" spans="1:13">
      <c r="A301" s="24" t="s">
        <v>202</v>
      </c>
      <c r="B301" s="24" t="s">
        <v>329</v>
      </c>
      <c r="C301" s="25">
        <v>45962</v>
      </c>
      <c r="D301" s="24" t="s">
        <v>2667</v>
      </c>
      <c r="E301" s="26">
        <v>0</v>
      </c>
      <c r="F301" s="26">
        <v>139123.28</v>
      </c>
      <c r="G301" s="26">
        <v>65269.459999999992</v>
      </c>
      <c r="H301" s="26">
        <v>204392.74</v>
      </c>
      <c r="I301" s="26">
        <v>0</v>
      </c>
      <c r="J301" s="26">
        <v>0</v>
      </c>
      <c r="K301" s="26">
        <v>0</v>
      </c>
      <c r="L301" s="26">
        <v>204392.74</v>
      </c>
      <c r="M301" s="26">
        <v>0</v>
      </c>
    </row>
    <row r="302" spans="1:13">
      <c r="A302" s="24" t="s">
        <v>202</v>
      </c>
      <c r="B302" s="24" t="s">
        <v>329</v>
      </c>
      <c r="C302" s="25">
        <v>45992</v>
      </c>
      <c r="D302" s="24" t="s">
        <v>2668</v>
      </c>
      <c r="E302" s="26">
        <v>0</v>
      </c>
      <c r="F302" s="26">
        <v>139123.28</v>
      </c>
      <c r="G302" s="26">
        <v>65269.459999999992</v>
      </c>
      <c r="H302" s="26">
        <v>204392.74</v>
      </c>
      <c r="I302" s="26">
        <v>0</v>
      </c>
      <c r="J302" s="26">
        <v>0</v>
      </c>
      <c r="K302" s="26">
        <v>0</v>
      </c>
      <c r="L302" s="26">
        <v>204392.74</v>
      </c>
      <c r="M302" s="26">
        <v>0</v>
      </c>
    </row>
    <row r="303" spans="1:13">
      <c r="A303" s="24" t="s">
        <v>32</v>
      </c>
      <c r="B303" s="24" t="s">
        <v>345</v>
      </c>
      <c r="C303" s="25">
        <v>45658</v>
      </c>
      <c r="D303" s="24" t="s">
        <v>2657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</row>
    <row r="304" spans="1:13">
      <c r="A304" s="24" t="s">
        <v>32</v>
      </c>
      <c r="B304" s="24" t="s">
        <v>345</v>
      </c>
      <c r="C304" s="25">
        <v>45689</v>
      </c>
      <c r="D304" s="24" t="s">
        <v>2658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</row>
    <row r="305" spans="1:13">
      <c r="A305" s="24" t="s">
        <v>32</v>
      </c>
      <c r="B305" s="24" t="s">
        <v>345</v>
      </c>
      <c r="C305" s="25">
        <v>45717</v>
      </c>
      <c r="D305" s="24" t="s">
        <v>2659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</row>
    <row r="306" spans="1:13">
      <c r="A306" s="24" t="s">
        <v>32</v>
      </c>
      <c r="B306" s="24" t="s">
        <v>345</v>
      </c>
      <c r="C306" s="25">
        <v>45748</v>
      </c>
      <c r="D306" s="24" t="s">
        <v>2660</v>
      </c>
      <c r="E306" s="26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0</v>
      </c>
    </row>
    <row r="307" spans="1:13">
      <c r="A307" s="24" t="s">
        <v>32</v>
      </c>
      <c r="B307" s="24" t="s">
        <v>345</v>
      </c>
      <c r="C307" s="25">
        <v>45778</v>
      </c>
      <c r="D307" s="24" t="s">
        <v>2661</v>
      </c>
      <c r="E307" s="26">
        <v>0</v>
      </c>
      <c r="F307" s="26">
        <v>0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26">
        <v>0</v>
      </c>
      <c r="M307" s="26">
        <v>0</v>
      </c>
    </row>
    <row r="308" spans="1:13">
      <c r="A308" s="24" t="s">
        <v>32</v>
      </c>
      <c r="B308" s="24" t="s">
        <v>345</v>
      </c>
      <c r="C308" s="25">
        <v>45809</v>
      </c>
      <c r="D308" s="24" t="s">
        <v>2662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</row>
    <row r="309" spans="1:13">
      <c r="A309" s="24" t="s">
        <v>32</v>
      </c>
      <c r="B309" s="24" t="s">
        <v>345</v>
      </c>
      <c r="C309" s="25">
        <v>45839</v>
      </c>
      <c r="D309" s="24" t="s">
        <v>2663</v>
      </c>
      <c r="E309" s="26">
        <v>0</v>
      </c>
      <c r="F309" s="26">
        <v>0</v>
      </c>
      <c r="G309" s="26">
        <v>22648.880000000001</v>
      </c>
      <c r="H309" s="26">
        <v>22648.880000000001</v>
      </c>
      <c r="I309" s="26">
        <v>0</v>
      </c>
      <c r="J309" s="26">
        <v>0</v>
      </c>
      <c r="K309" s="26">
        <v>0</v>
      </c>
      <c r="L309" s="26">
        <v>22648.880000000001</v>
      </c>
      <c r="M309" s="26">
        <v>0</v>
      </c>
    </row>
    <row r="310" spans="1:13">
      <c r="A310" s="24" t="s">
        <v>32</v>
      </c>
      <c r="B310" s="24" t="s">
        <v>345</v>
      </c>
      <c r="C310" s="25">
        <v>45870</v>
      </c>
      <c r="D310" s="24" t="s">
        <v>2664</v>
      </c>
      <c r="E310" s="26">
        <v>0</v>
      </c>
      <c r="F310" s="26">
        <v>0</v>
      </c>
      <c r="G310" s="26">
        <v>59145.990000000013</v>
      </c>
      <c r="H310" s="26">
        <v>59145.990000000013</v>
      </c>
      <c r="I310" s="26">
        <v>0</v>
      </c>
      <c r="J310" s="26">
        <v>0</v>
      </c>
      <c r="K310" s="26">
        <v>0</v>
      </c>
      <c r="L310" s="26">
        <v>59145.990000000013</v>
      </c>
      <c r="M310" s="26">
        <v>0</v>
      </c>
    </row>
    <row r="311" spans="1:13">
      <c r="A311" s="24" t="s">
        <v>32</v>
      </c>
      <c r="B311" s="24" t="s">
        <v>345</v>
      </c>
      <c r="C311" s="25">
        <v>45901</v>
      </c>
      <c r="D311" s="24" t="s">
        <v>2665</v>
      </c>
      <c r="E311" s="26">
        <v>61286.51</v>
      </c>
      <c r="F311" s="26">
        <v>27812.04</v>
      </c>
      <c r="G311" s="26">
        <v>0</v>
      </c>
      <c r="H311" s="26">
        <v>89098.55</v>
      </c>
      <c r="I311" s="26">
        <v>0</v>
      </c>
      <c r="J311" s="26">
        <v>0</v>
      </c>
      <c r="K311" s="26">
        <v>0</v>
      </c>
      <c r="L311" s="26">
        <v>79947.640000000014</v>
      </c>
      <c r="M311" s="26">
        <v>9150.9099999999889</v>
      </c>
    </row>
    <row r="312" spans="1:13">
      <c r="A312" s="24" t="s">
        <v>32</v>
      </c>
      <c r="B312" s="24" t="s">
        <v>345</v>
      </c>
      <c r="C312" s="25">
        <v>45931</v>
      </c>
      <c r="D312" s="24" t="s">
        <v>2666</v>
      </c>
      <c r="E312" s="26">
        <v>61286.51</v>
      </c>
      <c r="F312" s="26">
        <v>27812.04</v>
      </c>
      <c r="G312" s="26">
        <v>22102.240000000009</v>
      </c>
      <c r="H312" s="26">
        <v>111200.79</v>
      </c>
      <c r="I312" s="26">
        <v>0</v>
      </c>
      <c r="J312" s="26">
        <v>100308.28</v>
      </c>
      <c r="K312" s="26">
        <v>100308.28</v>
      </c>
      <c r="L312" s="26">
        <v>111200.79</v>
      </c>
      <c r="M312" s="26">
        <v>-100308.28</v>
      </c>
    </row>
    <row r="313" spans="1:13">
      <c r="A313" s="24" t="s">
        <v>32</v>
      </c>
      <c r="B313" s="24" t="s">
        <v>345</v>
      </c>
      <c r="C313" s="25">
        <v>45962</v>
      </c>
      <c r="D313" s="24" t="s">
        <v>2667</v>
      </c>
      <c r="E313" s="26">
        <v>61286.51</v>
      </c>
      <c r="F313" s="26">
        <v>27812.04</v>
      </c>
      <c r="G313" s="26">
        <v>22102.240000000009</v>
      </c>
      <c r="H313" s="26">
        <v>111200.79</v>
      </c>
      <c r="I313" s="26">
        <v>0</v>
      </c>
      <c r="J313" s="26">
        <v>100308.28</v>
      </c>
      <c r="K313" s="26">
        <v>100308.28</v>
      </c>
      <c r="L313" s="26">
        <v>111200.79</v>
      </c>
      <c r="M313" s="26">
        <v>-100308.28</v>
      </c>
    </row>
    <row r="314" spans="1:13">
      <c r="A314" s="24" t="s">
        <v>32</v>
      </c>
      <c r="B314" s="24" t="s">
        <v>345</v>
      </c>
      <c r="C314" s="25">
        <v>45992</v>
      </c>
      <c r="D314" s="24" t="s">
        <v>2668</v>
      </c>
      <c r="E314" s="26">
        <v>137033.07999999999</v>
      </c>
      <c r="F314" s="26">
        <v>27812.04</v>
      </c>
      <c r="G314" s="26">
        <v>0</v>
      </c>
      <c r="H314" s="26">
        <v>164845.12</v>
      </c>
      <c r="I314" s="26">
        <v>0</v>
      </c>
      <c r="J314" s="26">
        <v>100308.28</v>
      </c>
      <c r="K314" s="26">
        <v>100308.28</v>
      </c>
      <c r="L314" s="26">
        <v>111200.79</v>
      </c>
      <c r="M314" s="26">
        <v>-46663.949999999983</v>
      </c>
    </row>
    <row r="315" spans="1:13">
      <c r="A315" s="24" t="s">
        <v>192</v>
      </c>
      <c r="B315" s="24" t="s">
        <v>337</v>
      </c>
      <c r="C315" s="25">
        <v>45658</v>
      </c>
      <c r="D315" s="24" t="s">
        <v>2657</v>
      </c>
      <c r="E315" s="26">
        <v>0</v>
      </c>
      <c r="F315" s="26">
        <v>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</row>
    <row r="316" spans="1:13">
      <c r="A316" s="24" t="s">
        <v>192</v>
      </c>
      <c r="B316" s="24" t="s">
        <v>337</v>
      </c>
      <c r="C316" s="25">
        <v>45689</v>
      </c>
      <c r="D316" s="24" t="s">
        <v>2658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</row>
    <row r="317" spans="1:13">
      <c r="A317" s="24" t="s">
        <v>192</v>
      </c>
      <c r="B317" s="24" t="s">
        <v>337</v>
      </c>
      <c r="C317" s="25">
        <v>45717</v>
      </c>
      <c r="D317" s="24" t="s">
        <v>2659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</row>
    <row r="318" spans="1:13">
      <c r="A318" s="24" t="s">
        <v>192</v>
      </c>
      <c r="B318" s="24" t="s">
        <v>337</v>
      </c>
      <c r="C318" s="25">
        <v>45748</v>
      </c>
      <c r="D318" s="24" t="s">
        <v>2660</v>
      </c>
      <c r="E318" s="26">
        <v>0</v>
      </c>
      <c r="F318" s="26">
        <v>0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</row>
    <row r="319" spans="1:13">
      <c r="A319" s="24" t="s">
        <v>192</v>
      </c>
      <c r="B319" s="24" t="s">
        <v>337</v>
      </c>
      <c r="C319" s="25">
        <v>45778</v>
      </c>
      <c r="D319" s="24" t="s">
        <v>2661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6">
        <v>0</v>
      </c>
      <c r="M319" s="26">
        <v>0</v>
      </c>
    </row>
    <row r="320" spans="1:13">
      <c r="A320" s="24" t="s">
        <v>192</v>
      </c>
      <c r="B320" s="24" t="s">
        <v>337</v>
      </c>
      <c r="C320" s="25">
        <v>45809</v>
      </c>
      <c r="D320" s="24" t="s">
        <v>2662</v>
      </c>
      <c r="E320" s="26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26">
        <v>0</v>
      </c>
    </row>
    <row r="321" spans="1:13">
      <c r="A321" s="24" t="s">
        <v>192</v>
      </c>
      <c r="B321" s="24" t="s">
        <v>337</v>
      </c>
      <c r="C321" s="25">
        <v>45839</v>
      </c>
      <c r="D321" s="24" t="s">
        <v>2663</v>
      </c>
      <c r="E321" s="26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</row>
    <row r="322" spans="1:13">
      <c r="A322" s="24" t="s">
        <v>192</v>
      </c>
      <c r="B322" s="24" t="s">
        <v>337</v>
      </c>
      <c r="C322" s="25">
        <v>45870</v>
      </c>
      <c r="D322" s="24" t="s">
        <v>2664</v>
      </c>
      <c r="E322" s="26">
        <v>0</v>
      </c>
      <c r="F322" s="26">
        <v>0</v>
      </c>
      <c r="G322" s="26">
        <v>8946.26</v>
      </c>
      <c r="H322" s="26">
        <v>8946.26</v>
      </c>
      <c r="I322" s="26">
        <v>0</v>
      </c>
      <c r="J322" s="26">
        <v>353168.95</v>
      </c>
      <c r="K322" s="26">
        <v>353168.95</v>
      </c>
      <c r="L322" s="26">
        <v>8946.26</v>
      </c>
      <c r="M322" s="26">
        <v>-353168.95</v>
      </c>
    </row>
    <row r="323" spans="1:13">
      <c r="A323" s="24" t="s">
        <v>192</v>
      </c>
      <c r="B323" s="24" t="s">
        <v>337</v>
      </c>
      <c r="C323" s="25">
        <v>45901</v>
      </c>
      <c r="D323" s="24" t="s">
        <v>2665</v>
      </c>
      <c r="E323" s="26">
        <v>-13332.18</v>
      </c>
      <c r="F323" s="26">
        <v>0</v>
      </c>
      <c r="G323" s="26">
        <v>8946.26</v>
      </c>
      <c r="H323" s="26">
        <v>-4385.92</v>
      </c>
      <c r="I323" s="26">
        <v>0</v>
      </c>
      <c r="J323" s="26">
        <v>353168.95</v>
      </c>
      <c r="K323" s="26">
        <v>353168.95</v>
      </c>
      <c r="L323" s="26">
        <v>-4385.92</v>
      </c>
      <c r="M323" s="26">
        <v>-353168.95</v>
      </c>
    </row>
    <row r="324" spans="1:13">
      <c r="A324" s="24" t="s">
        <v>192</v>
      </c>
      <c r="B324" s="24" t="s">
        <v>337</v>
      </c>
      <c r="C324" s="25">
        <v>45931</v>
      </c>
      <c r="D324" s="24" t="s">
        <v>2666</v>
      </c>
      <c r="E324" s="26">
        <v>-25205.99</v>
      </c>
      <c r="F324" s="26">
        <v>39879.42</v>
      </c>
      <c r="G324" s="26">
        <v>0</v>
      </c>
      <c r="H324" s="26">
        <v>14673.43</v>
      </c>
      <c r="I324" s="26">
        <v>0</v>
      </c>
      <c r="J324" s="26">
        <v>353168.95</v>
      </c>
      <c r="K324" s="26">
        <v>353168.95</v>
      </c>
      <c r="L324" s="26">
        <v>-16259.73</v>
      </c>
      <c r="M324" s="26">
        <v>-322235.78999999998</v>
      </c>
    </row>
    <row r="325" spans="1:13">
      <c r="A325" s="24" t="s">
        <v>192</v>
      </c>
      <c r="B325" s="24" t="s">
        <v>337</v>
      </c>
      <c r="C325" s="25">
        <v>45962</v>
      </c>
      <c r="D325" s="24" t="s">
        <v>2667</v>
      </c>
      <c r="E325" s="26">
        <v>-74901.2</v>
      </c>
      <c r="F325" s="26">
        <v>39879.42</v>
      </c>
      <c r="G325" s="26">
        <v>0</v>
      </c>
      <c r="H325" s="26">
        <v>-35021.78</v>
      </c>
      <c r="I325" s="26">
        <v>49695.21</v>
      </c>
      <c r="J325" s="26">
        <v>353168.95</v>
      </c>
      <c r="K325" s="26">
        <v>402864.16</v>
      </c>
      <c r="L325" s="26">
        <v>-65954.94</v>
      </c>
      <c r="M325" s="26">
        <v>-371931.00000000012</v>
      </c>
    </row>
    <row r="326" spans="1:13">
      <c r="A326" s="24" t="s">
        <v>192</v>
      </c>
      <c r="B326" s="24" t="s">
        <v>337</v>
      </c>
      <c r="C326" s="25">
        <v>45992</v>
      </c>
      <c r="D326" s="24" t="s">
        <v>2668</v>
      </c>
      <c r="E326" s="26">
        <v>-28486.35</v>
      </c>
      <c r="F326" s="26">
        <v>39879.42</v>
      </c>
      <c r="G326" s="26">
        <v>0</v>
      </c>
      <c r="H326" s="26">
        <v>11393.07</v>
      </c>
      <c r="I326" s="26">
        <v>49695.21</v>
      </c>
      <c r="J326" s="26">
        <v>353168.95</v>
      </c>
      <c r="K326" s="26">
        <v>402864.16</v>
      </c>
      <c r="L326" s="26">
        <v>-65954.94</v>
      </c>
      <c r="M326" s="26">
        <v>-325516.15000000002</v>
      </c>
    </row>
    <row r="327" spans="1:13">
      <c r="A327" s="24" t="s">
        <v>301</v>
      </c>
      <c r="B327" s="24" t="s">
        <v>337</v>
      </c>
      <c r="C327" s="25">
        <v>45658</v>
      </c>
      <c r="D327" s="24" t="s">
        <v>2657</v>
      </c>
      <c r="E327" s="26">
        <v>0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26">
        <v>0</v>
      </c>
    </row>
    <row r="328" spans="1:13">
      <c r="A328" s="24" t="s">
        <v>301</v>
      </c>
      <c r="B328" s="24" t="s">
        <v>337</v>
      </c>
      <c r="C328" s="25">
        <v>45689</v>
      </c>
      <c r="D328" s="24" t="s">
        <v>2658</v>
      </c>
      <c r="E328" s="26">
        <v>0</v>
      </c>
      <c r="F328" s="26">
        <v>0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0</v>
      </c>
    </row>
    <row r="329" spans="1:13">
      <c r="A329" s="24" t="s">
        <v>301</v>
      </c>
      <c r="B329" s="24" t="s">
        <v>337</v>
      </c>
      <c r="C329" s="25">
        <v>45717</v>
      </c>
      <c r="D329" s="24" t="s">
        <v>2659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</row>
    <row r="330" spans="1:13">
      <c r="A330" s="24" t="s">
        <v>301</v>
      </c>
      <c r="B330" s="24" t="s">
        <v>337</v>
      </c>
      <c r="C330" s="25">
        <v>45748</v>
      </c>
      <c r="D330" s="24" t="s">
        <v>2660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0</v>
      </c>
    </row>
    <row r="331" spans="1:13">
      <c r="A331" s="24" t="s">
        <v>301</v>
      </c>
      <c r="B331" s="24" t="s">
        <v>337</v>
      </c>
      <c r="C331" s="25">
        <v>45778</v>
      </c>
      <c r="D331" s="24" t="s">
        <v>2661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</row>
    <row r="332" spans="1:13">
      <c r="A332" s="24" t="s">
        <v>301</v>
      </c>
      <c r="B332" s="24" t="s">
        <v>337</v>
      </c>
      <c r="C332" s="25">
        <v>45809</v>
      </c>
      <c r="D332" s="24" t="s">
        <v>2662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0</v>
      </c>
    </row>
    <row r="333" spans="1:13">
      <c r="A333" s="24" t="s">
        <v>301</v>
      </c>
      <c r="B333" s="24" t="s">
        <v>337</v>
      </c>
      <c r="C333" s="25">
        <v>45839</v>
      </c>
      <c r="D333" s="24" t="s">
        <v>2663</v>
      </c>
      <c r="E333" s="26">
        <v>0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0</v>
      </c>
    </row>
    <row r="334" spans="1:13">
      <c r="A334" s="24" t="s">
        <v>301</v>
      </c>
      <c r="B334" s="24" t="s">
        <v>337</v>
      </c>
      <c r="C334" s="25">
        <v>45870</v>
      </c>
      <c r="D334" s="24" t="s">
        <v>2664</v>
      </c>
      <c r="E334" s="26">
        <v>0</v>
      </c>
      <c r="F334" s="26">
        <v>0</v>
      </c>
      <c r="G334" s="26">
        <v>41093.35</v>
      </c>
      <c r="H334" s="26">
        <v>41093.35</v>
      </c>
      <c r="I334" s="26">
        <v>0</v>
      </c>
      <c r="J334" s="26">
        <v>0</v>
      </c>
      <c r="K334" s="26">
        <v>0</v>
      </c>
      <c r="L334" s="26">
        <v>41093.35</v>
      </c>
      <c r="M334" s="26">
        <v>0</v>
      </c>
    </row>
    <row r="335" spans="1:13">
      <c r="A335" s="24" t="s">
        <v>301</v>
      </c>
      <c r="B335" s="24" t="s">
        <v>337</v>
      </c>
      <c r="C335" s="25">
        <v>45901</v>
      </c>
      <c r="D335" s="24" t="s">
        <v>2665</v>
      </c>
      <c r="E335" s="26">
        <v>0</v>
      </c>
      <c r="F335" s="26">
        <v>0</v>
      </c>
      <c r="G335" s="26">
        <v>41093.35</v>
      </c>
      <c r="H335" s="26">
        <v>41093.35</v>
      </c>
      <c r="I335" s="26">
        <v>0</v>
      </c>
      <c r="J335" s="26">
        <v>0</v>
      </c>
      <c r="K335" s="26">
        <v>0</v>
      </c>
      <c r="L335" s="26">
        <v>41093.35</v>
      </c>
      <c r="M335" s="26">
        <v>0</v>
      </c>
    </row>
    <row r="336" spans="1:13">
      <c r="A336" s="24" t="s">
        <v>301</v>
      </c>
      <c r="B336" s="24" t="s">
        <v>337</v>
      </c>
      <c r="C336" s="25">
        <v>45931</v>
      </c>
      <c r="D336" s="24" t="s">
        <v>2666</v>
      </c>
      <c r="E336" s="26">
        <v>0</v>
      </c>
      <c r="F336" s="26">
        <v>0</v>
      </c>
      <c r="G336" s="26">
        <v>41093.35</v>
      </c>
      <c r="H336" s="26">
        <v>41093.35</v>
      </c>
      <c r="I336" s="26">
        <v>0</v>
      </c>
      <c r="J336" s="26">
        <v>0</v>
      </c>
      <c r="K336" s="26">
        <v>0</v>
      </c>
      <c r="L336" s="26">
        <v>41093.35</v>
      </c>
      <c r="M336" s="26">
        <v>0</v>
      </c>
    </row>
    <row r="337" spans="1:13">
      <c r="A337" s="24" t="s">
        <v>301</v>
      </c>
      <c r="B337" s="24" t="s">
        <v>337</v>
      </c>
      <c r="C337" s="25">
        <v>45962</v>
      </c>
      <c r="D337" s="24" t="s">
        <v>2667</v>
      </c>
      <c r="E337" s="26">
        <v>0</v>
      </c>
      <c r="F337" s="26">
        <v>0</v>
      </c>
      <c r="G337" s="26">
        <v>82116.08</v>
      </c>
      <c r="H337" s="26">
        <v>82116.08</v>
      </c>
      <c r="I337" s="26">
        <v>0</v>
      </c>
      <c r="J337" s="26">
        <v>0</v>
      </c>
      <c r="K337" s="26">
        <v>0</v>
      </c>
      <c r="L337" s="26">
        <v>82116.08</v>
      </c>
      <c r="M337" s="26">
        <v>0</v>
      </c>
    </row>
    <row r="338" spans="1:13">
      <c r="A338" s="24" t="s">
        <v>301</v>
      </c>
      <c r="B338" s="24" t="s">
        <v>337</v>
      </c>
      <c r="C338" s="25">
        <v>45992</v>
      </c>
      <c r="D338" s="24" t="s">
        <v>2668</v>
      </c>
      <c r="E338" s="26">
        <v>-60711.78</v>
      </c>
      <c r="F338" s="26">
        <v>0</v>
      </c>
      <c r="G338" s="26">
        <v>82116.08</v>
      </c>
      <c r="H338" s="26">
        <v>21404.3</v>
      </c>
      <c r="I338" s="26">
        <v>60711.78</v>
      </c>
      <c r="J338" s="26">
        <v>0</v>
      </c>
      <c r="K338" s="26">
        <v>60711.78</v>
      </c>
      <c r="L338" s="26">
        <v>21404.3</v>
      </c>
      <c r="M338" s="26">
        <v>-60711.78</v>
      </c>
    </row>
    <row r="339" spans="1:13">
      <c r="A339" s="24" t="s">
        <v>235</v>
      </c>
      <c r="B339" s="24" t="s">
        <v>329</v>
      </c>
      <c r="C339" s="25">
        <v>45658</v>
      </c>
      <c r="D339" s="24" t="s">
        <v>2657</v>
      </c>
      <c r="E339" s="26">
        <v>0</v>
      </c>
      <c r="F339" s="26">
        <v>0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0</v>
      </c>
    </row>
    <row r="340" spans="1:13">
      <c r="A340" s="24" t="s">
        <v>235</v>
      </c>
      <c r="B340" s="24" t="s">
        <v>329</v>
      </c>
      <c r="C340" s="25">
        <v>45689</v>
      </c>
      <c r="D340" s="24" t="s">
        <v>2658</v>
      </c>
      <c r="E340" s="26">
        <v>0</v>
      </c>
      <c r="F340" s="26">
        <v>0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6">
        <v>0</v>
      </c>
      <c r="M340" s="26">
        <v>0</v>
      </c>
    </row>
    <row r="341" spans="1:13">
      <c r="A341" s="24" t="s">
        <v>235</v>
      </c>
      <c r="B341" s="24" t="s">
        <v>329</v>
      </c>
      <c r="C341" s="25">
        <v>45717</v>
      </c>
      <c r="D341" s="24" t="s">
        <v>2659</v>
      </c>
      <c r="E341" s="26">
        <v>0</v>
      </c>
      <c r="F341" s="26">
        <v>0</v>
      </c>
      <c r="G341" s="26">
        <v>0</v>
      </c>
      <c r="H341" s="26">
        <v>0</v>
      </c>
      <c r="I341" s="26">
        <v>0</v>
      </c>
      <c r="J341" s="26">
        <v>0</v>
      </c>
      <c r="K341" s="26">
        <v>0</v>
      </c>
      <c r="L341" s="26">
        <v>0</v>
      </c>
      <c r="M341" s="26">
        <v>0</v>
      </c>
    </row>
    <row r="342" spans="1:13">
      <c r="A342" s="24" t="s">
        <v>235</v>
      </c>
      <c r="B342" s="24" t="s">
        <v>329</v>
      </c>
      <c r="C342" s="25">
        <v>45748</v>
      </c>
      <c r="D342" s="24" t="s">
        <v>2660</v>
      </c>
      <c r="E342" s="26">
        <v>0</v>
      </c>
      <c r="F342" s="26">
        <v>0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6">
        <v>0</v>
      </c>
      <c r="M342" s="26">
        <v>0</v>
      </c>
    </row>
    <row r="343" spans="1:13">
      <c r="A343" s="24" t="s">
        <v>235</v>
      </c>
      <c r="B343" s="24" t="s">
        <v>329</v>
      </c>
      <c r="C343" s="25">
        <v>45778</v>
      </c>
      <c r="D343" s="24" t="s">
        <v>2661</v>
      </c>
      <c r="E343" s="26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</row>
    <row r="344" spans="1:13">
      <c r="A344" s="24" t="s">
        <v>235</v>
      </c>
      <c r="B344" s="24" t="s">
        <v>329</v>
      </c>
      <c r="C344" s="25">
        <v>45809</v>
      </c>
      <c r="D344" s="24" t="s">
        <v>2662</v>
      </c>
      <c r="E344" s="26">
        <v>0</v>
      </c>
      <c r="F344" s="26">
        <v>0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26">
        <v>0</v>
      </c>
    </row>
    <row r="345" spans="1:13">
      <c r="A345" s="24" t="s">
        <v>235</v>
      </c>
      <c r="B345" s="24" t="s">
        <v>329</v>
      </c>
      <c r="C345" s="25">
        <v>45839</v>
      </c>
      <c r="D345" s="24" t="s">
        <v>2663</v>
      </c>
      <c r="E345" s="26">
        <v>0</v>
      </c>
      <c r="F345" s="26">
        <v>0</v>
      </c>
      <c r="G345" s="26">
        <v>3091.61</v>
      </c>
      <c r="H345" s="26">
        <v>3091.61</v>
      </c>
      <c r="I345" s="26">
        <v>0</v>
      </c>
      <c r="J345" s="26">
        <v>0</v>
      </c>
      <c r="K345" s="26">
        <v>0</v>
      </c>
      <c r="L345" s="26">
        <v>3091.61</v>
      </c>
      <c r="M345" s="26">
        <v>0</v>
      </c>
    </row>
    <row r="346" spans="1:13">
      <c r="A346" s="24" t="s">
        <v>235</v>
      </c>
      <c r="B346" s="24" t="s">
        <v>329</v>
      </c>
      <c r="C346" s="25">
        <v>45870</v>
      </c>
      <c r="D346" s="24" t="s">
        <v>2664</v>
      </c>
      <c r="E346" s="26">
        <v>-89439.039999999994</v>
      </c>
      <c r="F346" s="26">
        <v>0</v>
      </c>
      <c r="G346" s="26">
        <v>5851.57</v>
      </c>
      <c r="H346" s="26">
        <v>-83587.47</v>
      </c>
      <c r="I346" s="26">
        <v>0</v>
      </c>
      <c r="J346" s="26">
        <v>33811.5</v>
      </c>
      <c r="K346" s="26">
        <v>33811.5</v>
      </c>
      <c r="L346" s="26">
        <v>-83587.469999999987</v>
      </c>
      <c r="M346" s="26">
        <v>-33811.500000000007</v>
      </c>
    </row>
    <row r="347" spans="1:13">
      <c r="A347" s="24" t="s">
        <v>235</v>
      </c>
      <c r="B347" s="24" t="s">
        <v>329</v>
      </c>
      <c r="C347" s="25">
        <v>45901</v>
      </c>
      <c r="D347" s="24" t="s">
        <v>2665</v>
      </c>
      <c r="E347" s="26">
        <v>-89439.039999999994</v>
      </c>
      <c r="F347" s="26">
        <v>0</v>
      </c>
      <c r="G347" s="26">
        <v>5851.57</v>
      </c>
      <c r="H347" s="26">
        <v>-83587.47</v>
      </c>
      <c r="I347" s="26">
        <v>0</v>
      </c>
      <c r="J347" s="26">
        <v>49328.18</v>
      </c>
      <c r="K347" s="26">
        <v>49328.18</v>
      </c>
      <c r="L347" s="26">
        <v>-83587.469999999987</v>
      </c>
      <c r="M347" s="26">
        <v>-49328.180000000008</v>
      </c>
    </row>
    <row r="348" spans="1:13">
      <c r="A348" s="24" t="s">
        <v>235</v>
      </c>
      <c r="B348" s="24" t="s">
        <v>329</v>
      </c>
      <c r="C348" s="25">
        <v>45931</v>
      </c>
      <c r="D348" s="24" t="s">
        <v>2666</v>
      </c>
      <c r="E348" s="26">
        <v>-181812.47</v>
      </c>
      <c r="F348" s="26">
        <v>0</v>
      </c>
      <c r="G348" s="26">
        <v>10125.56</v>
      </c>
      <c r="H348" s="26">
        <v>-171686.91</v>
      </c>
      <c r="I348" s="26">
        <v>92373.43</v>
      </c>
      <c r="J348" s="26">
        <v>45054.19</v>
      </c>
      <c r="K348" s="26">
        <v>137427.62</v>
      </c>
      <c r="L348" s="26">
        <v>-171686.91</v>
      </c>
      <c r="M348" s="26">
        <v>-137427.62</v>
      </c>
    </row>
    <row r="349" spans="1:13">
      <c r="A349" s="24" t="s">
        <v>235</v>
      </c>
      <c r="B349" s="24" t="s">
        <v>329</v>
      </c>
      <c r="C349" s="25">
        <v>45962</v>
      </c>
      <c r="D349" s="24" t="s">
        <v>2667</v>
      </c>
      <c r="E349" s="26">
        <v>-199524.87</v>
      </c>
      <c r="F349" s="26">
        <v>0</v>
      </c>
      <c r="G349" s="26">
        <v>10125.56</v>
      </c>
      <c r="H349" s="26">
        <v>-189399.31</v>
      </c>
      <c r="I349" s="26">
        <v>92373.43</v>
      </c>
      <c r="J349" s="26">
        <v>45054.19</v>
      </c>
      <c r="K349" s="26">
        <v>137427.62</v>
      </c>
      <c r="L349" s="26">
        <v>-189399.31</v>
      </c>
      <c r="M349" s="26">
        <v>-137427.62</v>
      </c>
    </row>
    <row r="350" spans="1:13">
      <c r="A350" s="24" t="s">
        <v>235</v>
      </c>
      <c r="B350" s="24" t="s">
        <v>329</v>
      </c>
      <c r="C350" s="25">
        <v>45992</v>
      </c>
      <c r="D350" s="24" t="s">
        <v>2668</v>
      </c>
      <c r="E350" s="26">
        <v>-199524.87</v>
      </c>
      <c r="F350" s="26">
        <v>0</v>
      </c>
      <c r="G350" s="26">
        <v>10125.56</v>
      </c>
      <c r="H350" s="26">
        <v>-189399.31</v>
      </c>
      <c r="I350" s="26">
        <v>92373.43</v>
      </c>
      <c r="J350" s="26">
        <v>45054.19</v>
      </c>
      <c r="K350" s="26">
        <v>137427.62</v>
      </c>
      <c r="L350" s="26">
        <v>-189399.31</v>
      </c>
      <c r="M350" s="26">
        <v>-137427.62</v>
      </c>
    </row>
    <row r="351" spans="1:13">
      <c r="A351" s="24" t="s">
        <v>80</v>
      </c>
      <c r="B351" s="24" t="s">
        <v>345</v>
      </c>
      <c r="C351" s="25">
        <v>45658</v>
      </c>
      <c r="D351" s="24" t="s">
        <v>2657</v>
      </c>
      <c r="E351" s="26">
        <v>0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26">
        <v>0</v>
      </c>
    </row>
    <row r="352" spans="1:13">
      <c r="A352" s="24" t="s">
        <v>80</v>
      </c>
      <c r="B352" s="24" t="s">
        <v>345</v>
      </c>
      <c r="C352" s="25">
        <v>45689</v>
      </c>
      <c r="D352" s="24" t="s">
        <v>2658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</row>
    <row r="353" spans="1:13">
      <c r="A353" s="24" t="s">
        <v>80</v>
      </c>
      <c r="B353" s="24" t="s">
        <v>345</v>
      </c>
      <c r="C353" s="25">
        <v>45717</v>
      </c>
      <c r="D353" s="24" t="s">
        <v>2659</v>
      </c>
      <c r="E353" s="26">
        <v>0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</row>
    <row r="354" spans="1:13">
      <c r="A354" s="24" t="s">
        <v>80</v>
      </c>
      <c r="B354" s="24" t="s">
        <v>345</v>
      </c>
      <c r="C354" s="25">
        <v>45748</v>
      </c>
      <c r="D354" s="24" t="s">
        <v>2660</v>
      </c>
      <c r="E354" s="26">
        <v>0</v>
      </c>
      <c r="F354" s="26">
        <v>0</v>
      </c>
      <c r="G354" s="26">
        <v>0</v>
      </c>
      <c r="H354" s="26">
        <v>0</v>
      </c>
      <c r="I354" s="26">
        <v>0</v>
      </c>
      <c r="J354" s="26">
        <v>0</v>
      </c>
      <c r="K354" s="26">
        <v>0</v>
      </c>
      <c r="L354" s="26">
        <v>0</v>
      </c>
      <c r="M354" s="26">
        <v>0</v>
      </c>
    </row>
    <row r="355" spans="1:13">
      <c r="A355" s="24" t="s">
        <v>80</v>
      </c>
      <c r="B355" s="24" t="s">
        <v>345</v>
      </c>
      <c r="C355" s="25">
        <v>45778</v>
      </c>
      <c r="D355" s="24" t="s">
        <v>2661</v>
      </c>
      <c r="E355" s="26">
        <v>0</v>
      </c>
      <c r="F355" s="26">
        <v>0</v>
      </c>
      <c r="G355" s="26">
        <v>0</v>
      </c>
      <c r="H355" s="26">
        <v>0</v>
      </c>
      <c r="I355" s="26">
        <v>0</v>
      </c>
      <c r="J355" s="26">
        <v>0</v>
      </c>
      <c r="K355" s="26">
        <v>0</v>
      </c>
      <c r="L355" s="26">
        <v>0</v>
      </c>
      <c r="M355" s="26">
        <v>0</v>
      </c>
    </row>
    <row r="356" spans="1:13">
      <c r="A356" s="24" t="s">
        <v>80</v>
      </c>
      <c r="B356" s="24" t="s">
        <v>345</v>
      </c>
      <c r="C356" s="25">
        <v>45809</v>
      </c>
      <c r="D356" s="24" t="s">
        <v>2662</v>
      </c>
      <c r="E356" s="26">
        <v>0</v>
      </c>
      <c r="F356" s="26">
        <v>0</v>
      </c>
      <c r="G356" s="26">
        <v>0</v>
      </c>
      <c r="H356" s="26">
        <v>0</v>
      </c>
      <c r="I356" s="26">
        <v>0</v>
      </c>
      <c r="J356" s="26">
        <v>0</v>
      </c>
      <c r="K356" s="26">
        <v>0</v>
      </c>
      <c r="L356" s="26">
        <v>0</v>
      </c>
      <c r="M356" s="26">
        <v>0</v>
      </c>
    </row>
    <row r="357" spans="1:13">
      <c r="A357" s="24" t="s">
        <v>80</v>
      </c>
      <c r="B357" s="24" t="s">
        <v>345</v>
      </c>
      <c r="C357" s="25">
        <v>45839</v>
      </c>
      <c r="D357" s="24" t="s">
        <v>2663</v>
      </c>
      <c r="E357" s="26">
        <v>0</v>
      </c>
      <c r="F357" s="26">
        <v>0</v>
      </c>
      <c r="G357" s="26">
        <v>4949.75</v>
      </c>
      <c r="H357" s="26">
        <v>4949.75</v>
      </c>
      <c r="I357" s="26">
        <v>0</v>
      </c>
      <c r="J357" s="26">
        <v>0</v>
      </c>
      <c r="K357" s="26">
        <v>0</v>
      </c>
      <c r="L357" s="26">
        <v>4949.75</v>
      </c>
      <c r="M357" s="26">
        <v>0</v>
      </c>
    </row>
    <row r="358" spans="1:13">
      <c r="A358" s="24" t="s">
        <v>80</v>
      </c>
      <c r="B358" s="24" t="s">
        <v>345</v>
      </c>
      <c r="C358" s="25">
        <v>45870</v>
      </c>
      <c r="D358" s="24" t="s">
        <v>2664</v>
      </c>
      <c r="E358" s="26">
        <v>0</v>
      </c>
      <c r="F358" s="26">
        <v>0</v>
      </c>
      <c r="G358" s="26">
        <v>12134.97</v>
      </c>
      <c r="H358" s="26">
        <v>12134.97</v>
      </c>
      <c r="I358" s="26">
        <v>0</v>
      </c>
      <c r="J358" s="26">
        <v>0</v>
      </c>
      <c r="K358" s="26">
        <v>0</v>
      </c>
      <c r="L358" s="26">
        <v>12134.97</v>
      </c>
      <c r="M358" s="26">
        <v>0</v>
      </c>
    </row>
    <row r="359" spans="1:13">
      <c r="A359" s="24" t="s">
        <v>80</v>
      </c>
      <c r="B359" s="24" t="s">
        <v>345</v>
      </c>
      <c r="C359" s="25">
        <v>45901</v>
      </c>
      <c r="D359" s="24" t="s">
        <v>2665</v>
      </c>
      <c r="E359" s="26">
        <v>0</v>
      </c>
      <c r="F359" s="26">
        <v>0</v>
      </c>
      <c r="G359" s="26">
        <v>18803.3</v>
      </c>
      <c r="H359" s="26">
        <v>18803.3</v>
      </c>
      <c r="I359" s="26">
        <v>0</v>
      </c>
      <c r="J359" s="26">
        <v>0</v>
      </c>
      <c r="K359" s="26">
        <v>0</v>
      </c>
      <c r="L359" s="26">
        <v>18803.3</v>
      </c>
      <c r="M359" s="26">
        <v>0</v>
      </c>
    </row>
    <row r="360" spans="1:13">
      <c r="A360" s="24" t="s">
        <v>80</v>
      </c>
      <c r="B360" s="24" t="s">
        <v>345</v>
      </c>
      <c r="C360" s="25">
        <v>45931</v>
      </c>
      <c r="D360" s="24" t="s">
        <v>2666</v>
      </c>
      <c r="E360" s="26">
        <v>0</v>
      </c>
      <c r="F360" s="26">
        <v>0</v>
      </c>
      <c r="G360" s="26">
        <v>18803.3</v>
      </c>
      <c r="H360" s="26">
        <v>18803.3</v>
      </c>
      <c r="I360" s="26">
        <v>0</v>
      </c>
      <c r="J360" s="26">
        <v>0</v>
      </c>
      <c r="K360" s="26">
        <v>0</v>
      </c>
      <c r="L360" s="26">
        <v>18803.3</v>
      </c>
      <c r="M360" s="26">
        <v>0</v>
      </c>
    </row>
    <row r="361" spans="1:13">
      <c r="A361" s="24" t="s">
        <v>80</v>
      </c>
      <c r="B361" s="24" t="s">
        <v>345</v>
      </c>
      <c r="C361" s="25">
        <v>45962</v>
      </c>
      <c r="D361" s="24" t="s">
        <v>2667</v>
      </c>
      <c r="E361" s="26">
        <v>25274.03</v>
      </c>
      <c r="F361" s="26">
        <v>0</v>
      </c>
      <c r="G361" s="26">
        <v>4139.9800000000032</v>
      </c>
      <c r="H361" s="26">
        <v>29414.01</v>
      </c>
      <c r="I361" s="26">
        <v>0</v>
      </c>
      <c r="J361" s="26">
        <v>0</v>
      </c>
      <c r="K361" s="26">
        <v>0</v>
      </c>
      <c r="L361" s="26">
        <v>29414.01</v>
      </c>
      <c r="M361" s="26">
        <v>0</v>
      </c>
    </row>
    <row r="362" spans="1:13">
      <c r="A362" s="24" t="s">
        <v>80</v>
      </c>
      <c r="B362" s="24" t="s">
        <v>345</v>
      </c>
      <c r="C362" s="25">
        <v>45992</v>
      </c>
      <c r="D362" s="24" t="s">
        <v>2668</v>
      </c>
      <c r="E362" s="26">
        <v>25274.03</v>
      </c>
      <c r="F362" s="26">
        <v>0</v>
      </c>
      <c r="G362" s="26">
        <v>11217.240000000011</v>
      </c>
      <c r="H362" s="26">
        <v>36491.269999999997</v>
      </c>
      <c r="I362" s="26">
        <v>0</v>
      </c>
      <c r="J362" s="26">
        <v>0</v>
      </c>
      <c r="K362" s="26">
        <v>0</v>
      </c>
      <c r="L362" s="26">
        <v>36491.269999999997</v>
      </c>
      <c r="M362" s="26">
        <v>0</v>
      </c>
    </row>
    <row r="363" spans="1:13">
      <c r="A363" s="24" t="s">
        <v>123</v>
      </c>
      <c r="B363" s="24" t="s">
        <v>329</v>
      </c>
      <c r="C363" s="25">
        <v>45658</v>
      </c>
      <c r="D363" s="24" t="s">
        <v>2657</v>
      </c>
      <c r="E363" s="26">
        <v>0</v>
      </c>
      <c r="F363" s="26">
        <v>0</v>
      </c>
      <c r="G363" s="26">
        <v>0</v>
      </c>
      <c r="H363" s="26">
        <v>0</v>
      </c>
      <c r="I363" s="26">
        <v>0</v>
      </c>
      <c r="J363" s="26">
        <v>0</v>
      </c>
      <c r="K363" s="26">
        <v>0</v>
      </c>
      <c r="L363" s="26">
        <v>0</v>
      </c>
      <c r="M363" s="26">
        <v>0</v>
      </c>
    </row>
    <row r="364" spans="1:13">
      <c r="A364" s="24" t="s">
        <v>123</v>
      </c>
      <c r="B364" s="24" t="s">
        <v>329</v>
      </c>
      <c r="C364" s="25">
        <v>45689</v>
      </c>
      <c r="D364" s="24" t="s">
        <v>2658</v>
      </c>
      <c r="E364" s="26">
        <v>0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6">
        <v>0</v>
      </c>
      <c r="M364" s="26">
        <v>0</v>
      </c>
    </row>
    <row r="365" spans="1:13">
      <c r="A365" s="24" t="s">
        <v>123</v>
      </c>
      <c r="B365" s="24" t="s">
        <v>329</v>
      </c>
      <c r="C365" s="25">
        <v>45717</v>
      </c>
      <c r="D365" s="24" t="s">
        <v>2659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</row>
    <row r="366" spans="1:13">
      <c r="A366" s="24" t="s">
        <v>123</v>
      </c>
      <c r="B366" s="24" t="s">
        <v>329</v>
      </c>
      <c r="C366" s="25">
        <v>45748</v>
      </c>
      <c r="D366" s="24" t="s">
        <v>2660</v>
      </c>
      <c r="E366" s="26">
        <v>0</v>
      </c>
      <c r="F366" s="26">
        <v>0</v>
      </c>
      <c r="G366" s="26">
        <v>0</v>
      </c>
      <c r="H366" s="26">
        <v>0</v>
      </c>
      <c r="I366" s="26">
        <v>0</v>
      </c>
      <c r="J366" s="26">
        <v>0</v>
      </c>
      <c r="K366" s="26">
        <v>0</v>
      </c>
      <c r="L366" s="26">
        <v>0</v>
      </c>
      <c r="M366" s="26">
        <v>0</v>
      </c>
    </row>
    <row r="367" spans="1:13">
      <c r="A367" s="24" t="s">
        <v>123</v>
      </c>
      <c r="B367" s="24" t="s">
        <v>329</v>
      </c>
      <c r="C367" s="25">
        <v>45778</v>
      </c>
      <c r="D367" s="24" t="s">
        <v>2661</v>
      </c>
      <c r="E367" s="26">
        <v>0</v>
      </c>
      <c r="F367" s="26">
        <v>0</v>
      </c>
      <c r="G367" s="26">
        <v>0</v>
      </c>
      <c r="H367" s="26">
        <v>0</v>
      </c>
      <c r="I367" s="26">
        <v>0</v>
      </c>
      <c r="J367" s="26">
        <v>0</v>
      </c>
      <c r="K367" s="26">
        <v>0</v>
      </c>
      <c r="L367" s="26">
        <v>0</v>
      </c>
      <c r="M367" s="26">
        <v>0</v>
      </c>
    </row>
    <row r="368" spans="1:13">
      <c r="A368" s="24" t="s">
        <v>123</v>
      </c>
      <c r="B368" s="24" t="s">
        <v>329</v>
      </c>
      <c r="C368" s="25">
        <v>45809</v>
      </c>
      <c r="D368" s="24" t="s">
        <v>2662</v>
      </c>
      <c r="E368" s="26">
        <v>0</v>
      </c>
      <c r="F368" s="26">
        <v>0</v>
      </c>
      <c r="G368" s="26">
        <v>0</v>
      </c>
      <c r="H368" s="26">
        <v>0</v>
      </c>
      <c r="I368" s="26">
        <v>0</v>
      </c>
      <c r="J368" s="26">
        <v>0</v>
      </c>
      <c r="K368" s="26">
        <v>0</v>
      </c>
      <c r="L368" s="26">
        <v>0</v>
      </c>
      <c r="M368" s="26">
        <v>0</v>
      </c>
    </row>
    <row r="369" spans="1:13">
      <c r="A369" s="24" t="s">
        <v>123</v>
      </c>
      <c r="B369" s="24" t="s">
        <v>329</v>
      </c>
      <c r="C369" s="25">
        <v>45839</v>
      </c>
      <c r="D369" s="24" t="s">
        <v>2663</v>
      </c>
      <c r="E369" s="26">
        <v>0</v>
      </c>
      <c r="F369" s="26">
        <v>0</v>
      </c>
      <c r="G369" s="26">
        <v>65376.35</v>
      </c>
      <c r="H369" s="26">
        <v>65376.35</v>
      </c>
      <c r="I369" s="26">
        <v>0</v>
      </c>
      <c r="J369" s="26">
        <v>0</v>
      </c>
      <c r="K369" s="26">
        <v>0</v>
      </c>
      <c r="L369" s="26">
        <v>65376.35</v>
      </c>
      <c r="M369" s="26">
        <v>0</v>
      </c>
    </row>
    <row r="370" spans="1:13">
      <c r="A370" s="24" t="s">
        <v>123</v>
      </c>
      <c r="B370" s="24" t="s">
        <v>329</v>
      </c>
      <c r="C370" s="25">
        <v>45870</v>
      </c>
      <c r="D370" s="24" t="s">
        <v>2664</v>
      </c>
      <c r="E370" s="26">
        <v>0</v>
      </c>
      <c r="F370" s="26">
        <v>0</v>
      </c>
      <c r="G370" s="26">
        <v>107885.48</v>
      </c>
      <c r="H370" s="26">
        <v>107885.48</v>
      </c>
      <c r="I370" s="26">
        <v>0</v>
      </c>
      <c r="J370" s="26">
        <v>0</v>
      </c>
      <c r="K370" s="26">
        <v>0</v>
      </c>
      <c r="L370" s="26">
        <v>107885.48</v>
      </c>
      <c r="M370" s="26">
        <v>0</v>
      </c>
    </row>
    <row r="371" spans="1:13">
      <c r="A371" s="24" t="s">
        <v>123</v>
      </c>
      <c r="B371" s="24" t="s">
        <v>329</v>
      </c>
      <c r="C371" s="25">
        <v>45901</v>
      </c>
      <c r="D371" s="24" t="s">
        <v>2665</v>
      </c>
      <c r="E371" s="26">
        <v>0</v>
      </c>
      <c r="F371" s="26">
        <v>0</v>
      </c>
      <c r="G371" s="26">
        <v>200008.58</v>
      </c>
      <c r="H371" s="26">
        <v>200008.58</v>
      </c>
      <c r="I371" s="26">
        <v>0</v>
      </c>
      <c r="J371" s="26">
        <v>0</v>
      </c>
      <c r="K371" s="26">
        <v>0</v>
      </c>
      <c r="L371" s="26">
        <v>200008.58</v>
      </c>
      <c r="M371" s="26">
        <v>0</v>
      </c>
    </row>
    <row r="372" spans="1:13">
      <c r="A372" s="24" t="s">
        <v>123</v>
      </c>
      <c r="B372" s="24" t="s">
        <v>329</v>
      </c>
      <c r="C372" s="25">
        <v>45931</v>
      </c>
      <c r="D372" s="24" t="s">
        <v>2666</v>
      </c>
      <c r="E372" s="26">
        <v>0</v>
      </c>
      <c r="F372" s="26">
        <v>0</v>
      </c>
      <c r="G372" s="26">
        <v>284420.33</v>
      </c>
      <c r="H372" s="26">
        <v>284420.33</v>
      </c>
      <c r="I372" s="26">
        <v>0</v>
      </c>
      <c r="J372" s="26">
        <v>0</v>
      </c>
      <c r="K372" s="26">
        <v>0</v>
      </c>
      <c r="L372" s="26">
        <v>284420.33</v>
      </c>
      <c r="M372" s="26">
        <v>0</v>
      </c>
    </row>
    <row r="373" spans="1:13">
      <c r="A373" s="24" t="s">
        <v>123</v>
      </c>
      <c r="B373" s="24" t="s">
        <v>329</v>
      </c>
      <c r="C373" s="25">
        <v>45962</v>
      </c>
      <c r="D373" s="24" t="s">
        <v>2667</v>
      </c>
      <c r="E373" s="26">
        <v>0</v>
      </c>
      <c r="F373" s="26">
        <v>0</v>
      </c>
      <c r="G373" s="26">
        <v>352263.42</v>
      </c>
      <c r="H373" s="26">
        <v>352263.42</v>
      </c>
      <c r="I373" s="26">
        <v>0</v>
      </c>
      <c r="J373" s="26">
        <v>0</v>
      </c>
      <c r="K373" s="26">
        <v>0</v>
      </c>
      <c r="L373" s="26">
        <v>352263.42</v>
      </c>
      <c r="M373" s="26">
        <v>0</v>
      </c>
    </row>
    <row r="374" spans="1:13">
      <c r="A374" s="24" t="s">
        <v>123</v>
      </c>
      <c r="B374" s="24" t="s">
        <v>329</v>
      </c>
      <c r="C374" s="25">
        <v>45992</v>
      </c>
      <c r="D374" s="24" t="s">
        <v>2668</v>
      </c>
      <c r="E374" s="26">
        <v>0</v>
      </c>
      <c r="F374" s="26">
        <v>0</v>
      </c>
      <c r="G374" s="26">
        <v>421001.28</v>
      </c>
      <c r="H374" s="26">
        <v>421001.28</v>
      </c>
      <c r="I374" s="26">
        <v>0</v>
      </c>
      <c r="J374" s="26">
        <v>0</v>
      </c>
      <c r="K374" s="26">
        <v>0</v>
      </c>
      <c r="L374" s="26">
        <v>421001.28</v>
      </c>
      <c r="M374" s="26">
        <v>0</v>
      </c>
    </row>
    <row r="375" spans="1:13">
      <c r="A375" s="24" t="s">
        <v>186</v>
      </c>
      <c r="B375" s="24" t="s">
        <v>329</v>
      </c>
      <c r="C375" s="25">
        <v>45658</v>
      </c>
      <c r="D375" s="24" t="s">
        <v>2657</v>
      </c>
      <c r="E375" s="26">
        <v>0</v>
      </c>
      <c r="F375" s="26">
        <v>0</v>
      </c>
      <c r="G375" s="26">
        <v>0</v>
      </c>
      <c r="H375" s="26">
        <v>0</v>
      </c>
      <c r="I375" s="26">
        <v>0</v>
      </c>
      <c r="J375" s="26">
        <v>0</v>
      </c>
      <c r="K375" s="26">
        <v>0</v>
      </c>
      <c r="L375" s="26">
        <v>0</v>
      </c>
      <c r="M375" s="26">
        <v>0</v>
      </c>
    </row>
    <row r="376" spans="1:13">
      <c r="A376" s="24" t="s">
        <v>186</v>
      </c>
      <c r="B376" s="24" t="s">
        <v>329</v>
      </c>
      <c r="C376" s="25">
        <v>45689</v>
      </c>
      <c r="D376" s="24" t="s">
        <v>2658</v>
      </c>
      <c r="E376" s="26">
        <v>0</v>
      </c>
      <c r="F376" s="26">
        <v>0</v>
      </c>
      <c r="G376" s="26">
        <v>0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</row>
    <row r="377" spans="1:13">
      <c r="A377" s="24" t="s">
        <v>186</v>
      </c>
      <c r="B377" s="24" t="s">
        <v>329</v>
      </c>
      <c r="C377" s="25">
        <v>45717</v>
      </c>
      <c r="D377" s="24" t="s">
        <v>2659</v>
      </c>
      <c r="E377" s="26">
        <v>0</v>
      </c>
      <c r="F377" s="26">
        <v>0</v>
      </c>
      <c r="G377" s="26">
        <v>0</v>
      </c>
      <c r="H377" s="26">
        <v>0</v>
      </c>
      <c r="I377" s="26">
        <v>0</v>
      </c>
      <c r="J377" s="26">
        <v>0</v>
      </c>
      <c r="K377" s="26">
        <v>0</v>
      </c>
      <c r="L377" s="26">
        <v>0</v>
      </c>
      <c r="M377" s="26">
        <v>0</v>
      </c>
    </row>
    <row r="378" spans="1:13">
      <c r="A378" s="24" t="s">
        <v>186</v>
      </c>
      <c r="B378" s="24" t="s">
        <v>329</v>
      </c>
      <c r="C378" s="25">
        <v>45748</v>
      </c>
      <c r="D378" s="24" t="s">
        <v>2660</v>
      </c>
      <c r="E378" s="26">
        <v>0</v>
      </c>
      <c r="F378" s="26">
        <v>0</v>
      </c>
      <c r="G378" s="26">
        <v>0</v>
      </c>
      <c r="H378" s="26">
        <v>0</v>
      </c>
      <c r="I378" s="26">
        <v>0</v>
      </c>
      <c r="J378" s="26">
        <v>0</v>
      </c>
      <c r="K378" s="26">
        <v>0</v>
      </c>
      <c r="L378" s="26">
        <v>0</v>
      </c>
      <c r="M378" s="26">
        <v>0</v>
      </c>
    </row>
    <row r="379" spans="1:13">
      <c r="A379" s="24" t="s">
        <v>186</v>
      </c>
      <c r="B379" s="24" t="s">
        <v>329</v>
      </c>
      <c r="C379" s="25">
        <v>45778</v>
      </c>
      <c r="D379" s="24" t="s">
        <v>2661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</row>
    <row r="380" spans="1:13">
      <c r="A380" s="24" t="s">
        <v>186</v>
      </c>
      <c r="B380" s="24" t="s">
        <v>329</v>
      </c>
      <c r="C380" s="25">
        <v>45809</v>
      </c>
      <c r="D380" s="24" t="s">
        <v>2662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</row>
    <row r="381" spans="1:13">
      <c r="A381" s="24" t="s">
        <v>186</v>
      </c>
      <c r="B381" s="24" t="s">
        <v>329</v>
      </c>
      <c r="C381" s="25">
        <v>45839</v>
      </c>
      <c r="D381" s="24" t="s">
        <v>2663</v>
      </c>
      <c r="E381" s="26">
        <v>0</v>
      </c>
      <c r="F381" s="26">
        <v>0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6">
        <v>0</v>
      </c>
      <c r="M381" s="26">
        <v>0</v>
      </c>
    </row>
    <row r="382" spans="1:13">
      <c r="A382" s="24" t="s">
        <v>186</v>
      </c>
      <c r="B382" s="24" t="s">
        <v>329</v>
      </c>
      <c r="C382" s="25">
        <v>45870</v>
      </c>
      <c r="D382" s="24" t="s">
        <v>2664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0</v>
      </c>
    </row>
    <row r="383" spans="1:13">
      <c r="A383" s="24" t="s">
        <v>186</v>
      </c>
      <c r="B383" s="24" t="s">
        <v>329</v>
      </c>
      <c r="C383" s="25">
        <v>45901</v>
      </c>
      <c r="D383" s="24" t="s">
        <v>2665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</row>
    <row r="384" spans="1:13">
      <c r="A384" s="24" t="s">
        <v>186</v>
      </c>
      <c r="B384" s="24" t="s">
        <v>329</v>
      </c>
      <c r="C384" s="25">
        <v>45931</v>
      </c>
      <c r="D384" s="24" t="s">
        <v>2666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</row>
    <row r="385" spans="1:13">
      <c r="A385" s="24" t="s">
        <v>186</v>
      </c>
      <c r="B385" s="24" t="s">
        <v>329</v>
      </c>
      <c r="C385" s="25">
        <v>45962</v>
      </c>
      <c r="D385" s="24" t="s">
        <v>2667</v>
      </c>
      <c r="E385" s="26">
        <v>-30829.81</v>
      </c>
      <c r="F385" s="26">
        <v>0</v>
      </c>
      <c r="G385" s="26">
        <v>0</v>
      </c>
      <c r="H385" s="26">
        <v>-30829.81</v>
      </c>
      <c r="I385" s="26">
        <v>0</v>
      </c>
      <c r="J385" s="26">
        <v>65706.66</v>
      </c>
      <c r="K385" s="26">
        <v>65706.66</v>
      </c>
      <c r="L385" s="26">
        <v>-30829.81</v>
      </c>
      <c r="M385" s="26">
        <v>-65706.66</v>
      </c>
    </row>
    <row r="386" spans="1:13">
      <c r="A386" s="24" t="s">
        <v>186</v>
      </c>
      <c r="B386" s="24" t="s">
        <v>329</v>
      </c>
      <c r="C386" s="25">
        <v>45992</v>
      </c>
      <c r="D386" s="24" t="s">
        <v>2668</v>
      </c>
      <c r="E386" s="26">
        <v>-53710.38</v>
      </c>
      <c r="F386" s="26">
        <v>0</v>
      </c>
      <c r="G386" s="26">
        <v>0</v>
      </c>
      <c r="H386" s="26">
        <v>-53710.38</v>
      </c>
      <c r="I386" s="26">
        <v>0</v>
      </c>
      <c r="J386" s="26">
        <v>65706.66</v>
      </c>
      <c r="K386" s="26">
        <v>65706.66</v>
      </c>
      <c r="L386" s="26">
        <v>-53710.38</v>
      </c>
      <c r="M386" s="26">
        <v>-65706.66</v>
      </c>
    </row>
    <row r="387" spans="1:13">
      <c r="A387" s="24" t="s">
        <v>262</v>
      </c>
      <c r="B387" s="24" t="s">
        <v>329</v>
      </c>
      <c r="C387" s="25">
        <v>45658</v>
      </c>
      <c r="D387" s="24" t="s">
        <v>2657</v>
      </c>
      <c r="E387" s="26">
        <v>0</v>
      </c>
      <c r="F387" s="26">
        <v>0</v>
      </c>
      <c r="G387" s="26">
        <v>0</v>
      </c>
      <c r="H387" s="26">
        <v>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</row>
    <row r="388" spans="1:13">
      <c r="A388" s="24" t="s">
        <v>262</v>
      </c>
      <c r="B388" s="24" t="s">
        <v>329</v>
      </c>
      <c r="C388" s="25">
        <v>45689</v>
      </c>
      <c r="D388" s="24" t="s">
        <v>2658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</row>
    <row r="389" spans="1:13">
      <c r="A389" s="24" t="s">
        <v>262</v>
      </c>
      <c r="B389" s="24" t="s">
        <v>329</v>
      </c>
      <c r="C389" s="25">
        <v>45717</v>
      </c>
      <c r="D389" s="24" t="s">
        <v>2659</v>
      </c>
      <c r="E389" s="26">
        <v>0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6">
        <v>0</v>
      </c>
      <c r="M389" s="26">
        <v>0</v>
      </c>
    </row>
    <row r="390" spans="1:13">
      <c r="A390" s="24" t="s">
        <v>262</v>
      </c>
      <c r="B390" s="24" t="s">
        <v>329</v>
      </c>
      <c r="C390" s="25">
        <v>45748</v>
      </c>
      <c r="D390" s="24" t="s">
        <v>2660</v>
      </c>
      <c r="E390" s="26">
        <v>0</v>
      </c>
      <c r="F390" s="26">
        <v>0</v>
      </c>
      <c r="G390" s="26">
        <v>0</v>
      </c>
      <c r="H390" s="26">
        <v>0</v>
      </c>
      <c r="I390" s="26">
        <v>0</v>
      </c>
      <c r="J390" s="26">
        <v>0</v>
      </c>
      <c r="K390" s="26">
        <v>0</v>
      </c>
      <c r="L390" s="26">
        <v>0</v>
      </c>
      <c r="M390" s="26">
        <v>0</v>
      </c>
    </row>
    <row r="391" spans="1:13">
      <c r="A391" s="24" t="s">
        <v>262</v>
      </c>
      <c r="B391" s="24" t="s">
        <v>329</v>
      </c>
      <c r="C391" s="25">
        <v>45778</v>
      </c>
      <c r="D391" s="24" t="s">
        <v>2661</v>
      </c>
      <c r="E391" s="26">
        <v>0</v>
      </c>
      <c r="F391" s="26">
        <v>0</v>
      </c>
      <c r="G391" s="26">
        <v>0</v>
      </c>
      <c r="H391" s="26">
        <v>0</v>
      </c>
      <c r="I391" s="26">
        <v>0</v>
      </c>
      <c r="J391" s="26">
        <v>0</v>
      </c>
      <c r="K391" s="26">
        <v>0</v>
      </c>
      <c r="L391" s="26">
        <v>0</v>
      </c>
      <c r="M391" s="26">
        <v>0</v>
      </c>
    </row>
    <row r="392" spans="1:13">
      <c r="A392" s="24" t="s">
        <v>262</v>
      </c>
      <c r="B392" s="24" t="s">
        <v>329</v>
      </c>
      <c r="C392" s="25">
        <v>45809</v>
      </c>
      <c r="D392" s="24" t="s">
        <v>2662</v>
      </c>
      <c r="E392" s="26">
        <v>0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6">
        <v>0</v>
      </c>
      <c r="L392" s="26">
        <v>0</v>
      </c>
      <c r="M392" s="26">
        <v>0</v>
      </c>
    </row>
    <row r="393" spans="1:13">
      <c r="A393" s="24" t="s">
        <v>262</v>
      </c>
      <c r="B393" s="24" t="s">
        <v>329</v>
      </c>
      <c r="C393" s="25">
        <v>45839</v>
      </c>
      <c r="D393" s="24" t="s">
        <v>2663</v>
      </c>
      <c r="E393" s="26">
        <v>0</v>
      </c>
      <c r="F393" s="26">
        <v>0</v>
      </c>
      <c r="G393" s="26">
        <v>6029.7</v>
      </c>
      <c r="H393" s="26">
        <v>6029.7</v>
      </c>
      <c r="I393" s="26">
        <v>0</v>
      </c>
      <c r="J393" s="26">
        <v>0</v>
      </c>
      <c r="K393" s="26">
        <v>0</v>
      </c>
      <c r="L393" s="26">
        <v>6029.7</v>
      </c>
      <c r="M393" s="26">
        <v>0</v>
      </c>
    </row>
    <row r="394" spans="1:13">
      <c r="A394" s="24" t="s">
        <v>262</v>
      </c>
      <c r="B394" s="24" t="s">
        <v>329</v>
      </c>
      <c r="C394" s="25">
        <v>45870</v>
      </c>
      <c r="D394" s="24" t="s">
        <v>2664</v>
      </c>
      <c r="E394" s="26">
        <v>0</v>
      </c>
      <c r="F394" s="26">
        <v>0</v>
      </c>
      <c r="G394" s="26">
        <v>15588.92</v>
      </c>
      <c r="H394" s="26">
        <v>15588.92</v>
      </c>
      <c r="I394" s="26">
        <v>0</v>
      </c>
      <c r="J394" s="26">
        <v>0</v>
      </c>
      <c r="K394" s="26">
        <v>0</v>
      </c>
      <c r="L394" s="26">
        <v>15588.92</v>
      </c>
      <c r="M394" s="26">
        <v>0</v>
      </c>
    </row>
    <row r="395" spans="1:13">
      <c r="A395" s="24" t="s">
        <v>262</v>
      </c>
      <c r="B395" s="24" t="s">
        <v>329</v>
      </c>
      <c r="C395" s="25">
        <v>45901</v>
      </c>
      <c r="D395" s="24" t="s">
        <v>2665</v>
      </c>
      <c r="E395" s="26">
        <v>0</v>
      </c>
      <c r="F395" s="26">
        <v>0</v>
      </c>
      <c r="G395" s="26">
        <v>23290.33</v>
      </c>
      <c r="H395" s="26">
        <v>23290.33</v>
      </c>
      <c r="I395" s="26">
        <v>0</v>
      </c>
      <c r="J395" s="26">
        <v>0</v>
      </c>
      <c r="K395" s="26">
        <v>0</v>
      </c>
      <c r="L395" s="26">
        <v>23290.33</v>
      </c>
      <c r="M395" s="26">
        <v>0</v>
      </c>
    </row>
    <row r="396" spans="1:13">
      <c r="A396" s="24" t="s">
        <v>262</v>
      </c>
      <c r="B396" s="24" t="s">
        <v>329</v>
      </c>
      <c r="C396" s="25">
        <v>45931</v>
      </c>
      <c r="D396" s="24" t="s">
        <v>2666</v>
      </c>
      <c r="E396" s="26">
        <v>0</v>
      </c>
      <c r="F396" s="26">
        <v>0</v>
      </c>
      <c r="G396" s="26">
        <v>33245.72</v>
      </c>
      <c r="H396" s="26">
        <v>33245.72</v>
      </c>
      <c r="I396" s="26">
        <v>0</v>
      </c>
      <c r="J396" s="26">
        <v>0</v>
      </c>
      <c r="K396" s="26">
        <v>0</v>
      </c>
      <c r="L396" s="26">
        <v>33245.72</v>
      </c>
      <c r="M396" s="26">
        <v>0</v>
      </c>
    </row>
    <row r="397" spans="1:13">
      <c r="A397" s="24" t="s">
        <v>262</v>
      </c>
      <c r="B397" s="24" t="s">
        <v>329</v>
      </c>
      <c r="C397" s="25">
        <v>45962</v>
      </c>
      <c r="D397" s="24" t="s">
        <v>2667</v>
      </c>
      <c r="E397" s="26">
        <v>0</v>
      </c>
      <c r="F397" s="26">
        <v>0</v>
      </c>
      <c r="G397" s="26">
        <v>33245.72</v>
      </c>
      <c r="H397" s="26">
        <v>33245.72</v>
      </c>
      <c r="I397" s="26">
        <v>0</v>
      </c>
      <c r="J397" s="26">
        <v>0</v>
      </c>
      <c r="K397" s="26">
        <v>0</v>
      </c>
      <c r="L397" s="26">
        <v>33245.72</v>
      </c>
      <c r="M397" s="26">
        <v>0</v>
      </c>
    </row>
    <row r="398" spans="1:13">
      <c r="A398" s="24" t="s">
        <v>262</v>
      </c>
      <c r="B398" s="24" t="s">
        <v>329</v>
      </c>
      <c r="C398" s="25">
        <v>45992</v>
      </c>
      <c r="D398" s="24" t="s">
        <v>2668</v>
      </c>
      <c r="E398" s="26">
        <v>0</v>
      </c>
      <c r="F398" s="26">
        <v>0</v>
      </c>
      <c r="G398" s="26">
        <v>42955.38</v>
      </c>
      <c r="H398" s="26">
        <v>42955.38</v>
      </c>
      <c r="I398" s="26">
        <v>0</v>
      </c>
      <c r="J398" s="26">
        <v>0</v>
      </c>
      <c r="K398" s="26">
        <v>0</v>
      </c>
      <c r="L398" s="26">
        <v>42955.38</v>
      </c>
      <c r="M398" s="26">
        <v>0</v>
      </c>
    </row>
    <row r="399" spans="1:13">
      <c r="A399" s="24" t="s">
        <v>23</v>
      </c>
      <c r="B399" s="24" t="s">
        <v>329</v>
      </c>
      <c r="C399" s="25">
        <v>45658</v>
      </c>
      <c r="D399" s="24" t="s">
        <v>2657</v>
      </c>
      <c r="E399" s="26">
        <v>0</v>
      </c>
      <c r="F399" s="26">
        <v>0</v>
      </c>
      <c r="G399" s="26">
        <v>0</v>
      </c>
      <c r="H399" s="26">
        <v>0</v>
      </c>
      <c r="I399" s="26">
        <v>0</v>
      </c>
      <c r="J399" s="26">
        <v>0</v>
      </c>
      <c r="K399" s="26">
        <v>0</v>
      </c>
      <c r="L399" s="26">
        <v>0</v>
      </c>
      <c r="M399" s="26">
        <v>0</v>
      </c>
    </row>
    <row r="400" spans="1:13">
      <c r="A400" s="24" t="s">
        <v>23</v>
      </c>
      <c r="B400" s="24" t="s">
        <v>329</v>
      </c>
      <c r="C400" s="25">
        <v>45689</v>
      </c>
      <c r="D400" s="24" t="s">
        <v>2658</v>
      </c>
      <c r="E400" s="26">
        <v>0</v>
      </c>
      <c r="F400" s="26">
        <v>0</v>
      </c>
      <c r="G400" s="26">
        <v>0</v>
      </c>
      <c r="H400" s="26">
        <v>0</v>
      </c>
      <c r="I400" s="26">
        <v>0</v>
      </c>
      <c r="J400" s="26">
        <v>0</v>
      </c>
      <c r="K400" s="26">
        <v>0</v>
      </c>
      <c r="L400" s="26">
        <v>0</v>
      </c>
      <c r="M400" s="26">
        <v>0</v>
      </c>
    </row>
    <row r="401" spans="1:13">
      <c r="A401" s="24" t="s">
        <v>23</v>
      </c>
      <c r="B401" s="24" t="s">
        <v>329</v>
      </c>
      <c r="C401" s="25">
        <v>45717</v>
      </c>
      <c r="D401" s="24" t="s">
        <v>2659</v>
      </c>
      <c r="E401" s="26">
        <v>0</v>
      </c>
      <c r="F401" s="26">
        <v>0</v>
      </c>
      <c r="G401" s="26">
        <v>0</v>
      </c>
      <c r="H401" s="26">
        <v>0</v>
      </c>
      <c r="I401" s="26">
        <v>0</v>
      </c>
      <c r="J401" s="26">
        <v>0</v>
      </c>
      <c r="K401" s="26">
        <v>0</v>
      </c>
      <c r="L401" s="26">
        <v>0</v>
      </c>
      <c r="M401" s="26">
        <v>0</v>
      </c>
    </row>
    <row r="402" spans="1:13">
      <c r="A402" s="24" t="s">
        <v>23</v>
      </c>
      <c r="B402" s="24" t="s">
        <v>329</v>
      </c>
      <c r="C402" s="25">
        <v>45748</v>
      </c>
      <c r="D402" s="24" t="s">
        <v>2660</v>
      </c>
      <c r="E402" s="26">
        <v>0</v>
      </c>
      <c r="F402" s="26">
        <v>0</v>
      </c>
      <c r="G402" s="26">
        <v>0</v>
      </c>
      <c r="H402" s="26">
        <v>0</v>
      </c>
      <c r="I402" s="26">
        <v>0</v>
      </c>
      <c r="J402" s="26">
        <v>0</v>
      </c>
      <c r="K402" s="26">
        <v>0</v>
      </c>
      <c r="L402" s="26">
        <v>0</v>
      </c>
      <c r="M402" s="26">
        <v>0</v>
      </c>
    </row>
    <row r="403" spans="1:13">
      <c r="A403" s="24" t="s">
        <v>23</v>
      </c>
      <c r="B403" s="24" t="s">
        <v>329</v>
      </c>
      <c r="C403" s="25">
        <v>45778</v>
      </c>
      <c r="D403" s="24" t="s">
        <v>2661</v>
      </c>
      <c r="E403" s="26">
        <v>0</v>
      </c>
      <c r="F403" s="26">
        <v>0</v>
      </c>
      <c r="G403" s="26">
        <v>0</v>
      </c>
      <c r="H403" s="26">
        <v>0</v>
      </c>
      <c r="I403" s="26">
        <v>0</v>
      </c>
      <c r="J403" s="26">
        <v>0</v>
      </c>
      <c r="K403" s="26">
        <v>0</v>
      </c>
      <c r="L403" s="26">
        <v>0</v>
      </c>
      <c r="M403" s="26">
        <v>0</v>
      </c>
    </row>
    <row r="404" spans="1:13">
      <c r="A404" s="24" t="s">
        <v>23</v>
      </c>
      <c r="B404" s="24" t="s">
        <v>329</v>
      </c>
      <c r="C404" s="25">
        <v>45809</v>
      </c>
      <c r="D404" s="24" t="s">
        <v>2662</v>
      </c>
      <c r="E404" s="26">
        <v>0</v>
      </c>
      <c r="F404" s="26">
        <v>0</v>
      </c>
      <c r="G404" s="26">
        <v>0</v>
      </c>
      <c r="H404" s="26">
        <v>0</v>
      </c>
      <c r="I404" s="26">
        <v>0</v>
      </c>
      <c r="J404" s="26">
        <v>0</v>
      </c>
      <c r="K404" s="26">
        <v>0</v>
      </c>
      <c r="L404" s="26">
        <v>0</v>
      </c>
      <c r="M404" s="26">
        <v>0</v>
      </c>
    </row>
    <row r="405" spans="1:13">
      <c r="A405" s="24" t="s">
        <v>23</v>
      </c>
      <c r="B405" s="24" t="s">
        <v>329</v>
      </c>
      <c r="C405" s="25">
        <v>45839</v>
      </c>
      <c r="D405" s="24" t="s">
        <v>2663</v>
      </c>
      <c r="E405" s="26">
        <v>0</v>
      </c>
      <c r="F405" s="26">
        <v>0</v>
      </c>
      <c r="G405" s="26">
        <v>0</v>
      </c>
      <c r="H405" s="26">
        <v>0</v>
      </c>
      <c r="I405" s="26">
        <v>0</v>
      </c>
      <c r="J405" s="26">
        <v>0</v>
      </c>
      <c r="K405" s="26">
        <v>0</v>
      </c>
      <c r="L405" s="26">
        <v>0</v>
      </c>
      <c r="M405" s="26">
        <v>0</v>
      </c>
    </row>
    <row r="406" spans="1:13">
      <c r="A406" s="24" t="s">
        <v>23</v>
      </c>
      <c r="B406" s="24" t="s">
        <v>329</v>
      </c>
      <c r="C406" s="25">
        <v>45870</v>
      </c>
      <c r="D406" s="24" t="s">
        <v>2664</v>
      </c>
      <c r="E406" s="26">
        <v>-40273.06</v>
      </c>
      <c r="F406" s="26">
        <v>0</v>
      </c>
      <c r="G406" s="26">
        <v>0</v>
      </c>
      <c r="H406" s="26">
        <v>-40273.06</v>
      </c>
      <c r="I406" s="26">
        <v>0</v>
      </c>
      <c r="J406" s="26">
        <v>0</v>
      </c>
      <c r="K406" s="26">
        <v>0</v>
      </c>
      <c r="L406" s="26">
        <v>-40273.06</v>
      </c>
      <c r="M406" s="26">
        <v>0</v>
      </c>
    </row>
    <row r="407" spans="1:13">
      <c r="A407" s="24" t="s">
        <v>23</v>
      </c>
      <c r="B407" s="24" t="s">
        <v>329</v>
      </c>
      <c r="C407" s="25">
        <v>45901</v>
      </c>
      <c r="D407" s="24" t="s">
        <v>2665</v>
      </c>
      <c r="E407" s="26">
        <v>-40273.06</v>
      </c>
      <c r="F407" s="26">
        <v>0</v>
      </c>
      <c r="G407" s="26">
        <v>0</v>
      </c>
      <c r="H407" s="26">
        <v>-40273.06</v>
      </c>
      <c r="I407" s="26">
        <v>0</v>
      </c>
      <c r="J407" s="26">
        <v>0</v>
      </c>
      <c r="K407" s="26">
        <v>0</v>
      </c>
      <c r="L407" s="26">
        <v>-25548.39</v>
      </c>
      <c r="M407" s="26">
        <v>-14724.67</v>
      </c>
    </row>
    <row r="408" spans="1:13">
      <c r="A408" s="24" t="s">
        <v>23</v>
      </c>
      <c r="B408" s="24" t="s">
        <v>329</v>
      </c>
      <c r="C408" s="25">
        <v>45931</v>
      </c>
      <c r="D408" s="24" t="s">
        <v>2666</v>
      </c>
      <c r="E408" s="26">
        <v>-40273.06</v>
      </c>
      <c r="F408" s="26">
        <v>0</v>
      </c>
      <c r="G408" s="26">
        <v>0</v>
      </c>
      <c r="H408" s="26">
        <v>-40273.06</v>
      </c>
      <c r="I408" s="26">
        <v>0</v>
      </c>
      <c r="J408" s="26">
        <v>44569.81</v>
      </c>
      <c r="K408" s="26">
        <v>44569.81</v>
      </c>
      <c r="L408" s="26">
        <v>-25548.39</v>
      </c>
      <c r="M408" s="26">
        <v>-59294.48</v>
      </c>
    </row>
    <row r="409" spans="1:13">
      <c r="A409" s="24" t="s">
        <v>23</v>
      </c>
      <c r="B409" s="24" t="s">
        <v>329</v>
      </c>
      <c r="C409" s="25">
        <v>45962</v>
      </c>
      <c r="D409" s="24" t="s">
        <v>2667</v>
      </c>
      <c r="E409" s="26">
        <v>-40273.06</v>
      </c>
      <c r="F409" s="26">
        <v>0</v>
      </c>
      <c r="G409" s="26">
        <v>0</v>
      </c>
      <c r="H409" s="26">
        <v>-40273.06</v>
      </c>
      <c r="I409" s="26">
        <v>0</v>
      </c>
      <c r="J409" s="26">
        <v>427471.87</v>
      </c>
      <c r="K409" s="26">
        <v>427471.87</v>
      </c>
      <c r="L409" s="26">
        <v>-25548.39</v>
      </c>
      <c r="M409" s="26">
        <v>-442196.54</v>
      </c>
    </row>
    <row r="410" spans="1:13">
      <c r="A410" s="24" t="s">
        <v>23</v>
      </c>
      <c r="B410" s="24" t="s">
        <v>329</v>
      </c>
      <c r="C410" s="25">
        <v>45992</v>
      </c>
      <c r="D410" s="24" t="s">
        <v>2668</v>
      </c>
      <c r="E410" s="26">
        <v>-40273.06</v>
      </c>
      <c r="F410" s="26">
        <v>0</v>
      </c>
      <c r="G410" s="26">
        <v>0</v>
      </c>
      <c r="H410" s="26">
        <v>-40273.06</v>
      </c>
      <c r="I410" s="26">
        <v>0</v>
      </c>
      <c r="J410" s="26">
        <v>427471.87</v>
      </c>
      <c r="K410" s="26">
        <v>427471.87</v>
      </c>
      <c r="L410" s="26">
        <v>-25548.39</v>
      </c>
      <c r="M410" s="26">
        <v>-442196.54</v>
      </c>
    </row>
    <row r="411" spans="1:13">
      <c r="A411" s="24" t="s">
        <v>131</v>
      </c>
      <c r="B411" s="24" t="s">
        <v>337</v>
      </c>
      <c r="C411" s="25">
        <v>45658</v>
      </c>
      <c r="D411" s="24" t="s">
        <v>2657</v>
      </c>
      <c r="E411" s="26">
        <v>0</v>
      </c>
      <c r="F411" s="26">
        <v>0</v>
      </c>
      <c r="G411" s="26">
        <v>0</v>
      </c>
      <c r="H411" s="26">
        <v>0</v>
      </c>
      <c r="I411" s="26">
        <v>0</v>
      </c>
      <c r="J411" s="26">
        <v>0</v>
      </c>
      <c r="K411" s="26">
        <v>0</v>
      </c>
      <c r="L411" s="26">
        <v>0</v>
      </c>
      <c r="M411" s="26">
        <v>0</v>
      </c>
    </row>
    <row r="412" spans="1:13">
      <c r="A412" s="24" t="s">
        <v>131</v>
      </c>
      <c r="B412" s="24" t="s">
        <v>337</v>
      </c>
      <c r="C412" s="25">
        <v>45689</v>
      </c>
      <c r="D412" s="24" t="s">
        <v>2658</v>
      </c>
      <c r="E412" s="26">
        <v>0</v>
      </c>
      <c r="F412" s="26">
        <v>0</v>
      </c>
      <c r="G412" s="26">
        <v>0</v>
      </c>
      <c r="H412" s="26">
        <v>0</v>
      </c>
      <c r="I412" s="26">
        <v>0</v>
      </c>
      <c r="J412" s="26">
        <v>0</v>
      </c>
      <c r="K412" s="26">
        <v>0</v>
      </c>
      <c r="L412" s="26">
        <v>0</v>
      </c>
      <c r="M412" s="26">
        <v>0</v>
      </c>
    </row>
    <row r="413" spans="1:13">
      <c r="A413" s="24" t="s">
        <v>131</v>
      </c>
      <c r="B413" s="24" t="s">
        <v>337</v>
      </c>
      <c r="C413" s="25">
        <v>45717</v>
      </c>
      <c r="D413" s="24" t="s">
        <v>2659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0</v>
      </c>
    </row>
    <row r="414" spans="1:13">
      <c r="A414" s="24" t="s">
        <v>131</v>
      </c>
      <c r="B414" s="24" t="s">
        <v>337</v>
      </c>
      <c r="C414" s="25">
        <v>45748</v>
      </c>
      <c r="D414" s="24" t="s">
        <v>2660</v>
      </c>
      <c r="E414" s="26">
        <v>0</v>
      </c>
      <c r="F414" s="26">
        <v>0</v>
      </c>
      <c r="G414" s="26">
        <v>0</v>
      </c>
      <c r="H414" s="26">
        <v>0</v>
      </c>
      <c r="I414" s="26">
        <v>0</v>
      </c>
      <c r="J414" s="26">
        <v>0</v>
      </c>
      <c r="K414" s="26">
        <v>0</v>
      </c>
      <c r="L414" s="26">
        <v>0</v>
      </c>
      <c r="M414" s="26">
        <v>0</v>
      </c>
    </row>
    <row r="415" spans="1:13">
      <c r="A415" s="24" t="s">
        <v>131</v>
      </c>
      <c r="B415" s="24" t="s">
        <v>337</v>
      </c>
      <c r="C415" s="25">
        <v>45778</v>
      </c>
      <c r="D415" s="24" t="s">
        <v>2661</v>
      </c>
      <c r="E415" s="26">
        <v>0</v>
      </c>
      <c r="F415" s="26">
        <v>0</v>
      </c>
      <c r="G415" s="26">
        <v>0</v>
      </c>
      <c r="H415" s="26">
        <v>0</v>
      </c>
      <c r="I415" s="26">
        <v>0</v>
      </c>
      <c r="J415" s="26">
        <v>0</v>
      </c>
      <c r="K415" s="26">
        <v>0</v>
      </c>
      <c r="L415" s="26">
        <v>0</v>
      </c>
      <c r="M415" s="26">
        <v>0</v>
      </c>
    </row>
    <row r="416" spans="1:13">
      <c r="A416" s="24" t="s">
        <v>131</v>
      </c>
      <c r="B416" s="24" t="s">
        <v>337</v>
      </c>
      <c r="C416" s="25">
        <v>45809</v>
      </c>
      <c r="D416" s="24" t="s">
        <v>2662</v>
      </c>
      <c r="E416" s="26">
        <v>0</v>
      </c>
      <c r="F416" s="26">
        <v>0</v>
      </c>
      <c r="G416" s="26">
        <v>0</v>
      </c>
      <c r="H416" s="26">
        <v>0</v>
      </c>
      <c r="I416" s="26">
        <v>0</v>
      </c>
      <c r="J416" s="26">
        <v>0</v>
      </c>
      <c r="K416" s="26">
        <v>0</v>
      </c>
      <c r="L416" s="26">
        <v>0</v>
      </c>
      <c r="M416" s="26">
        <v>0</v>
      </c>
    </row>
    <row r="417" spans="1:13">
      <c r="A417" s="24" t="s">
        <v>131</v>
      </c>
      <c r="B417" s="24" t="s">
        <v>337</v>
      </c>
      <c r="C417" s="25">
        <v>45839</v>
      </c>
      <c r="D417" s="24" t="s">
        <v>2663</v>
      </c>
      <c r="E417" s="26">
        <v>0</v>
      </c>
      <c r="F417" s="26">
        <v>0</v>
      </c>
      <c r="G417" s="26">
        <v>12625.54</v>
      </c>
      <c r="H417" s="26">
        <v>12625.54</v>
      </c>
      <c r="I417" s="26">
        <v>0</v>
      </c>
      <c r="J417" s="26">
        <v>0</v>
      </c>
      <c r="K417" s="26">
        <v>0</v>
      </c>
      <c r="L417" s="26">
        <v>12625.54</v>
      </c>
      <c r="M417" s="26">
        <v>0</v>
      </c>
    </row>
    <row r="418" spans="1:13">
      <c r="A418" s="24" t="s">
        <v>131</v>
      </c>
      <c r="B418" s="24" t="s">
        <v>337</v>
      </c>
      <c r="C418" s="25">
        <v>45870</v>
      </c>
      <c r="D418" s="24" t="s">
        <v>2664</v>
      </c>
      <c r="E418" s="26">
        <v>0</v>
      </c>
      <c r="F418" s="26">
        <v>0</v>
      </c>
      <c r="G418" s="26">
        <v>12625.54</v>
      </c>
      <c r="H418" s="26">
        <v>12625.54</v>
      </c>
      <c r="I418" s="26">
        <v>0</v>
      </c>
      <c r="J418" s="26">
        <v>0</v>
      </c>
      <c r="K418" s="26">
        <v>0</v>
      </c>
      <c r="L418" s="26">
        <v>12625.54</v>
      </c>
      <c r="M418" s="26">
        <v>0</v>
      </c>
    </row>
    <row r="419" spans="1:13">
      <c r="A419" s="24" t="s">
        <v>131</v>
      </c>
      <c r="B419" s="24" t="s">
        <v>337</v>
      </c>
      <c r="C419" s="25">
        <v>45901</v>
      </c>
      <c r="D419" s="24" t="s">
        <v>2665</v>
      </c>
      <c r="E419" s="26">
        <v>-97746.51</v>
      </c>
      <c r="F419" s="26">
        <v>0</v>
      </c>
      <c r="G419" s="26">
        <v>0</v>
      </c>
      <c r="H419" s="26">
        <v>-97746.51</v>
      </c>
      <c r="I419" s="26">
        <v>97746.51</v>
      </c>
      <c r="J419" s="26">
        <v>0</v>
      </c>
      <c r="K419" s="26">
        <v>97746.51</v>
      </c>
      <c r="L419" s="26">
        <v>-60492.94</v>
      </c>
      <c r="M419" s="26">
        <v>-135000.07999999999</v>
      </c>
    </row>
    <row r="420" spans="1:13">
      <c r="A420" s="24" t="s">
        <v>131</v>
      </c>
      <c r="B420" s="24" t="s">
        <v>337</v>
      </c>
      <c r="C420" s="25">
        <v>45931</v>
      </c>
      <c r="D420" s="24" t="s">
        <v>2666</v>
      </c>
      <c r="E420" s="26">
        <v>-97746.51</v>
      </c>
      <c r="F420" s="26">
        <v>0</v>
      </c>
      <c r="G420" s="26">
        <v>0</v>
      </c>
      <c r="H420" s="26">
        <v>-97746.51</v>
      </c>
      <c r="I420" s="26">
        <v>97746.51</v>
      </c>
      <c r="J420" s="26">
        <v>0</v>
      </c>
      <c r="K420" s="26">
        <v>97746.51</v>
      </c>
      <c r="L420" s="26">
        <v>-60492.94</v>
      </c>
      <c r="M420" s="26">
        <v>-135000.07999999999</v>
      </c>
    </row>
    <row r="421" spans="1:13">
      <c r="A421" s="24" t="s">
        <v>131</v>
      </c>
      <c r="B421" s="24" t="s">
        <v>337</v>
      </c>
      <c r="C421" s="25">
        <v>45962</v>
      </c>
      <c r="D421" s="24" t="s">
        <v>2667</v>
      </c>
      <c r="E421" s="26">
        <v>-97746.51</v>
      </c>
      <c r="F421" s="26">
        <v>0</v>
      </c>
      <c r="G421" s="26">
        <v>0</v>
      </c>
      <c r="H421" s="26">
        <v>-97746.51</v>
      </c>
      <c r="I421" s="26">
        <v>97746.51</v>
      </c>
      <c r="J421" s="26">
        <v>0</v>
      </c>
      <c r="K421" s="26">
        <v>97746.51</v>
      </c>
      <c r="L421" s="26">
        <v>-60492.94</v>
      </c>
      <c r="M421" s="26">
        <v>-135000.07999999999</v>
      </c>
    </row>
    <row r="422" spans="1:13">
      <c r="A422" s="24" t="s">
        <v>131</v>
      </c>
      <c r="B422" s="24" t="s">
        <v>337</v>
      </c>
      <c r="C422" s="25">
        <v>45992</v>
      </c>
      <c r="D422" s="24" t="s">
        <v>2668</v>
      </c>
      <c r="E422" s="26">
        <v>-97746.51</v>
      </c>
      <c r="F422" s="26">
        <v>0</v>
      </c>
      <c r="G422" s="26">
        <v>0</v>
      </c>
      <c r="H422" s="26">
        <v>-97746.51</v>
      </c>
      <c r="I422" s="26">
        <v>97746.51</v>
      </c>
      <c r="J422" s="26">
        <v>0</v>
      </c>
      <c r="K422" s="26">
        <v>97746.51</v>
      </c>
      <c r="L422" s="26">
        <v>-43697.87999999999</v>
      </c>
      <c r="M422" s="26">
        <v>-151795.14000000001</v>
      </c>
    </row>
    <row r="423" spans="1:13">
      <c r="A423" s="24" t="s">
        <v>106</v>
      </c>
      <c r="B423" s="24" t="s">
        <v>324</v>
      </c>
      <c r="C423" s="25">
        <v>45658</v>
      </c>
      <c r="D423" s="24" t="s">
        <v>2657</v>
      </c>
      <c r="E423" s="26">
        <v>0</v>
      </c>
      <c r="F423" s="26">
        <v>0</v>
      </c>
      <c r="G423" s="26">
        <v>0</v>
      </c>
      <c r="H423" s="26">
        <v>0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</row>
    <row r="424" spans="1:13">
      <c r="A424" s="24" t="s">
        <v>106</v>
      </c>
      <c r="B424" s="24" t="s">
        <v>324</v>
      </c>
      <c r="C424" s="25">
        <v>45689</v>
      </c>
      <c r="D424" s="24" t="s">
        <v>2658</v>
      </c>
      <c r="E424" s="26">
        <v>0</v>
      </c>
      <c r="F424" s="26">
        <v>0</v>
      </c>
      <c r="G424" s="26">
        <v>0</v>
      </c>
      <c r="H424" s="26">
        <v>0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</row>
    <row r="425" spans="1:13">
      <c r="A425" s="24" t="s">
        <v>106</v>
      </c>
      <c r="B425" s="24" t="s">
        <v>324</v>
      </c>
      <c r="C425" s="25">
        <v>45717</v>
      </c>
      <c r="D425" s="24" t="s">
        <v>2659</v>
      </c>
      <c r="E425" s="26">
        <v>0</v>
      </c>
      <c r="F425" s="26">
        <v>0</v>
      </c>
      <c r="G425" s="26">
        <v>0</v>
      </c>
      <c r="H425" s="26">
        <v>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</row>
    <row r="426" spans="1:13">
      <c r="A426" s="24" t="s">
        <v>106</v>
      </c>
      <c r="B426" s="24" t="s">
        <v>324</v>
      </c>
      <c r="C426" s="25">
        <v>45748</v>
      </c>
      <c r="D426" s="24" t="s">
        <v>2660</v>
      </c>
      <c r="E426" s="26">
        <v>0</v>
      </c>
      <c r="F426" s="26">
        <v>0</v>
      </c>
      <c r="G426" s="26">
        <v>0</v>
      </c>
      <c r="H426" s="26">
        <v>0</v>
      </c>
      <c r="I426" s="26">
        <v>0</v>
      </c>
      <c r="J426" s="26">
        <v>0</v>
      </c>
      <c r="K426" s="26">
        <v>0</v>
      </c>
      <c r="L426" s="26">
        <v>0</v>
      </c>
      <c r="M426" s="26">
        <v>0</v>
      </c>
    </row>
    <row r="427" spans="1:13">
      <c r="A427" s="24" t="s">
        <v>106</v>
      </c>
      <c r="B427" s="24" t="s">
        <v>324</v>
      </c>
      <c r="C427" s="25">
        <v>45778</v>
      </c>
      <c r="D427" s="24" t="s">
        <v>2661</v>
      </c>
      <c r="E427" s="26">
        <v>0</v>
      </c>
      <c r="F427" s="26">
        <v>0</v>
      </c>
      <c r="G427" s="26">
        <v>0</v>
      </c>
      <c r="H427" s="26">
        <v>0</v>
      </c>
      <c r="I427" s="26">
        <v>0</v>
      </c>
      <c r="J427" s="26">
        <v>0</v>
      </c>
      <c r="K427" s="26">
        <v>0</v>
      </c>
      <c r="L427" s="26">
        <v>0</v>
      </c>
      <c r="M427" s="26">
        <v>0</v>
      </c>
    </row>
    <row r="428" spans="1:13">
      <c r="A428" s="24" t="s">
        <v>106</v>
      </c>
      <c r="B428" s="24" t="s">
        <v>324</v>
      </c>
      <c r="C428" s="25">
        <v>45809</v>
      </c>
      <c r="D428" s="24" t="s">
        <v>2662</v>
      </c>
      <c r="E428" s="26">
        <v>0</v>
      </c>
      <c r="F428" s="26">
        <v>0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0</v>
      </c>
    </row>
    <row r="429" spans="1:13">
      <c r="A429" s="24" t="s">
        <v>106</v>
      </c>
      <c r="B429" s="24" t="s">
        <v>324</v>
      </c>
      <c r="C429" s="25">
        <v>45839</v>
      </c>
      <c r="D429" s="24" t="s">
        <v>2663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</row>
    <row r="430" spans="1:13">
      <c r="A430" s="24" t="s">
        <v>106</v>
      </c>
      <c r="B430" s="24" t="s">
        <v>324</v>
      </c>
      <c r="C430" s="25">
        <v>45870</v>
      </c>
      <c r="D430" s="24" t="s">
        <v>2664</v>
      </c>
      <c r="E430" s="26">
        <v>-115127.75</v>
      </c>
      <c r="F430" s="26">
        <v>0</v>
      </c>
      <c r="G430" s="26">
        <v>0</v>
      </c>
      <c r="H430" s="26">
        <v>-115127.75</v>
      </c>
      <c r="I430" s="26">
        <v>115127.75</v>
      </c>
      <c r="J430" s="26">
        <v>0</v>
      </c>
      <c r="K430" s="26">
        <v>115127.75</v>
      </c>
      <c r="L430" s="26">
        <v>-115127.75</v>
      </c>
      <c r="M430" s="26">
        <v>-115127.75</v>
      </c>
    </row>
    <row r="431" spans="1:13">
      <c r="A431" s="24" t="s">
        <v>106</v>
      </c>
      <c r="B431" s="24" t="s">
        <v>324</v>
      </c>
      <c r="C431" s="25">
        <v>45901</v>
      </c>
      <c r="D431" s="24" t="s">
        <v>2665</v>
      </c>
      <c r="E431" s="26">
        <v>-183367.5</v>
      </c>
      <c r="F431" s="26">
        <v>0</v>
      </c>
      <c r="G431" s="26">
        <v>0</v>
      </c>
      <c r="H431" s="26">
        <v>-183367.5</v>
      </c>
      <c r="I431" s="26">
        <v>115127.75</v>
      </c>
      <c r="J431" s="26">
        <v>0</v>
      </c>
      <c r="K431" s="26">
        <v>115127.75</v>
      </c>
      <c r="L431" s="26">
        <v>-183367.5</v>
      </c>
      <c r="M431" s="26">
        <v>-115127.75</v>
      </c>
    </row>
    <row r="432" spans="1:13">
      <c r="A432" s="24" t="s">
        <v>106</v>
      </c>
      <c r="B432" s="24" t="s">
        <v>324</v>
      </c>
      <c r="C432" s="25">
        <v>45931</v>
      </c>
      <c r="D432" s="24" t="s">
        <v>2666</v>
      </c>
      <c r="E432" s="26">
        <v>-183367.5</v>
      </c>
      <c r="F432" s="26">
        <v>0</v>
      </c>
      <c r="G432" s="26">
        <v>0</v>
      </c>
      <c r="H432" s="26">
        <v>-183367.5</v>
      </c>
      <c r="I432" s="26">
        <v>115127.75</v>
      </c>
      <c r="J432" s="26">
        <v>0</v>
      </c>
      <c r="K432" s="26">
        <v>115127.75</v>
      </c>
      <c r="L432" s="26">
        <v>-183367.5</v>
      </c>
      <c r="M432" s="26">
        <v>-115127.75</v>
      </c>
    </row>
    <row r="433" spans="1:13">
      <c r="A433" s="24" t="s">
        <v>106</v>
      </c>
      <c r="B433" s="24" t="s">
        <v>324</v>
      </c>
      <c r="C433" s="25">
        <v>45962</v>
      </c>
      <c r="D433" s="24" t="s">
        <v>2667</v>
      </c>
      <c r="E433" s="26">
        <v>-183367.5</v>
      </c>
      <c r="F433" s="26">
        <v>0</v>
      </c>
      <c r="G433" s="26">
        <v>0</v>
      </c>
      <c r="H433" s="26">
        <v>-183367.5</v>
      </c>
      <c r="I433" s="26">
        <v>115127.75</v>
      </c>
      <c r="J433" s="26">
        <v>0</v>
      </c>
      <c r="K433" s="26">
        <v>115127.75</v>
      </c>
      <c r="L433" s="26">
        <v>-183367.5</v>
      </c>
      <c r="M433" s="26">
        <v>-115127.75</v>
      </c>
    </row>
    <row r="434" spans="1:13">
      <c r="A434" s="24" t="s">
        <v>106</v>
      </c>
      <c r="B434" s="24" t="s">
        <v>324</v>
      </c>
      <c r="C434" s="25">
        <v>45992</v>
      </c>
      <c r="D434" s="24" t="s">
        <v>2668</v>
      </c>
      <c r="E434" s="26">
        <v>-189766.47</v>
      </c>
      <c r="F434" s="26">
        <v>0</v>
      </c>
      <c r="G434" s="26">
        <v>0</v>
      </c>
      <c r="H434" s="26">
        <v>-189766.47</v>
      </c>
      <c r="I434" s="26">
        <v>115127.75</v>
      </c>
      <c r="J434" s="26">
        <v>34205.519999999997</v>
      </c>
      <c r="K434" s="26">
        <v>149333.26999999999</v>
      </c>
      <c r="L434" s="26">
        <v>-189766.47</v>
      </c>
      <c r="M434" s="26">
        <v>-149333.26999999999</v>
      </c>
    </row>
    <row r="435" spans="1:13">
      <c r="A435" s="24" t="s">
        <v>225</v>
      </c>
      <c r="B435" s="24" t="s">
        <v>318</v>
      </c>
      <c r="C435" s="25">
        <v>45658</v>
      </c>
      <c r="D435" s="24" t="s">
        <v>2657</v>
      </c>
      <c r="E435" s="26">
        <v>0</v>
      </c>
      <c r="F435" s="26">
        <v>0</v>
      </c>
      <c r="G435" s="26">
        <v>0</v>
      </c>
      <c r="H435" s="26">
        <v>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</row>
    <row r="436" spans="1:13">
      <c r="A436" s="24" t="s">
        <v>225</v>
      </c>
      <c r="B436" s="24" t="s">
        <v>318</v>
      </c>
      <c r="C436" s="25">
        <v>45689</v>
      </c>
      <c r="D436" s="24" t="s">
        <v>2658</v>
      </c>
      <c r="E436" s="26">
        <v>0</v>
      </c>
      <c r="F436" s="26">
        <v>0</v>
      </c>
      <c r="G436" s="26">
        <v>0</v>
      </c>
      <c r="H436" s="26">
        <v>0</v>
      </c>
      <c r="I436" s="26">
        <v>0</v>
      </c>
      <c r="J436" s="26">
        <v>0</v>
      </c>
      <c r="K436" s="26">
        <v>0</v>
      </c>
      <c r="L436" s="26">
        <v>0</v>
      </c>
      <c r="M436" s="26">
        <v>0</v>
      </c>
    </row>
    <row r="437" spans="1:13">
      <c r="A437" s="24" t="s">
        <v>225</v>
      </c>
      <c r="B437" s="24" t="s">
        <v>318</v>
      </c>
      <c r="C437" s="25">
        <v>45717</v>
      </c>
      <c r="D437" s="24" t="s">
        <v>2659</v>
      </c>
      <c r="E437" s="26">
        <v>0</v>
      </c>
      <c r="F437" s="26">
        <v>0</v>
      </c>
      <c r="G437" s="26">
        <v>0</v>
      </c>
      <c r="H437" s="26">
        <v>0</v>
      </c>
      <c r="I437" s="26">
        <v>0</v>
      </c>
      <c r="J437" s="26">
        <v>0</v>
      </c>
      <c r="K437" s="26">
        <v>0</v>
      </c>
      <c r="L437" s="26">
        <v>0</v>
      </c>
      <c r="M437" s="26">
        <v>0</v>
      </c>
    </row>
    <row r="438" spans="1:13">
      <c r="A438" s="24" t="s">
        <v>225</v>
      </c>
      <c r="B438" s="24" t="s">
        <v>318</v>
      </c>
      <c r="C438" s="25">
        <v>45748</v>
      </c>
      <c r="D438" s="24" t="s">
        <v>2660</v>
      </c>
      <c r="E438" s="26">
        <v>0</v>
      </c>
      <c r="F438" s="26">
        <v>0</v>
      </c>
      <c r="G438" s="26">
        <v>0</v>
      </c>
      <c r="H438" s="26">
        <v>0</v>
      </c>
      <c r="I438" s="26">
        <v>0</v>
      </c>
      <c r="J438" s="26">
        <v>0</v>
      </c>
      <c r="K438" s="26">
        <v>0</v>
      </c>
      <c r="L438" s="26">
        <v>0</v>
      </c>
      <c r="M438" s="26">
        <v>0</v>
      </c>
    </row>
    <row r="439" spans="1:13">
      <c r="A439" s="24" t="s">
        <v>225</v>
      </c>
      <c r="B439" s="24" t="s">
        <v>318</v>
      </c>
      <c r="C439" s="25">
        <v>45778</v>
      </c>
      <c r="D439" s="24" t="s">
        <v>2661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</row>
    <row r="440" spans="1:13">
      <c r="A440" s="24" t="s">
        <v>225</v>
      </c>
      <c r="B440" s="24" t="s">
        <v>318</v>
      </c>
      <c r="C440" s="25">
        <v>45809</v>
      </c>
      <c r="D440" s="24" t="s">
        <v>2662</v>
      </c>
      <c r="E440" s="26">
        <v>0</v>
      </c>
      <c r="F440" s="26">
        <v>0</v>
      </c>
      <c r="G440" s="26">
        <v>0</v>
      </c>
      <c r="H440" s="26">
        <v>0</v>
      </c>
      <c r="I440" s="26">
        <v>0</v>
      </c>
      <c r="J440" s="26">
        <v>0</v>
      </c>
      <c r="K440" s="26">
        <v>0</v>
      </c>
      <c r="L440" s="26">
        <v>0</v>
      </c>
      <c r="M440" s="26">
        <v>0</v>
      </c>
    </row>
    <row r="441" spans="1:13">
      <c r="A441" s="24" t="s">
        <v>225</v>
      </c>
      <c r="B441" s="24" t="s">
        <v>318</v>
      </c>
      <c r="C441" s="25">
        <v>45839</v>
      </c>
      <c r="D441" s="24" t="s">
        <v>2663</v>
      </c>
      <c r="E441" s="26">
        <v>0</v>
      </c>
      <c r="F441" s="26">
        <v>0</v>
      </c>
      <c r="G441" s="26">
        <v>0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</row>
    <row r="442" spans="1:13">
      <c r="A442" s="24" t="s">
        <v>225</v>
      </c>
      <c r="B442" s="24" t="s">
        <v>318</v>
      </c>
      <c r="C442" s="25">
        <v>45870</v>
      </c>
      <c r="D442" s="24" t="s">
        <v>2664</v>
      </c>
      <c r="E442" s="26">
        <v>0</v>
      </c>
      <c r="F442" s="26">
        <v>0</v>
      </c>
      <c r="G442" s="26">
        <v>25545.8</v>
      </c>
      <c r="H442" s="26">
        <v>25545.8</v>
      </c>
      <c r="I442" s="26">
        <v>0</v>
      </c>
      <c r="J442" s="26">
        <v>0</v>
      </c>
      <c r="K442" s="26">
        <v>0</v>
      </c>
      <c r="L442" s="26">
        <v>25545.8</v>
      </c>
      <c r="M442" s="26">
        <v>0</v>
      </c>
    </row>
    <row r="443" spans="1:13">
      <c r="A443" s="24" t="s">
        <v>225</v>
      </c>
      <c r="B443" s="24" t="s">
        <v>318</v>
      </c>
      <c r="C443" s="25">
        <v>45901</v>
      </c>
      <c r="D443" s="24" t="s">
        <v>2665</v>
      </c>
      <c r="E443" s="26">
        <v>0</v>
      </c>
      <c r="F443" s="26">
        <v>0</v>
      </c>
      <c r="G443" s="26">
        <v>43367.28</v>
      </c>
      <c r="H443" s="26">
        <v>43367.28</v>
      </c>
      <c r="I443" s="26">
        <v>0</v>
      </c>
      <c r="J443" s="26">
        <v>0</v>
      </c>
      <c r="K443" s="26">
        <v>0</v>
      </c>
      <c r="L443" s="26">
        <v>43367.28</v>
      </c>
      <c r="M443" s="26">
        <v>0</v>
      </c>
    </row>
    <row r="444" spans="1:13">
      <c r="A444" s="24" t="s">
        <v>225</v>
      </c>
      <c r="B444" s="24" t="s">
        <v>318</v>
      </c>
      <c r="C444" s="25">
        <v>45931</v>
      </c>
      <c r="D444" s="24" t="s">
        <v>2666</v>
      </c>
      <c r="E444" s="26">
        <v>0</v>
      </c>
      <c r="F444" s="26">
        <v>0</v>
      </c>
      <c r="G444" s="26">
        <v>0</v>
      </c>
      <c r="H444" s="26">
        <v>0</v>
      </c>
      <c r="I444" s="26">
        <v>0</v>
      </c>
      <c r="J444" s="26">
        <v>0</v>
      </c>
      <c r="K444" s="26">
        <v>0</v>
      </c>
      <c r="L444" s="26">
        <v>68972.899999999994</v>
      </c>
      <c r="M444" s="26">
        <v>-68972.899999999994</v>
      </c>
    </row>
    <row r="445" spans="1:13">
      <c r="A445" s="24" t="s">
        <v>225</v>
      </c>
      <c r="B445" s="24" t="s">
        <v>318</v>
      </c>
      <c r="C445" s="25">
        <v>45962</v>
      </c>
      <c r="D445" s="24" t="s">
        <v>2667</v>
      </c>
      <c r="E445" s="26">
        <v>0</v>
      </c>
      <c r="F445" s="26">
        <v>0</v>
      </c>
      <c r="G445" s="26">
        <v>6350.4400000000023</v>
      </c>
      <c r="H445" s="26">
        <v>6350.4400000000023</v>
      </c>
      <c r="I445" s="26">
        <v>0</v>
      </c>
      <c r="J445" s="26">
        <v>0</v>
      </c>
      <c r="K445" s="26">
        <v>0</v>
      </c>
      <c r="L445" s="26">
        <v>89418.28</v>
      </c>
      <c r="M445" s="26">
        <v>-83067.839999999997</v>
      </c>
    </row>
    <row r="446" spans="1:13">
      <c r="A446" s="24" t="s">
        <v>225</v>
      </c>
      <c r="B446" s="24" t="s">
        <v>318</v>
      </c>
      <c r="C446" s="25">
        <v>45992</v>
      </c>
      <c r="D446" s="24" t="s">
        <v>2668</v>
      </c>
      <c r="E446" s="26">
        <v>135523.72</v>
      </c>
      <c r="F446" s="26">
        <v>0</v>
      </c>
      <c r="G446" s="26">
        <v>0</v>
      </c>
      <c r="H446" s="26">
        <v>135523.72</v>
      </c>
      <c r="I446" s="26">
        <v>0</v>
      </c>
      <c r="J446" s="26">
        <v>0</v>
      </c>
      <c r="K446" s="26">
        <v>0</v>
      </c>
      <c r="L446" s="26">
        <v>120965.42</v>
      </c>
      <c r="M446" s="26">
        <v>14558.3</v>
      </c>
    </row>
    <row r="447" spans="1:13">
      <c r="A447" s="24" t="s">
        <v>144</v>
      </c>
      <c r="B447" s="24" t="s">
        <v>329</v>
      </c>
      <c r="C447" s="25">
        <v>45658</v>
      </c>
      <c r="D447" s="24" t="s">
        <v>2657</v>
      </c>
      <c r="E447" s="26">
        <v>0</v>
      </c>
      <c r="F447" s="26">
        <v>0</v>
      </c>
      <c r="G447" s="26">
        <v>0</v>
      </c>
      <c r="H447" s="26">
        <v>0</v>
      </c>
      <c r="I447" s="26">
        <v>0</v>
      </c>
      <c r="J447" s="26">
        <v>0</v>
      </c>
      <c r="K447" s="26">
        <v>0</v>
      </c>
      <c r="L447" s="26">
        <v>0</v>
      </c>
      <c r="M447" s="26">
        <v>0</v>
      </c>
    </row>
    <row r="448" spans="1:13">
      <c r="A448" s="24" t="s">
        <v>144</v>
      </c>
      <c r="B448" s="24" t="s">
        <v>329</v>
      </c>
      <c r="C448" s="25">
        <v>45689</v>
      </c>
      <c r="D448" s="24" t="s">
        <v>2658</v>
      </c>
      <c r="E448" s="26">
        <v>0</v>
      </c>
      <c r="F448" s="26">
        <v>0</v>
      </c>
      <c r="G448" s="26">
        <v>0</v>
      </c>
      <c r="H448" s="26">
        <v>0</v>
      </c>
      <c r="I448" s="26">
        <v>0</v>
      </c>
      <c r="J448" s="26">
        <v>0</v>
      </c>
      <c r="K448" s="26">
        <v>0</v>
      </c>
      <c r="L448" s="26">
        <v>0</v>
      </c>
      <c r="M448" s="26">
        <v>0</v>
      </c>
    </row>
    <row r="449" spans="1:13">
      <c r="A449" s="24" t="s">
        <v>144</v>
      </c>
      <c r="B449" s="24" t="s">
        <v>329</v>
      </c>
      <c r="C449" s="25">
        <v>45717</v>
      </c>
      <c r="D449" s="24" t="s">
        <v>2659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</row>
    <row r="450" spans="1:13">
      <c r="A450" s="24" t="s">
        <v>144</v>
      </c>
      <c r="B450" s="24" t="s">
        <v>329</v>
      </c>
      <c r="C450" s="25">
        <v>45748</v>
      </c>
      <c r="D450" s="24" t="s">
        <v>2660</v>
      </c>
      <c r="E450" s="26">
        <v>0</v>
      </c>
      <c r="F450" s="26">
        <v>0</v>
      </c>
      <c r="G450" s="26">
        <v>0</v>
      </c>
      <c r="H450" s="26">
        <v>0</v>
      </c>
      <c r="I450" s="26">
        <v>0</v>
      </c>
      <c r="J450" s="26">
        <v>0</v>
      </c>
      <c r="K450" s="26">
        <v>0</v>
      </c>
      <c r="L450" s="26">
        <v>0</v>
      </c>
      <c r="M450" s="26">
        <v>0</v>
      </c>
    </row>
    <row r="451" spans="1:13">
      <c r="A451" s="24" t="s">
        <v>144</v>
      </c>
      <c r="B451" s="24" t="s">
        <v>329</v>
      </c>
      <c r="C451" s="25">
        <v>45778</v>
      </c>
      <c r="D451" s="24" t="s">
        <v>2661</v>
      </c>
      <c r="E451" s="26">
        <v>0</v>
      </c>
      <c r="F451" s="26">
        <v>0</v>
      </c>
      <c r="G451" s="26">
        <v>0</v>
      </c>
      <c r="H451" s="26">
        <v>0</v>
      </c>
      <c r="I451" s="26">
        <v>0</v>
      </c>
      <c r="J451" s="26">
        <v>0</v>
      </c>
      <c r="K451" s="26">
        <v>0</v>
      </c>
      <c r="L451" s="26">
        <v>0</v>
      </c>
      <c r="M451" s="26">
        <v>0</v>
      </c>
    </row>
    <row r="452" spans="1:13">
      <c r="A452" s="24" t="s">
        <v>144</v>
      </c>
      <c r="B452" s="24" t="s">
        <v>329</v>
      </c>
      <c r="C452" s="25">
        <v>45809</v>
      </c>
      <c r="D452" s="24" t="s">
        <v>2662</v>
      </c>
      <c r="E452" s="26">
        <v>0</v>
      </c>
      <c r="F452" s="26">
        <v>0</v>
      </c>
      <c r="G452" s="26">
        <v>0</v>
      </c>
      <c r="H452" s="26">
        <v>0</v>
      </c>
      <c r="I452" s="26">
        <v>0</v>
      </c>
      <c r="J452" s="26">
        <v>0</v>
      </c>
      <c r="K452" s="26">
        <v>0</v>
      </c>
      <c r="L452" s="26">
        <v>0</v>
      </c>
      <c r="M452" s="26">
        <v>0</v>
      </c>
    </row>
    <row r="453" spans="1:13">
      <c r="A453" s="24" t="s">
        <v>144</v>
      </c>
      <c r="B453" s="24" t="s">
        <v>329</v>
      </c>
      <c r="C453" s="25">
        <v>45839</v>
      </c>
      <c r="D453" s="24" t="s">
        <v>2663</v>
      </c>
      <c r="E453" s="26">
        <v>0</v>
      </c>
      <c r="F453" s="26">
        <v>0</v>
      </c>
      <c r="G453" s="26">
        <v>0</v>
      </c>
      <c r="H453" s="26">
        <v>0</v>
      </c>
      <c r="I453" s="26">
        <v>0</v>
      </c>
      <c r="J453" s="26">
        <v>0</v>
      </c>
      <c r="K453" s="26">
        <v>0</v>
      </c>
      <c r="L453" s="26">
        <v>0</v>
      </c>
      <c r="M453" s="26">
        <v>0</v>
      </c>
    </row>
    <row r="454" spans="1:13">
      <c r="A454" s="24" t="s">
        <v>144</v>
      </c>
      <c r="B454" s="24" t="s">
        <v>329</v>
      </c>
      <c r="C454" s="25">
        <v>45870</v>
      </c>
      <c r="D454" s="24" t="s">
        <v>2664</v>
      </c>
      <c r="E454" s="26">
        <v>0</v>
      </c>
      <c r="F454" s="26">
        <v>0</v>
      </c>
      <c r="G454" s="26">
        <v>68758.039999999994</v>
      </c>
      <c r="H454" s="26">
        <v>68758.039999999994</v>
      </c>
      <c r="I454" s="26">
        <v>0</v>
      </c>
      <c r="J454" s="26">
        <v>0</v>
      </c>
      <c r="K454" s="26">
        <v>0</v>
      </c>
      <c r="L454" s="26">
        <v>68758.039999999994</v>
      </c>
      <c r="M454" s="26">
        <v>0</v>
      </c>
    </row>
    <row r="455" spans="1:13">
      <c r="A455" s="24" t="s">
        <v>144</v>
      </c>
      <c r="B455" s="24" t="s">
        <v>329</v>
      </c>
      <c r="C455" s="25">
        <v>45901</v>
      </c>
      <c r="D455" s="24" t="s">
        <v>2665</v>
      </c>
      <c r="E455" s="26">
        <v>0</v>
      </c>
      <c r="F455" s="26">
        <v>0</v>
      </c>
      <c r="G455" s="26">
        <v>68758.039999999994</v>
      </c>
      <c r="H455" s="26">
        <v>68758.039999999994</v>
      </c>
      <c r="I455" s="26">
        <v>0</v>
      </c>
      <c r="J455" s="26">
        <v>0</v>
      </c>
      <c r="K455" s="26">
        <v>0</v>
      </c>
      <c r="L455" s="26">
        <v>68758.039999999994</v>
      </c>
      <c r="M455" s="26">
        <v>0</v>
      </c>
    </row>
    <row r="456" spans="1:13">
      <c r="A456" s="24" t="s">
        <v>144</v>
      </c>
      <c r="B456" s="24" t="s">
        <v>329</v>
      </c>
      <c r="C456" s="25">
        <v>45931</v>
      </c>
      <c r="D456" s="24" t="s">
        <v>2666</v>
      </c>
      <c r="E456" s="26">
        <v>0</v>
      </c>
      <c r="F456" s="26">
        <v>0</v>
      </c>
      <c r="G456" s="26">
        <v>68758.039999999994</v>
      </c>
      <c r="H456" s="26">
        <v>68758.039999999994</v>
      </c>
      <c r="I456" s="26">
        <v>0</v>
      </c>
      <c r="J456" s="26">
        <v>0</v>
      </c>
      <c r="K456" s="26">
        <v>0</v>
      </c>
      <c r="L456" s="26">
        <v>68758.039999999994</v>
      </c>
      <c r="M456" s="26">
        <v>0</v>
      </c>
    </row>
    <row r="457" spans="1:13">
      <c r="A457" s="24" t="s">
        <v>144</v>
      </c>
      <c r="B457" s="24" t="s">
        <v>329</v>
      </c>
      <c r="C457" s="25">
        <v>45962</v>
      </c>
      <c r="D457" s="24" t="s">
        <v>2667</v>
      </c>
      <c r="E457" s="26">
        <v>0</v>
      </c>
      <c r="F457" s="26">
        <v>0</v>
      </c>
      <c r="G457" s="26">
        <v>126900.48</v>
      </c>
      <c r="H457" s="26">
        <v>126900.48</v>
      </c>
      <c r="I457" s="26">
        <v>0</v>
      </c>
      <c r="J457" s="26">
        <v>278674.49</v>
      </c>
      <c r="K457" s="26">
        <v>278674.49</v>
      </c>
      <c r="L457" s="26">
        <v>126900.48</v>
      </c>
      <c r="M457" s="26">
        <v>-278674.49</v>
      </c>
    </row>
    <row r="458" spans="1:13">
      <c r="A458" s="24" t="s">
        <v>144</v>
      </c>
      <c r="B458" s="24" t="s">
        <v>329</v>
      </c>
      <c r="C458" s="25">
        <v>45992</v>
      </c>
      <c r="D458" s="24" t="s">
        <v>2668</v>
      </c>
      <c r="E458" s="26">
        <v>-193557.65</v>
      </c>
      <c r="F458" s="26">
        <v>0</v>
      </c>
      <c r="G458" s="26">
        <v>0</v>
      </c>
      <c r="H458" s="26">
        <v>-193557.65</v>
      </c>
      <c r="I458" s="26">
        <v>0</v>
      </c>
      <c r="J458" s="26">
        <v>759844.59</v>
      </c>
      <c r="K458" s="26">
        <v>759844.59</v>
      </c>
      <c r="L458" s="26">
        <v>-66657.17</v>
      </c>
      <c r="M458" s="26">
        <v>-886745.07</v>
      </c>
    </row>
    <row r="459" spans="1:13">
      <c r="A459" s="24" t="s">
        <v>196</v>
      </c>
      <c r="B459" s="24" t="s">
        <v>324</v>
      </c>
      <c r="C459" s="25">
        <v>45658</v>
      </c>
      <c r="D459" s="24" t="s">
        <v>2657</v>
      </c>
      <c r="E459" s="26">
        <v>0</v>
      </c>
      <c r="F459" s="26">
        <v>0</v>
      </c>
      <c r="G459" s="26">
        <v>0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0</v>
      </c>
    </row>
    <row r="460" spans="1:13">
      <c r="A460" s="24" t="s">
        <v>196</v>
      </c>
      <c r="B460" s="24" t="s">
        <v>324</v>
      </c>
      <c r="C460" s="25">
        <v>45689</v>
      </c>
      <c r="D460" s="24" t="s">
        <v>2658</v>
      </c>
      <c r="E460" s="26">
        <v>0</v>
      </c>
      <c r="F460" s="26">
        <v>0</v>
      </c>
      <c r="G460" s="26">
        <v>0</v>
      </c>
      <c r="H460" s="26">
        <v>0</v>
      </c>
      <c r="I460" s="26">
        <v>0</v>
      </c>
      <c r="J460" s="26">
        <v>0</v>
      </c>
      <c r="K460" s="26">
        <v>0</v>
      </c>
      <c r="L460" s="26">
        <v>0</v>
      </c>
      <c r="M460" s="26">
        <v>0</v>
      </c>
    </row>
    <row r="461" spans="1:13">
      <c r="A461" s="24" t="s">
        <v>196</v>
      </c>
      <c r="B461" s="24" t="s">
        <v>324</v>
      </c>
      <c r="C461" s="25">
        <v>45717</v>
      </c>
      <c r="D461" s="24" t="s">
        <v>2659</v>
      </c>
      <c r="E461" s="26">
        <v>0</v>
      </c>
      <c r="F461" s="26">
        <v>0</v>
      </c>
      <c r="G461" s="26">
        <v>0</v>
      </c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</row>
    <row r="462" spans="1:13">
      <c r="A462" s="24" t="s">
        <v>196</v>
      </c>
      <c r="B462" s="24" t="s">
        <v>324</v>
      </c>
      <c r="C462" s="25">
        <v>45748</v>
      </c>
      <c r="D462" s="24" t="s">
        <v>2660</v>
      </c>
      <c r="E462" s="26">
        <v>0</v>
      </c>
      <c r="F462" s="26">
        <v>0</v>
      </c>
      <c r="G462" s="26">
        <v>0</v>
      </c>
      <c r="H462" s="26">
        <v>0</v>
      </c>
      <c r="I462" s="26">
        <v>0</v>
      </c>
      <c r="J462" s="26">
        <v>0</v>
      </c>
      <c r="K462" s="26">
        <v>0</v>
      </c>
      <c r="L462" s="26">
        <v>0</v>
      </c>
      <c r="M462" s="26">
        <v>0</v>
      </c>
    </row>
    <row r="463" spans="1:13">
      <c r="A463" s="24" t="s">
        <v>196</v>
      </c>
      <c r="B463" s="24" t="s">
        <v>324</v>
      </c>
      <c r="C463" s="25">
        <v>45778</v>
      </c>
      <c r="D463" s="24" t="s">
        <v>2661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</row>
    <row r="464" spans="1:13">
      <c r="A464" s="24" t="s">
        <v>196</v>
      </c>
      <c r="B464" s="24" t="s">
        <v>324</v>
      </c>
      <c r="C464" s="25">
        <v>45809</v>
      </c>
      <c r="D464" s="24" t="s">
        <v>2662</v>
      </c>
      <c r="E464" s="26">
        <v>0</v>
      </c>
      <c r="F464" s="26">
        <v>0</v>
      </c>
      <c r="G464" s="26">
        <v>0</v>
      </c>
      <c r="H464" s="26">
        <v>0</v>
      </c>
      <c r="I464" s="26">
        <v>0</v>
      </c>
      <c r="J464" s="26">
        <v>0</v>
      </c>
      <c r="K464" s="26">
        <v>0</v>
      </c>
      <c r="L464" s="26">
        <v>0</v>
      </c>
      <c r="M464" s="26">
        <v>0</v>
      </c>
    </row>
    <row r="465" spans="1:13">
      <c r="A465" s="24" t="s">
        <v>196</v>
      </c>
      <c r="B465" s="24" t="s">
        <v>324</v>
      </c>
      <c r="C465" s="25">
        <v>45839</v>
      </c>
      <c r="D465" s="24" t="s">
        <v>2663</v>
      </c>
      <c r="E465" s="26">
        <v>0</v>
      </c>
      <c r="F465" s="26">
        <v>0</v>
      </c>
      <c r="G465" s="26">
        <v>0</v>
      </c>
      <c r="H465" s="26">
        <v>0</v>
      </c>
      <c r="I465" s="26">
        <v>0</v>
      </c>
      <c r="J465" s="26">
        <v>70400.69</v>
      </c>
      <c r="K465" s="26">
        <v>70400.69</v>
      </c>
      <c r="L465" s="26">
        <v>0</v>
      </c>
      <c r="M465" s="26">
        <v>-70400.69</v>
      </c>
    </row>
    <row r="466" spans="1:13">
      <c r="A466" s="24" t="s">
        <v>196</v>
      </c>
      <c r="B466" s="24" t="s">
        <v>324</v>
      </c>
      <c r="C466" s="25">
        <v>45870</v>
      </c>
      <c r="D466" s="24" t="s">
        <v>2664</v>
      </c>
      <c r="E466" s="26">
        <v>32453.599999999999</v>
      </c>
      <c r="F466" s="26">
        <v>0</v>
      </c>
      <c r="G466" s="26">
        <v>0</v>
      </c>
      <c r="H466" s="26">
        <v>32453.599999999999</v>
      </c>
      <c r="I466" s="26">
        <v>0</v>
      </c>
      <c r="J466" s="26">
        <v>181445.27</v>
      </c>
      <c r="K466" s="26">
        <v>181445.27</v>
      </c>
      <c r="L466" s="26">
        <v>-20787.86</v>
      </c>
      <c r="M466" s="26">
        <v>-128203.81</v>
      </c>
    </row>
    <row r="467" spans="1:13">
      <c r="A467" s="24" t="s">
        <v>196</v>
      </c>
      <c r="B467" s="24" t="s">
        <v>324</v>
      </c>
      <c r="C467" s="25">
        <v>45901</v>
      </c>
      <c r="D467" s="24" t="s">
        <v>2665</v>
      </c>
      <c r="E467" s="26">
        <v>53863.199999999997</v>
      </c>
      <c r="F467" s="26">
        <v>0</v>
      </c>
      <c r="G467" s="26">
        <v>0</v>
      </c>
      <c r="H467" s="26">
        <v>53863.199999999997</v>
      </c>
      <c r="I467" s="26">
        <v>0</v>
      </c>
      <c r="J467" s="26">
        <v>172250.65</v>
      </c>
      <c r="K467" s="26">
        <v>172250.65</v>
      </c>
      <c r="L467" s="26">
        <v>-11593.24</v>
      </c>
      <c r="M467" s="26">
        <v>-106794.21</v>
      </c>
    </row>
    <row r="468" spans="1:13">
      <c r="A468" s="24" t="s">
        <v>196</v>
      </c>
      <c r="B468" s="24" t="s">
        <v>324</v>
      </c>
      <c r="C468" s="25">
        <v>45931</v>
      </c>
      <c r="D468" s="24" t="s">
        <v>2666</v>
      </c>
      <c r="E468" s="26">
        <v>53863.199999999997</v>
      </c>
      <c r="F468" s="26">
        <v>0</v>
      </c>
      <c r="G468" s="26">
        <v>0</v>
      </c>
      <c r="H468" s="26">
        <v>53863.199999999997</v>
      </c>
      <c r="I468" s="26">
        <v>0</v>
      </c>
      <c r="J468" s="26">
        <v>172250.65</v>
      </c>
      <c r="K468" s="26">
        <v>172250.65</v>
      </c>
      <c r="L468" s="26">
        <v>-11593.24</v>
      </c>
      <c r="M468" s="26">
        <v>-106794.21</v>
      </c>
    </row>
    <row r="469" spans="1:13">
      <c r="A469" s="24" t="s">
        <v>196</v>
      </c>
      <c r="B469" s="24" t="s">
        <v>324</v>
      </c>
      <c r="C469" s="25">
        <v>45962</v>
      </c>
      <c r="D469" s="24" t="s">
        <v>2667</v>
      </c>
      <c r="E469" s="26">
        <v>-1746.57</v>
      </c>
      <c r="F469" s="26">
        <v>0</v>
      </c>
      <c r="G469" s="26">
        <v>0</v>
      </c>
      <c r="H469" s="26">
        <v>-1746.57</v>
      </c>
      <c r="I469" s="26">
        <v>55609.77</v>
      </c>
      <c r="J469" s="26">
        <v>161310.57</v>
      </c>
      <c r="K469" s="26">
        <v>216920.34</v>
      </c>
      <c r="L469" s="26">
        <v>-56262.929999999993</v>
      </c>
      <c r="M469" s="26">
        <v>-162403.98000000001</v>
      </c>
    </row>
    <row r="470" spans="1:13">
      <c r="A470" s="24" t="s">
        <v>196</v>
      </c>
      <c r="B470" s="24" t="s">
        <v>324</v>
      </c>
      <c r="C470" s="25">
        <v>45992</v>
      </c>
      <c r="D470" s="24" t="s">
        <v>2668</v>
      </c>
      <c r="E470" s="26">
        <v>-1746.57</v>
      </c>
      <c r="F470" s="26">
        <v>0</v>
      </c>
      <c r="G470" s="26">
        <v>0</v>
      </c>
      <c r="H470" s="26">
        <v>-1746.57</v>
      </c>
      <c r="I470" s="26">
        <v>55609.77</v>
      </c>
      <c r="J470" s="26">
        <v>151471.69</v>
      </c>
      <c r="K470" s="26">
        <v>207081.46</v>
      </c>
      <c r="L470" s="26">
        <v>-46424.05</v>
      </c>
      <c r="M470" s="26">
        <v>-162403.98000000001</v>
      </c>
    </row>
    <row r="471" spans="1:13">
      <c r="A471" s="24" t="s">
        <v>295</v>
      </c>
      <c r="B471" s="24" t="s">
        <v>318</v>
      </c>
      <c r="C471" s="25">
        <v>45658</v>
      </c>
      <c r="D471" s="24" t="s">
        <v>2657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</row>
    <row r="472" spans="1:13">
      <c r="A472" s="24" t="s">
        <v>295</v>
      </c>
      <c r="B472" s="24" t="s">
        <v>318</v>
      </c>
      <c r="C472" s="25">
        <v>45689</v>
      </c>
      <c r="D472" s="24" t="s">
        <v>2658</v>
      </c>
      <c r="E472" s="26">
        <v>0</v>
      </c>
      <c r="F472" s="26">
        <v>0</v>
      </c>
      <c r="G472" s="26">
        <v>0</v>
      </c>
      <c r="H472" s="26">
        <v>0</v>
      </c>
      <c r="I472" s="26">
        <v>0</v>
      </c>
      <c r="J472" s="26">
        <v>0</v>
      </c>
      <c r="K472" s="26">
        <v>0</v>
      </c>
      <c r="L472" s="26">
        <v>0</v>
      </c>
      <c r="M472" s="26">
        <v>0</v>
      </c>
    </row>
    <row r="473" spans="1:13">
      <c r="A473" s="24" t="s">
        <v>295</v>
      </c>
      <c r="B473" s="24" t="s">
        <v>318</v>
      </c>
      <c r="C473" s="25">
        <v>45717</v>
      </c>
      <c r="D473" s="24" t="s">
        <v>2659</v>
      </c>
      <c r="E473" s="26">
        <v>0</v>
      </c>
      <c r="F473" s="26">
        <v>0</v>
      </c>
      <c r="G473" s="26">
        <v>0</v>
      </c>
      <c r="H473" s="26">
        <v>0</v>
      </c>
      <c r="I473" s="26">
        <v>0</v>
      </c>
      <c r="J473" s="26">
        <v>0</v>
      </c>
      <c r="K473" s="26">
        <v>0</v>
      </c>
      <c r="L473" s="26">
        <v>0</v>
      </c>
      <c r="M473" s="26">
        <v>0</v>
      </c>
    </row>
    <row r="474" spans="1:13">
      <c r="A474" s="24" t="s">
        <v>295</v>
      </c>
      <c r="B474" s="24" t="s">
        <v>318</v>
      </c>
      <c r="C474" s="25">
        <v>45748</v>
      </c>
      <c r="D474" s="24" t="s">
        <v>2660</v>
      </c>
      <c r="E474" s="26">
        <v>0</v>
      </c>
      <c r="F474" s="26">
        <v>0</v>
      </c>
      <c r="G474" s="26">
        <v>0</v>
      </c>
      <c r="H474" s="26">
        <v>0</v>
      </c>
      <c r="I474" s="26">
        <v>0</v>
      </c>
      <c r="J474" s="26">
        <v>0</v>
      </c>
      <c r="K474" s="26">
        <v>0</v>
      </c>
      <c r="L474" s="26">
        <v>0</v>
      </c>
      <c r="M474" s="26">
        <v>0</v>
      </c>
    </row>
    <row r="475" spans="1:13">
      <c r="A475" s="24" t="s">
        <v>295</v>
      </c>
      <c r="B475" s="24" t="s">
        <v>318</v>
      </c>
      <c r="C475" s="25">
        <v>45778</v>
      </c>
      <c r="D475" s="24" t="s">
        <v>2661</v>
      </c>
      <c r="E475" s="26">
        <v>0</v>
      </c>
      <c r="F475" s="26">
        <v>0</v>
      </c>
      <c r="G475" s="26">
        <v>0</v>
      </c>
      <c r="H475" s="26">
        <v>0</v>
      </c>
      <c r="I475" s="26">
        <v>0</v>
      </c>
      <c r="J475" s="26">
        <v>0</v>
      </c>
      <c r="K475" s="26">
        <v>0</v>
      </c>
      <c r="L475" s="26">
        <v>0</v>
      </c>
      <c r="M475" s="26">
        <v>0</v>
      </c>
    </row>
    <row r="476" spans="1:13">
      <c r="A476" s="24" t="s">
        <v>295</v>
      </c>
      <c r="B476" s="24" t="s">
        <v>318</v>
      </c>
      <c r="C476" s="25">
        <v>45809</v>
      </c>
      <c r="D476" s="24" t="s">
        <v>2662</v>
      </c>
      <c r="E476" s="26">
        <v>0</v>
      </c>
      <c r="F476" s="26">
        <v>0</v>
      </c>
      <c r="G476" s="26">
        <v>0</v>
      </c>
      <c r="H476" s="26">
        <v>0</v>
      </c>
      <c r="I476" s="26">
        <v>0</v>
      </c>
      <c r="J476" s="26">
        <v>0</v>
      </c>
      <c r="K476" s="26">
        <v>0</v>
      </c>
      <c r="L476" s="26">
        <v>0</v>
      </c>
      <c r="M476" s="26">
        <v>0</v>
      </c>
    </row>
    <row r="477" spans="1:13">
      <c r="A477" s="24" t="s">
        <v>295</v>
      </c>
      <c r="B477" s="24" t="s">
        <v>318</v>
      </c>
      <c r="C477" s="25">
        <v>45839</v>
      </c>
      <c r="D477" s="24" t="s">
        <v>2663</v>
      </c>
      <c r="E477" s="26">
        <v>0</v>
      </c>
      <c r="F477" s="26">
        <v>0</v>
      </c>
      <c r="G477" s="26">
        <v>86635.5</v>
      </c>
      <c r="H477" s="26">
        <v>86635.5</v>
      </c>
      <c r="I477" s="26">
        <v>0</v>
      </c>
      <c r="J477" s="26">
        <v>0</v>
      </c>
      <c r="K477" s="26">
        <v>0</v>
      </c>
      <c r="L477" s="26">
        <v>86635.5</v>
      </c>
      <c r="M477" s="26">
        <v>0</v>
      </c>
    </row>
    <row r="478" spans="1:13">
      <c r="A478" s="24" t="s">
        <v>295</v>
      </c>
      <c r="B478" s="24" t="s">
        <v>318</v>
      </c>
      <c r="C478" s="25">
        <v>45870</v>
      </c>
      <c r="D478" s="24" t="s">
        <v>2664</v>
      </c>
      <c r="E478" s="26">
        <v>0</v>
      </c>
      <c r="F478" s="26">
        <v>0</v>
      </c>
      <c r="G478" s="26">
        <v>86635.5</v>
      </c>
      <c r="H478" s="26">
        <v>86635.5</v>
      </c>
      <c r="I478" s="26">
        <v>0</v>
      </c>
      <c r="J478" s="26">
        <v>0</v>
      </c>
      <c r="K478" s="26">
        <v>0</v>
      </c>
      <c r="L478" s="26">
        <v>86635.5</v>
      </c>
      <c r="M478" s="26">
        <v>0</v>
      </c>
    </row>
    <row r="479" spans="1:13">
      <c r="A479" s="24" t="s">
        <v>295</v>
      </c>
      <c r="B479" s="24" t="s">
        <v>318</v>
      </c>
      <c r="C479" s="25">
        <v>45901</v>
      </c>
      <c r="D479" s="24" t="s">
        <v>2665</v>
      </c>
      <c r="E479" s="26">
        <v>-96377.27</v>
      </c>
      <c r="F479" s="26">
        <v>0</v>
      </c>
      <c r="G479" s="26">
        <v>179329</v>
      </c>
      <c r="H479" s="26">
        <v>82951.73</v>
      </c>
      <c r="I479" s="26">
        <v>0</v>
      </c>
      <c r="J479" s="26">
        <v>0</v>
      </c>
      <c r="K479" s="26">
        <v>0</v>
      </c>
      <c r="L479" s="26">
        <v>82951.73</v>
      </c>
      <c r="M479" s="26">
        <v>0</v>
      </c>
    </row>
    <row r="480" spans="1:13">
      <c r="A480" s="24" t="s">
        <v>295</v>
      </c>
      <c r="B480" s="24" t="s">
        <v>318</v>
      </c>
      <c r="C480" s="25">
        <v>45931</v>
      </c>
      <c r="D480" s="24" t="s">
        <v>2666</v>
      </c>
      <c r="E480" s="26">
        <v>-205337.12</v>
      </c>
      <c r="F480" s="26">
        <v>0</v>
      </c>
      <c r="G480" s="26">
        <v>179329</v>
      </c>
      <c r="H480" s="26">
        <v>-26008.12</v>
      </c>
      <c r="I480" s="26">
        <v>108959.85</v>
      </c>
      <c r="J480" s="26">
        <v>0</v>
      </c>
      <c r="K480" s="26">
        <v>108959.85</v>
      </c>
      <c r="L480" s="26">
        <v>-26008.12</v>
      </c>
      <c r="M480" s="26">
        <v>-108959.85</v>
      </c>
    </row>
    <row r="481" spans="1:13">
      <c r="A481" s="24" t="s">
        <v>295</v>
      </c>
      <c r="B481" s="24" t="s">
        <v>318</v>
      </c>
      <c r="C481" s="25">
        <v>45962</v>
      </c>
      <c r="D481" s="24" t="s">
        <v>2667</v>
      </c>
      <c r="E481" s="26">
        <v>-194464.97</v>
      </c>
      <c r="F481" s="26">
        <v>0</v>
      </c>
      <c r="G481" s="26">
        <v>100750.28</v>
      </c>
      <c r="H481" s="26">
        <v>-93714.69</v>
      </c>
      <c r="I481" s="26">
        <v>176666.42</v>
      </c>
      <c r="J481" s="26">
        <v>0</v>
      </c>
      <c r="K481" s="26">
        <v>176666.42</v>
      </c>
      <c r="L481" s="26">
        <v>-93714.69</v>
      </c>
      <c r="M481" s="26">
        <v>-176666.42</v>
      </c>
    </row>
    <row r="482" spans="1:13">
      <c r="A482" s="24" t="s">
        <v>295</v>
      </c>
      <c r="B482" s="24" t="s">
        <v>318</v>
      </c>
      <c r="C482" s="25">
        <v>45992</v>
      </c>
      <c r="D482" s="24" t="s">
        <v>2668</v>
      </c>
      <c r="E482" s="26">
        <v>-281943.42</v>
      </c>
      <c r="F482" s="26">
        <v>0</v>
      </c>
      <c r="G482" s="26">
        <v>222821.5</v>
      </c>
      <c r="H482" s="26">
        <v>-59121.920000000013</v>
      </c>
      <c r="I482" s="26">
        <v>176666.42</v>
      </c>
      <c r="J482" s="26">
        <v>0</v>
      </c>
      <c r="K482" s="26">
        <v>176666.42</v>
      </c>
      <c r="L482" s="26">
        <v>-59121.919999999998</v>
      </c>
      <c r="M482" s="26">
        <v>-176666.42</v>
      </c>
    </row>
    <row r="483" spans="1:13">
      <c r="A483" s="24" t="s">
        <v>199</v>
      </c>
      <c r="B483" s="24" t="s">
        <v>324</v>
      </c>
      <c r="C483" s="25">
        <v>45658</v>
      </c>
      <c r="D483" s="24" t="s">
        <v>2657</v>
      </c>
      <c r="E483" s="26">
        <v>0</v>
      </c>
      <c r="F483" s="26">
        <v>0</v>
      </c>
      <c r="G483" s="26">
        <v>0</v>
      </c>
      <c r="H483" s="26">
        <v>0</v>
      </c>
      <c r="I483" s="26">
        <v>0</v>
      </c>
      <c r="J483" s="26">
        <v>0</v>
      </c>
      <c r="K483" s="26">
        <v>0</v>
      </c>
      <c r="L483" s="26">
        <v>0</v>
      </c>
      <c r="M483" s="26">
        <v>0</v>
      </c>
    </row>
    <row r="484" spans="1:13">
      <c r="A484" s="24" t="s">
        <v>199</v>
      </c>
      <c r="B484" s="24" t="s">
        <v>324</v>
      </c>
      <c r="C484" s="25">
        <v>45689</v>
      </c>
      <c r="D484" s="24" t="s">
        <v>2658</v>
      </c>
      <c r="E484" s="26">
        <v>0</v>
      </c>
      <c r="F484" s="26">
        <v>0</v>
      </c>
      <c r="G484" s="26">
        <v>0</v>
      </c>
      <c r="H484" s="26">
        <v>0</v>
      </c>
      <c r="I484" s="26">
        <v>0</v>
      </c>
      <c r="J484" s="26">
        <v>0</v>
      </c>
      <c r="K484" s="26">
        <v>0</v>
      </c>
      <c r="L484" s="26">
        <v>0</v>
      </c>
      <c r="M484" s="26">
        <v>0</v>
      </c>
    </row>
    <row r="485" spans="1:13">
      <c r="A485" s="24" t="s">
        <v>199</v>
      </c>
      <c r="B485" s="24" t="s">
        <v>324</v>
      </c>
      <c r="C485" s="25">
        <v>45717</v>
      </c>
      <c r="D485" s="24" t="s">
        <v>2659</v>
      </c>
      <c r="E485" s="26">
        <v>0</v>
      </c>
      <c r="F485" s="26">
        <v>0</v>
      </c>
      <c r="G485" s="26">
        <v>0</v>
      </c>
      <c r="H485" s="26">
        <v>0</v>
      </c>
      <c r="I485" s="26">
        <v>0</v>
      </c>
      <c r="J485" s="26">
        <v>0</v>
      </c>
      <c r="K485" s="26">
        <v>0</v>
      </c>
      <c r="L485" s="26">
        <v>0</v>
      </c>
      <c r="M485" s="26">
        <v>0</v>
      </c>
    </row>
    <row r="486" spans="1:13">
      <c r="A486" s="24" t="s">
        <v>199</v>
      </c>
      <c r="B486" s="24" t="s">
        <v>324</v>
      </c>
      <c r="C486" s="25">
        <v>45748</v>
      </c>
      <c r="D486" s="24" t="s">
        <v>2660</v>
      </c>
      <c r="E486" s="26">
        <v>0</v>
      </c>
      <c r="F486" s="26">
        <v>0</v>
      </c>
      <c r="G486" s="26">
        <v>0</v>
      </c>
      <c r="H486" s="26">
        <v>0</v>
      </c>
      <c r="I486" s="26">
        <v>0</v>
      </c>
      <c r="J486" s="26">
        <v>0</v>
      </c>
      <c r="K486" s="26">
        <v>0</v>
      </c>
      <c r="L486" s="26">
        <v>0</v>
      </c>
      <c r="M486" s="26">
        <v>0</v>
      </c>
    </row>
    <row r="487" spans="1:13">
      <c r="A487" s="24" t="s">
        <v>199</v>
      </c>
      <c r="B487" s="24" t="s">
        <v>324</v>
      </c>
      <c r="C487" s="25">
        <v>45778</v>
      </c>
      <c r="D487" s="24" t="s">
        <v>2661</v>
      </c>
      <c r="E487" s="26">
        <v>0</v>
      </c>
      <c r="F487" s="26">
        <v>0</v>
      </c>
      <c r="G487" s="26">
        <v>0</v>
      </c>
      <c r="H487" s="26">
        <v>0</v>
      </c>
      <c r="I487" s="26">
        <v>0</v>
      </c>
      <c r="J487" s="26">
        <v>0</v>
      </c>
      <c r="K487" s="26">
        <v>0</v>
      </c>
      <c r="L487" s="26">
        <v>0</v>
      </c>
      <c r="M487" s="26">
        <v>0</v>
      </c>
    </row>
    <row r="488" spans="1:13">
      <c r="A488" s="24" t="s">
        <v>199</v>
      </c>
      <c r="B488" s="24" t="s">
        <v>324</v>
      </c>
      <c r="C488" s="25">
        <v>45809</v>
      </c>
      <c r="D488" s="24" t="s">
        <v>2662</v>
      </c>
      <c r="E488" s="26">
        <v>0</v>
      </c>
      <c r="F488" s="26">
        <v>0</v>
      </c>
      <c r="G488" s="26">
        <v>0</v>
      </c>
      <c r="H488" s="26">
        <v>0</v>
      </c>
      <c r="I488" s="26">
        <v>0</v>
      </c>
      <c r="J488" s="26">
        <v>0</v>
      </c>
      <c r="K488" s="26">
        <v>0</v>
      </c>
      <c r="L488" s="26">
        <v>0</v>
      </c>
      <c r="M488" s="26">
        <v>0</v>
      </c>
    </row>
    <row r="489" spans="1:13">
      <c r="A489" s="24" t="s">
        <v>199</v>
      </c>
      <c r="B489" s="24" t="s">
        <v>324</v>
      </c>
      <c r="C489" s="25">
        <v>45839</v>
      </c>
      <c r="D489" s="24" t="s">
        <v>2663</v>
      </c>
      <c r="E489" s="26">
        <v>0</v>
      </c>
      <c r="F489" s="26">
        <v>0</v>
      </c>
      <c r="G489" s="26">
        <v>0</v>
      </c>
      <c r="H489" s="26">
        <v>0</v>
      </c>
      <c r="I489" s="26">
        <v>0</v>
      </c>
      <c r="J489" s="26">
        <v>0</v>
      </c>
      <c r="K489" s="26">
        <v>0</v>
      </c>
      <c r="L489" s="26">
        <v>0</v>
      </c>
      <c r="M489" s="26">
        <v>0</v>
      </c>
    </row>
    <row r="490" spans="1:13">
      <c r="A490" s="24" t="s">
        <v>199</v>
      </c>
      <c r="B490" s="24" t="s">
        <v>324</v>
      </c>
      <c r="C490" s="25">
        <v>45870</v>
      </c>
      <c r="D490" s="24" t="s">
        <v>2664</v>
      </c>
      <c r="E490" s="26">
        <v>0</v>
      </c>
      <c r="F490" s="26">
        <v>26307.41</v>
      </c>
      <c r="G490" s="26">
        <v>0</v>
      </c>
      <c r="H490" s="26">
        <v>26307.41</v>
      </c>
      <c r="I490" s="26">
        <v>0</v>
      </c>
      <c r="J490" s="26">
        <v>0</v>
      </c>
      <c r="K490" s="26">
        <v>0</v>
      </c>
      <c r="L490" s="26">
        <v>0</v>
      </c>
      <c r="M490" s="26">
        <v>26307.41</v>
      </c>
    </row>
    <row r="491" spans="1:13">
      <c r="A491" s="24" t="s">
        <v>199</v>
      </c>
      <c r="B491" s="24" t="s">
        <v>324</v>
      </c>
      <c r="C491" s="25">
        <v>45901</v>
      </c>
      <c r="D491" s="24" t="s">
        <v>2665</v>
      </c>
      <c r="E491" s="26">
        <v>-69387.179999999993</v>
      </c>
      <c r="F491" s="26">
        <v>35374.22</v>
      </c>
      <c r="G491" s="26">
        <v>0</v>
      </c>
      <c r="H491" s="26">
        <v>-34012.959999999992</v>
      </c>
      <c r="I491" s="26">
        <v>69387.179999999993</v>
      </c>
      <c r="J491" s="26">
        <v>0</v>
      </c>
      <c r="K491" s="26">
        <v>69387.179999999993</v>
      </c>
      <c r="L491" s="26">
        <v>-69387.179999999993</v>
      </c>
      <c r="M491" s="26">
        <v>-34012.959999999992</v>
      </c>
    </row>
    <row r="492" spans="1:13">
      <c r="A492" s="24" t="s">
        <v>199</v>
      </c>
      <c r="B492" s="24" t="s">
        <v>324</v>
      </c>
      <c r="C492" s="25">
        <v>45931</v>
      </c>
      <c r="D492" s="24" t="s">
        <v>2666</v>
      </c>
      <c r="E492" s="26">
        <v>-69387.179999999993</v>
      </c>
      <c r="F492" s="26">
        <v>35374.22</v>
      </c>
      <c r="G492" s="26">
        <v>0</v>
      </c>
      <c r="H492" s="26">
        <v>-34012.959999999992</v>
      </c>
      <c r="I492" s="26">
        <v>69387.179999999993</v>
      </c>
      <c r="J492" s="26">
        <v>0</v>
      </c>
      <c r="K492" s="26">
        <v>69387.179999999993</v>
      </c>
      <c r="L492" s="26">
        <v>-59569.399999999987</v>
      </c>
      <c r="M492" s="26">
        <v>-43830.739999999991</v>
      </c>
    </row>
    <row r="493" spans="1:13">
      <c r="A493" s="24" t="s">
        <v>199</v>
      </c>
      <c r="B493" s="24" t="s">
        <v>324</v>
      </c>
      <c r="C493" s="25">
        <v>45962</v>
      </c>
      <c r="D493" s="24" t="s">
        <v>2667</v>
      </c>
      <c r="E493" s="26">
        <v>-69387.179999999993</v>
      </c>
      <c r="F493" s="26">
        <v>35374.22</v>
      </c>
      <c r="G493" s="26">
        <v>0</v>
      </c>
      <c r="H493" s="26">
        <v>-34012.959999999992</v>
      </c>
      <c r="I493" s="26">
        <v>69387.179999999993</v>
      </c>
      <c r="J493" s="26">
        <v>0</v>
      </c>
      <c r="K493" s="26">
        <v>69387.179999999993</v>
      </c>
      <c r="L493" s="26">
        <v>-59569.399999999987</v>
      </c>
      <c r="M493" s="26">
        <v>-43830.739999999991</v>
      </c>
    </row>
    <row r="494" spans="1:13">
      <c r="A494" s="24" t="s">
        <v>199</v>
      </c>
      <c r="B494" s="24" t="s">
        <v>324</v>
      </c>
      <c r="C494" s="25">
        <v>45992</v>
      </c>
      <c r="D494" s="24" t="s">
        <v>2668</v>
      </c>
      <c r="E494" s="26">
        <v>-69387.179999999993</v>
      </c>
      <c r="F494" s="26">
        <v>35374.22</v>
      </c>
      <c r="G494" s="26">
        <v>0</v>
      </c>
      <c r="H494" s="26">
        <v>-34012.959999999992</v>
      </c>
      <c r="I494" s="26">
        <v>69387.179999999993</v>
      </c>
      <c r="J494" s="26">
        <v>0</v>
      </c>
      <c r="K494" s="26">
        <v>69387.179999999993</v>
      </c>
      <c r="L494" s="26">
        <v>-59569.399999999987</v>
      </c>
      <c r="M494" s="26">
        <v>-43830.739999999991</v>
      </c>
    </row>
    <row r="495" spans="1:13">
      <c r="A495" s="24" t="s">
        <v>171</v>
      </c>
      <c r="B495" s="24" t="s">
        <v>337</v>
      </c>
      <c r="C495" s="25">
        <v>45658</v>
      </c>
      <c r="D495" s="24" t="s">
        <v>2657</v>
      </c>
      <c r="E495" s="26">
        <v>0</v>
      </c>
      <c r="F495" s="26">
        <v>0</v>
      </c>
      <c r="G495" s="26">
        <v>0</v>
      </c>
      <c r="H495" s="26">
        <v>0</v>
      </c>
      <c r="I495" s="26">
        <v>0</v>
      </c>
      <c r="J495" s="26">
        <v>0</v>
      </c>
      <c r="K495" s="26">
        <v>0</v>
      </c>
      <c r="L495" s="26">
        <v>0</v>
      </c>
      <c r="M495" s="26">
        <v>0</v>
      </c>
    </row>
    <row r="496" spans="1:13">
      <c r="A496" s="24" t="s">
        <v>171</v>
      </c>
      <c r="B496" s="24" t="s">
        <v>337</v>
      </c>
      <c r="C496" s="25">
        <v>45689</v>
      </c>
      <c r="D496" s="24" t="s">
        <v>2658</v>
      </c>
      <c r="E496" s="26">
        <v>0</v>
      </c>
      <c r="F496" s="26">
        <v>0</v>
      </c>
      <c r="G496" s="26">
        <v>0</v>
      </c>
      <c r="H496" s="26">
        <v>0</v>
      </c>
      <c r="I496" s="26">
        <v>0</v>
      </c>
      <c r="J496" s="26">
        <v>0</v>
      </c>
      <c r="K496" s="26">
        <v>0</v>
      </c>
      <c r="L496" s="26">
        <v>0</v>
      </c>
      <c r="M496" s="26">
        <v>0</v>
      </c>
    </row>
    <row r="497" spans="1:13">
      <c r="A497" s="24" t="s">
        <v>171</v>
      </c>
      <c r="B497" s="24" t="s">
        <v>337</v>
      </c>
      <c r="C497" s="25">
        <v>45717</v>
      </c>
      <c r="D497" s="24" t="s">
        <v>2659</v>
      </c>
      <c r="E497" s="26">
        <v>0</v>
      </c>
      <c r="F497" s="26">
        <v>0</v>
      </c>
      <c r="G497" s="26">
        <v>0</v>
      </c>
      <c r="H497" s="26">
        <v>0</v>
      </c>
      <c r="I497" s="26">
        <v>0</v>
      </c>
      <c r="J497" s="26">
        <v>0</v>
      </c>
      <c r="K497" s="26">
        <v>0</v>
      </c>
      <c r="L497" s="26">
        <v>0</v>
      </c>
      <c r="M497" s="26">
        <v>0</v>
      </c>
    </row>
    <row r="498" spans="1:13">
      <c r="A498" s="24" t="s">
        <v>171</v>
      </c>
      <c r="B498" s="24" t="s">
        <v>337</v>
      </c>
      <c r="C498" s="25">
        <v>45748</v>
      </c>
      <c r="D498" s="24" t="s">
        <v>2660</v>
      </c>
      <c r="E498" s="26">
        <v>0</v>
      </c>
      <c r="F498" s="26">
        <v>0</v>
      </c>
      <c r="G498" s="26">
        <v>0</v>
      </c>
      <c r="H498" s="26">
        <v>0</v>
      </c>
      <c r="I498" s="26">
        <v>0</v>
      </c>
      <c r="J498" s="26">
        <v>0</v>
      </c>
      <c r="K498" s="26">
        <v>0</v>
      </c>
      <c r="L498" s="26">
        <v>0</v>
      </c>
      <c r="M498" s="26">
        <v>0</v>
      </c>
    </row>
    <row r="499" spans="1:13">
      <c r="A499" s="24" t="s">
        <v>171</v>
      </c>
      <c r="B499" s="24" t="s">
        <v>337</v>
      </c>
      <c r="C499" s="25">
        <v>45778</v>
      </c>
      <c r="D499" s="24" t="s">
        <v>2661</v>
      </c>
      <c r="E499" s="26">
        <v>0</v>
      </c>
      <c r="F499" s="26">
        <v>0</v>
      </c>
      <c r="G499" s="26">
        <v>0</v>
      </c>
      <c r="H499" s="26">
        <v>0</v>
      </c>
      <c r="I499" s="26">
        <v>0</v>
      </c>
      <c r="J499" s="26">
        <v>0</v>
      </c>
      <c r="K499" s="26">
        <v>0</v>
      </c>
      <c r="L499" s="26">
        <v>0</v>
      </c>
      <c r="M499" s="26">
        <v>0</v>
      </c>
    </row>
    <row r="500" spans="1:13">
      <c r="A500" s="24" t="s">
        <v>171</v>
      </c>
      <c r="B500" s="24" t="s">
        <v>337</v>
      </c>
      <c r="C500" s="25">
        <v>45809</v>
      </c>
      <c r="D500" s="24" t="s">
        <v>2662</v>
      </c>
      <c r="E500" s="26">
        <v>0</v>
      </c>
      <c r="F500" s="26">
        <v>0</v>
      </c>
      <c r="G500" s="26">
        <v>0</v>
      </c>
      <c r="H500" s="26">
        <v>0</v>
      </c>
      <c r="I500" s="26">
        <v>0</v>
      </c>
      <c r="J500" s="26">
        <v>0</v>
      </c>
      <c r="K500" s="26">
        <v>0</v>
      </c>
      <c r="L500" s="26">
        <v>0</v>
      </c>
      <c r="M500" s="26">
        <v>0</v>
      </c>
    </row>
    <row r="501" spans="1:13">
      <c r="A501" s="24" t="s">
        <v>171</v>
      </c>
      <c r="B501" s="24" t="s">
        <v>337</v>
      </c>
      <c r="C501" s="25">
        <v>45839</v>
      </c>
      <c r="D501" s="24" t="s">
        <v>2663</v>
      </c>
      <c r="E501" s="26">
        <v>0</v>
      </c>
      <c r="F501" s="26">
        <v>0</v>
      </c>
      <c r="G501" s="26">
        <v>0</v>
      </c>
      <c r="H501" s="26">
        <v>0</v>
      </c>
      <c r="I501" s="26">
        <v>0</v>
      </c>
      <c r="J501" s="26">
        <v>338141.22</v>
      </c>
      <c r="K501" s="26">
        <v>338141.22</v>
      </c>
      <c r="L501" s="26">
        <v>0</v>
      </c>
      <c r="M501" s="26">
        <v>-338141.22</v>
      </c>
    </row>
    <row r="502" spans="1:13">
      <c r="A502" s="24" t="s">
        <v>171</v>
      </c>
      <c r="B502" s="24" t="s">
        <v>337</v>
      </c>
      <c r="C502" s="25">
        <v>45870</v>
      </c>
      <c r="D502" s="24" t="s">
        <v>2664</v>
      </c>
      <c r="E502" s="26">
        <v>-52650.73</v>
      </c>
      <c r="F502" s="26">
        <v>0</v>
      </c>
      <c r="G502" s="26">
        <v>0</v>
      </c>
      <c r="H502" s="26">
        <v>-52650.73</v>
      </c>
      <c r="I502" s="26">
        <v>0</v>
      </c>
      <c r="J502" s="26">
        <v>338141.22</v>
      </c>
      <c r="K502" s="26">
        <v>338141.22</v>
      </c>
      <c r="L502" s="26">
        <v>-52650.73</v>
      </c>
      <c r="M502" s="26">
        <v>-338141.22</v>
      </c>
    </row>
    <row r="503" spans="1:13">
      <c r="A503" s="24" t="s">
        <v>171</v>
      </c>
      <c r="B503" s="24" t="s">
        <v>337</v>
      </c>
      <c r="C503" s="25">
        <v>45901</v>
      </c>
      <c r="D503" s="24" t="s">
        <v>2665</v>
      </c>
      <c r="E503" s="26">
        <v>-160921.79</v>
      </c>
      <c r="F503" s="26">
        <v>0</v>
      </c>
      <c r="G503" s="26">
        <v>0</v>
      </c>
      <c r="H503" s="26">
        <v>-160921.79</v>
      </c>
      <c r="I503" s="26">
        <v>0</v>
      </c>
      <c r="J503" s="26">
        <v>338141.22</v>
      </c>
      <c r="K503" s="26">
        <v>338141.22</v>
      </c>
      <c r="L503" s="26">
        <v>-160921.79</v>
      </c>
      <c r="M503" s="26">
        <v>-338141.22</v>
      </c>
    </row>
    <row r="504" spans="1:13">
      <c r="A504" s="24" t="s">
        <v>171</v>
      </c>
      <c r="B504" s="24" t="s">
        <v>337</v>
      </c>
      <c r="C504" s="25">
        <v>45931</v>
      </c>
      <c r="D504" s="24" t="s">
        <v>2666</v>
      </c>
      <c r="E504" s="26">
        <v>-212221.19</v>
      </c>
      <c r="F504" s="26">
        <v>0</v>
      </c>
      <c r="G504" s="26">
        <v>0</v>
      </c>
      <c r="H504" s="26">
        <v>-212221.19</v>
      </c>
      <c r="I504" s="26">
        <v>0</v>
      </c>
      <c r="J504" s="26">
        <v>338141.22</v>
      </c>
      <c r="K504" s="26">
        <v>338141.22</v>
      </c>
      <c r="L504" s="26">
        <v>-212221.19</v>
      </c>
      <c r="M504" s="26">
        <v>-338141.21999999991</v>
      </c>
    </row>
    <row r="505" spans="1:13">
      <c r="A505" s="24" t="s">
        <v>171</v>
      </c>
      <c r="B505" s="24" t="s">
        <v>337</v>
      </c>
      <c r="C505" s="25">
        <v>45962</v>
      </c>
      <c r="D505" s="24" t="s">
        <v>2667</v>
      </c>
      <c r="E505" s="26">
        <v>-212221.19</v>
      </c>
      <c r="F505" s="26">
        <v>0</v>
      </c>
      <c r="G505" s="26">
        <v>0</v>
      </c>
      <c r="H505" s="26">
        <v>-212221.19</v>
      </c>
      <c r="I505" s="26">
        <v>0</v>
      </c>
      <c r="J505" s="26">
        <v>338141.22</v>
      </c>
      <c r="K505" s="26">
        <v>338141.22</v>
      </c>
      <c r="L505" s="26">
        <v>-212221.19</v>
      </c>
      <c r="M505" s="26">
        <v>-338141.21999999991</v>
      </c>
    </row>
    <row r="506" spans="1:13">
      <c r="A506" s="24" t="s">
        <v>171</v>
      </c>
      <c r="B506" s="24" t="s">
        <v>337</v>
      </c>
      <c r="C506" s="25">
        <v>45992</v>
      </c>
      <c r="D506" s="24" t="s">
        <v>2668</v>
      </c>
      <c r="E506" s="26">
        <v>-212221.19</v>
      </c>
      <c r="F506" s="26">
        <v>0</v>
      </c>
      <c r="G506" s="26">
        <v>0</v>
      </c>
      <c r="H506" s="26">
        <v>-212221.19</v>
      </c>
      <c r="I506" s="26">
        <v>0</v>
      </c>
      <c r="J506" s="26">
        <v>338141.22</v>
      </c>
      <c r="K506" s="26">
        <v>338141.22</v>
      </c>
      <c r="L506" s="26">
        <v>-212221.19</v>
      </c>
      <c r="M506" s="26">
        <v>-338141.21999999991</v>
      </c>
    </row>
    <row r="507" spans="1:13">
      <c r="A507" s="24" t="s">
        <v>11</v>
      </c>
      <c r="B507" s="24" t="s">
        <v>318</v>
      </c>
      <c r="C507" s="25">
        <v>45658</v>
      </c>
      <c r="D507" s="24" t="s">
        <v>2657</v>
      </c>
      <c r="E507" s="26">
        <v>0</v>
      </c>
      <c r="F507" s="26">
        <v>0</v>
      </c>
      <c r="G507" s="26">
        <v>0</v>
      </c>
      <c r="H507" s="26">
        <v>0</v>
      </c>
      <c r="I507" s="26">
        <v>0</v>
      </c>
      <c r="J507" s="26">
        <v>0</v>
      </c>
      <c r="K507" s="26">
        <v>0</v>
      </c>
      <c r="L507" s="26">
        <v>0</v>
      </c>
      <c r="M507" s="26">
        <v>0</v>
      </c>
    </row>
    <row r="508" spans="1:13">
      <c r="A508" s="24" t="s">
        <v>11</v>
      </c>
      <c r="B508" s="24" t="s">
        <v>318</v>
      </c>
      <c r="C508" s="25">
        <v>45689</v>
      </c>
      <c r="D508" s="24" t="s">
        <v>2658</v>
      </c>
      <c r="E508" s="26">
        <v>0</v>
      </c>
      <c r="F508" s="26">
        <v>0</v>
      </c>
      <c r="G508" s="26">
        <v>0</v>
      </c>
      <c r="H508" s="26">
        <v>0</v>
      </c>
      <c r="I508" s="26">
        <v>0</v>
      </c>
      <c r="J508" s="26">
        <v>0</v>
      </c>
      <c r="K508" s="26">
        <v>0</v>
      </c>
      <c r="L508" s="26">
        <v>0</v>
      </c>
      <c r="M508" s="26">
        <v>0</v>
      </c>
    </row>
    <row r="509" spans="1:13">
      <c r="A509" s="24" t="s">
        <v>11</v>
      </c>
      <c r="B509" s="24" t="s">
        <v>318</v>
      </c>
      <c r="C509" s="25">
        <v>45717</v>
      </c>
      <c r="D509" s="24" t="s">
        <v>2659</v>
      </c>
      <c r="E509" s="26">
        <v>0</v>
      </c>
      <c r="F509" s="26">
        <v>0</v>
      </c>
      <c r="G509" s="26">
        <v>0</v>
      </c>
      <c r="H509" s="26">
        <v>0</v>
      </c>
      <c r="I509" s="26">
        <v>0</v>
      </c>
      <c r="J509" s="26">
        <v>0</v>
      </c>
      <c r="K509" s="26">
        <v>0</v>
      </c>
      <c r="L509" s="26">
        <v>0</v>
      </c>
      <c r="M509" s="26">
        <v>0</v>
      </c>
    </row>
    <row r="510" spans="1:13">
      <c r="A510" s="24" t="s">
        <v>11</v>
      </c>
      <c r="B510" s="24" t="s">
        <v>318</v>
      </c>
      <c r="C510" s="25">
        <v>45748</v>
      </c>
      <c r="D510" s="24" t="s">
        <v>2660</v>
      </c>
      <c r="E510" s="26">
        <v>0</v>
      </c>
      <c r="F510" s="26">
        <v>0</v>
      </c>
      <c r="G510" s="26">
        <v>0</v>
      </c>
      <c r="H510" s="26">
        <v>0</v>
      </c>
      <c r="I510" s="26">
        <v>0</v>
      </c>
      <c r="J510" s="26">
        <v>0</v>
      </c>
      <c r="K510" s="26">
        <v>0</v>
      </c>
      <c r="L510" s="26">
        <v>0</v>
      </c>
      <c r="M510" s="26">
        <v>0</v>
      </c>
    </row>
    <row r="511" spans="1:13">
      <c r="A511" s="24" t="s">
        <v>11</v>
      </c>
      <c r="B511" s="24" t="s">
        <v>318</v>
      </c>
      <c r="C511" s="25">
        <v>45778</v>
      </c>
      <c r="D511" s="24" t="s">
        <v>2661</v>
      </c>
      <c r="E511" s="26">
        <v>0</v>
      </c>
      <c r="F511" s="26">
        <v>0</v>
      </c>
      <c r="G511" s="26">
        <v>0</v>
      </c>
      <c r="H511" s="26">
        <v>0</v>
      </c>
      <c r="I511" s="26">
        <v>0</v>
      </c>
      <c r="J511" s="26">
        <v>0</v>
      </c>
      <c r="K511" s="26">
        <v>0</v>
      </c>
      <c r="L511" s="26">
        <v>0</v>
      </c>
      <c r="M511" s="26">
        <v>0</v>
      </c>
    </row>
    <row r="512" spans="1:13">
      <c r="A512" s="24" t="s">
        <v>11</v>
      </c>
      <c r="B512" s="24" t="s">
        <v>318</v>
      </c>
      <c r="C512" s="25">
        <v>45809</v>
      </c>
      <c r="D512" s="24" t="s">
        <v>2662</v>
      </c>
      <c r="E512" s="26">
        <v>0</v>
      </c>
      <c r="F512" s="26">
        <v>0</v>
      </c>
      <c r="G512" s="26">
        <v>0</v>
      </c>
      <c r="H512" s="26">
        <v>0</v>
      </c>
      <c r="I512" s="26">
        <v>0</v>
      </c>
      <c r="J512" s="26">
        <v>0</v>
      </c>
      <c r="K512" s="26">
        <v>0</v>
      </c>
      <c r="L512" s="26">
        <v>0</v>
      </c>
      <c r="M512" s="26">
        <v>0</v>
      </c>
    </row>
    <row r="513" spans="1:13">
      <c r="A513" s="24" t="s">
        <v>11</v>
      </c>
      <c r="B513" s="24" t="s">
        <v>318</v>
      </c>
      <c r="C513" s="25">
        <v>45839</v>
      </c>
      <c r="D513" s="24" t="s">
        <v>2663</v>
      </c>
      <c r="E513" s="26">
        <v>0</v>
      </c>
      <c r="F513" s="26">
        <v>0</v>
      </c>
      <c r="G513" s="26">
        <v>0</v>
      </c>
      <c r="H513" s="26">
        <v>0</v>
      </c>
      <c r="I513" s="26">
        <v>0</v>
      </c>
      <c r="J513" s="26">
        <v>805415.66</v>
      </c>
      <c r="K513" s="26">
        <v>805415.66</v>
      </c>
      <c r="L513" s="26">
        <v>0</v>
      </c>
      <c r="M513" s="26">
        <v>-805415.66</v>
      </c>
    </row>
    <row r="514" spans="1:13">
      <c r="A514" s="24" t="s">
        <v>11</v>
      </c>
      <c r="B514" s="24" t="s">
        <v>318</v>
      </c>
      <c r="C514" s="25">
        <v>45870</v>
      </c>
      <c r="D514" s="24" t="s">
        <v>2664</v>
      </c>
      <c r="E514" s="26">
        <v>0</v>
      </c>
      <c r="F514" s="26">
        <v>0</v>
      </c>
      <c r="G514" s="26">
        <v>0</v>
      </c>
      <c r="H514" s="26">
        <v>0</v>
      </c>
      <c r="I514" s="26">
        <v>0</v>
      </c>
      <c r="J514" s="26">
        <v>805415.66</v>
      </c>
      <c r="K514" s="26">
        <v>805415.66</v>
      </c>
      <c r="L514" s="26">
        <v>0</v>
      </c>
      <c r="M514" s="26">
        <v>-805415.66</v>
      </c>
    </row>
    <row r="515" spans="1:13">
      <c r="A515" s="24" t="s">
        <v>11</v>
      </c>
      <c r="B515" s="24" t="s">
        <v>318</v>
      </c>
      <c r="C515" s="25">
        <v>45901</v>
      </c>
      <c r="D515" s="24" t="s">
        <v>2665</v>
      </c>
      <c r="E515" s="26">
        <v>0</v>
      </c>
      <c r="F515" s="26">
        <v>0</v>
      </c>
      <c r="G515" s="26">
        <v>0</v>
      </c>
      <c r="H515" s="26">
        <v>0</v>
      </c>
      <c r="I515" s="26">
        <v>0</v>
      </c>
      <c r="J515" s="26">
        <v>805415.66</v>
      </c>
      <c r="K515" s="26">
        <v>805415.66</v>
      </c>
      <c r="L515" s="26">
        <v>0</v>
      </c>
      <c r="M515" s="26">
        <v>-805415.66</v>
      </c>
    </row>
    <row r="516" spans="1:13">
      <c r="A516" s="24" t="s">
        <v>11</v>
      </c>
      <c r="B516" s="24" t="s">
        <v>318</v>
      </c>
      <c r="C516" s="25">
        <v>45931</v>
      </c>
      <c r="D516" s="24" t="s">
        <v>2666</v>
      </c>
      <c r="E516" s="26">
        <v>0</v>
      </c>
      <c r="F516" s="26">
        <v>0</v>
      </c>
      <c r="G516" s="26">
        <v>0</v>
      </c>
      <c r="H516" s="26">
        <v>0</v>
      </c>
      <c r="I516" s="26">
        <v>0</v>
      </c>
      <c r="J516" s="26">
        <v>805415.66</v>
      </c>
      <c r="K516" s="26">
        <v>805415.66</v>
      </c>
      <c r="L516" s="26">
        <v>0</v>
      </c>
      <c r="M516" s="26">
        <v>-805415.66</v>
      </c>
    </row>
    <row r="517" spans="1:13">
      <c r="A517" s="24" t="s">
        <v>11</v>
      </c>
      <c r="B517" s="24" t="s">
        <v>318</v>
      </c>
      <c r="C517" s="25">
        <v>45962</v>
      </c>
      <c r="D517" s="24" t="s">
        <v>2667</v>
      </c>
      <c r="E517" s="26">
        <v>0</v>
      </c>
      <c r="F517" s="26">
        <v>0</v>
      </c>
      <c r="G517" s="26">
        <v>0</v>
      </c>
      <c r="H517" s="26">
        <v>0</v>
      </c>
      <c r="I517" s="26">
        <v>0</v>
      </c>
      <c r="J517" s="26">
        <v>805415.66</v>
      </c>
      <c r="K517" s="26">
        <v>805415.66</v>
      </c>
      <c r="L517" s="26">
        <v>0</v>
      </c>
      <c r="M517" s="26">
        <v>-805415.66</v>
      </c>
    </row>
    <row r="518" spans="1:13">
      <c r="A518" s="24" t="s">
        <v>11</v>
      </c>
      <c r="B518" s="24" t="s">
        <v>318</v>
      </c>
      <c r="C518" s="25">
        <v>45992</v>
      </c>
      <c r="D518" s="24" t="s">
        <v>2668</v>
      </c>
      <c r="E518" s="26">
        <v>0</v>
      </c>
      <c r="F518" s="26">
        <v>0</v>
      </c>
      <c r="G518" s="26">
        <v>0</v>
      </c>
      <c r="H518" s="26">
        <v>0</v>
      </c>
      <c r="I518" s="26">
        <v>0</v>
      </c>
      <c r="J518" s="26">
        <v>805415.66</v>
      </c>
      <c r="K518" s="26">
        <v>805415.66</v>
      </c>
      <c r="L518" s="26">
        <v>0</v>
      </c>
      <c r="M518" s="26">
        <v>-805415.66</v>
      </c>
    </row>
    <row r="519" spans="1:13">
      <c r="A519" s="24" t="s">
        <v>217</v>
      </c>
      <c r="B519" s="24" t="s">
        <v>337</v>
      </c>
      <c r="C519" s="25">
        <v>45658</v>
      </c>
      <c r="D519" s="24" t="s">
        <v>2657</v>
      </c>
      <c r="E519" s="26">
        <v>0</v>
      </c>
      <c r="F519" s="26">
        <v>0</v>
      </c>
      <c r="G519" s="26">
        <v>0</v>
      </c>
      <c r="H519" s="26">
        <v>0</v>
      </c>
      <c r="I519" s="26">
        <v>0</v>
      </c>
      <c r="J519" s="26">
        <v>0</v>
      </c>
      <c r="K519" s="26">
        <v>0</v>
      </c>
      <c r="L519" s="26">
        <v>0</v>
      </c>
      <c r="M519" s="26">
        <v>0</v>
      </c>
    </row>
    <row r="520" spans="1:13">
      <c r="A520" s="24" t="s">
        <v>217</v>
      </c>
      <c r="B520" s="24" t="s">
        <v>337</v>
      </c>
      <c r="C520" s="25">
        <v>45689</v>
      </c>
      <c r="D520" s="24" t="s">
        <v>2658</v>
      </c>
      <c r="E520" s="26">
        <v>0</v>
      </c>
      <c r="F520" s="26">
        <v>0</v>
      </c>
      <c r="G520" s="26">
        <v>0</v>
      </c>
      <c r="H520" s="26">
        <v>0</v>
      </c>
      <c r="I520" s="26">
        <v>0</v>
      </c>
      <c r="J520" s="26">
        <v>0</v>
      </c>
      <c r="K520" s="26">
        <v>0</v>
      </c>
      <c r="L520" s="26">
        <v>0</v>
      </c>
      <c r="M520" s="26">
        <v>0</v>
      </c>
    </row>
    <row r="521" spans="1:13">
      <c r="A521" s="24" t="s">
        <v>217</v>
      </c>
      <c r="B521" s="24" t="s">
        <v>337</v>
      </c>
      <c r="C521" s="25">
        <v>45717</v>
      </c>
      <c r="D521" s="24" t="s">
        <v>2659</v>
      </c>
      <c r="E521" s="26">
        <v>0</v>
      </c>
      <c r="F521" s="26">
        <v>0</v>
      </c>
      <c r="G521" s="26">
        <v>0</v>
      </c>
      <c r="H521" s="26">
        <v>0</v>
      </c>
      <c r="I521" s="26">
        <v>0</v>
      </c>
      <c r="J521" s="26">
        <v>0</v>
      </c>
      <c r="K521" s="26">
        <v>0</v>
      </c>
      <c r="L521" s="26">
        <v>0</v>
      </c>
      <c r="M521" s="26">
        <v>0</v>
      </c>
    </row>
    <row r="522" spans="1:13">
      <c r="A522" s="24" t="s">
        <v>217</v>
      </c>
      <c r="B522" s="24" t="s">
        <v>337</v>
      </c>
      <c r="C522" s="25">
        <v>45748</v>
      </c>
      <c r="D522" s="24" t="s">
        <v>2660</v>
      </c>
      <c r="E522" s="26">
        <v>0</v>
      </c>
      <c r="F522" s="26">
        <v>0</v>
      </c>
      <c r="G522" s="26">
        <v>0</v>
      </c>
      <c r="H522" s="26">
        <v>0</v>
      </c>
      <c r="I522" s="26">
        <v>0</v>
      </c>
      <c r="J522" s="26">
        <v>0</v>
      </c>
      <c r="K522" s="26">
        <v>0</v>
      </c>
      <c r="L522" s="26">
        <v>0</v>
      </c>
      <c r="M522" s="26">
        <v>0</v>
      </c>
    </row>
    <row r="523" spans="1:13">
      <c r="A523" s="24" t="s">
        <v>217</v>
      </c>
      <c r="B523" s="24" t="s">
        <v>337</v>
      </c>
      <c r="C523" s="25">
        <v>45778</v>
      </c>
      <c r="D523" s="24" t="s">
        <v>2661</v>
      </c>
      <c r="E523" s="26">
        <v>0</v>
      </c>
      <c r="F523" s="26">
        <v>0</v>
      </c>
      <c r="G523" s="26">
        <v>0</v>
      </c>
      <c r="H523" s="26">
        <v>0</v>
      </c>
      <c r="I523" s="26">
        <v>0</v>
      </c>
      <c r="J523" s="26">
        <v>0</v>
      </c>
      <c r="K523" s="26">
        <v>0</v>
      </c>
      <c r="L523" s="26">
        <v>0</v>
      </c>
      <c r="M523" s="26">
        <v>0</v>
      </c>
    </row>
    <row r="524" spans="1:13">
      <c r="A524" s="24" t="s">
        <v>217</v>
      </c>
      <c r="B524" s="24" t="s">
        <v>337</v>
      </c>
      <c r="C524" s="25">
        <v>45809</v>
      </c>
      <c r="D524" s="24" t="s">
        <v>2662</v>
      </c>
      <c r="E524" s="26">
        <v>0</v>
      </c>
      <c r="F524" s="26">
        <v>0</v>
      </c>
      <c r="G524" s="26">
        <v>0</v>
      </c>
      <c r="H524" s="26">
        <v>0</v>
      </c>
      <c r="I524" s="26">
        <v>0</v>
      </c>
      <c r="J524" s="26">
        <v>0</v>
      </c>
      <c r="K524" s="26">
        <v>0</v>
      </c>
      <c r="L524" s="26">
        <v>0</v>
      </c>
      <c r="M524" s="26">
        <v>0</v>
      </c>
    </row>
    <row r="525" spans="1:13">
      <c r="A525" s="24" t="s">
        <v>217</v>
      </c>
      <c r="B525" s="24" t="s">
        <v>337</v>
      </c>
      <c r="C525" s="25">
        <v>45839</v>
      </c>
      <c r="D525" s="24" t="s">
        <v>2663</v>
      </c>
      <c r="E525" s="26">
        <v>0</v>
      </c>
      <c r="F525" s="26">
        <v>0</v>
      </c>
      <c r="G525" s="26">
        <v>0</v>
      </c>
      <c r="H525" s="26">
        <v>0</v>
      </c>
      <c r="I525" s="26">
        <v>0</v>
      </c>
      <c r="J525" s="26">
        <v>0</v>
      </c>
      <c r="K525" s="26">
        <v>0</v>
      </c>
      <c r="L525" s="26">
        <v>0</v>
      </c>
      <c r="M525" s="26">
        <v>0</v>
      </c>
    </row>
    <row r="526" spans="1:13">
      <c r="A526" s="24" t="s">
        <v>217</v>
      </c>
      <c r="B526" s="24" t="s">
        <v>337</v>
      </c>
      <c r="C526" s="25">
        <v>45870</v>
      </c>
      <c r="D526" s="24" t="s">
        <v>2664</v>
      </c>
      <c r="E526" s="26">
        <v>0</v>
      </c>
      <c r="F526" s="26">
        <v>0</v>
      </c>
      <c r="G526" s="26">
        <v>0</v>
      </c>
      <c r="H526" s="26">
        <v>0</v>
      </c>
      <c r="I526" s="26">
        <v>0</v>
      </c>
      <c r="J526" s="26">
        <v>0</v>
      </c>
      <c r="K526" s="26">
        <v>0</v>
      </c>
      <c r="L526" s="26">
        <v>0</v>
      </c>
      <c r="M526" s="26">
        <v>0</v>
      </c>
    </row>
    <row r="527" spans="1:13">
      <c r="A527" s="24" t="s">
        <v>217</v>
      </c>
      <c r="B527" s="24" t="s">
        <v>337</v>
      </c>
      <c r="C527" s="25">
        <v>45901</v>
      </c>
      <c r="D527" s="24" t="s">
        <v>2665</v>
      </c>
      <c r="E527" s="26">
        <v>0</v>
      </c>
      <c r="F527" s="26">
        <v>0</v>
      </c>
      <c r="G527" s="26">
        <v>0</v>
      </c>
      <c r="H527" s="26">
        <v>0</v>
      </c>
      <c r="I527" s="26">
        <v>0</v>
      </c>
      <c r="J527" s="26">
        <v>0</v>
      </c>
      <c r="K527" s="26">
        <v>0</v>
      </c>
      <c r="L527" s="26">
        <v>0</v>
      </c>
      <c r="M527" s="26">
        <v>0</v>
      </c>
    </row>
    <row r="528" spans="1:13">
      <c r="A528" s="24" t="s">
        <v>217</v>
      </c>
      <c r="B528" s="24" t="s">
        <v>337</v>
      </c>
      <c r="C528" s="25">
        <v>45931</v>
      </c>
      <c r="D528" s="24" t="s">
        <v>2666</v>
      </c>
      <c r="E528" s="26">
        <v>-57315.76</v>
      </c>
      <c r="F528" s="26">
        <v>0</v>
      </c>
      <c r="G528" s="26">
        <v>0</v>
      </c>
      <c r="H528" s="26">
        <v>-57315.76</v>
      </c>
      <c r="I528" s="26">
        <v>0</v>
      </c>
      <c r="J528" s="26">
        <v>280022.19</v>
      </c>
      <c r="K528" s="26">
        <v>280022.19</v>
      </c>
      <c r="L528" s="26">
        <v>-57315.76</v>
      </c>
      <c r="M528" s="26">
        <v>-280022.19</v>
      </c>
    </row>
    <row r="529" spans="1:13">
      <c r="A529" s="24" t="s">
        <v>217</v>
      </c>
      <c r="B529" s="24" t="s">
        <v>337</v>
      </c>
      <c r="C529" s="25">
        <v>45962</v>
      </c>
      <c r="D529" s="24" t="s">
        <v>2667</v>
      </c>
      <c r="E529" s="26">
        <v>-183496.55</v>
      </c>
      <c r="F529" s="26">
        <v>0</v>
      </c>
      <c r="G529" s="26">
        <v>0</v>
      </c>
      <c r="H529" s="26">
        <v>-183496.55</v>
      </c>
      <c r="I529" s="26">
        <v>44517.53</v>
      </c>
      <c r="J529" s="26">
        <v>280022.19</v>
      </c>
      <c r="K529" s="26">
        <v>324539.71999999997</v>
      </c>
      <c r="L529" s="26">
        <v>-183496.55</v>
      </c>
      <c r="M529" s="26">
        <v>-324539.71999999997</v>
      </c>
    </row>
    <row r="530" spans="1:13">
      <c r="A530" s="24" t="s">
        <v>217</v>
      </c>
      <c r="B530" s="24" t="s">
        <v>337</v>
      </c>
      <c r="C530" s="25">
        <v>45992</v>
      </c>
      <c r="D530" s="24" t="s">
        <v>2668</v>
      </c>
      <c r="E530" s="26">
        <v>-183496.55</v>
      </c>
      <c r="F530" s="26">
        <v>0</v>
      </c>
      <c r="G530" s="26">
        <v>0</v>
      </c>
      <c r="H530" s="26">
        <v>-183496.55</v>
      </c>
      <c r="I530" s="26">
        <v>44517.53</v>
      </c>
      <c r="J530" s="26">
        <v>280022.19</v>
      </c>
      <c r="K530" s="26">
        <v>324539.71999999997</v>
      </c>
      <c r="L530" s="26">
        <v>-183496.55</v>
      </c>
      <c r="M530" s="26">
        <v>-324539.71999999997</v>
      </c>
    </row>
    <row r="531" spans="1:13">
      <c r="A531" s="24" t="s">
        <v>253</v>
      </c>
      <c r="B531" s="24" t="s">
        <v>329</v>
      </c>
      <c r="C531" s="25">
        <v>45658</v>
      </c>
      <c r="D531" s="24" t="s">
        <v>2657</v>
      </c>
      <c r="E531" s="26">
        <v>0</v>
      </c>
      <c r="F531" s="26">
        <v>0</v>
      </c>
      <c r="G531" s="26">
        <v>0</v>
      </c>
      <c r="H531" s="26">
        <v>0</v>
      </c>
      <c r="I531" s="26">
        <v>0</v>
      </c>
      <c r="J531" s="26">
        <v>0</v>
      </c>
      <c r="K531" s="26">
        <v>0</v>
      </c>
      <c r="L531" s="26">
        <v>0</v>
      </c>
      <c r="M531" s="26">
        <v>0</v>
      </c>
    </row>
    <row r="532" spans="1:13">
      <c r="A532" s="24" t="s">
        <v>253</v>
      </c>
      <c r="B532" s="24" t="s">
        <v>329</v>
      </c>
      <c r="C532" s="25">
        <v>45689</v>
      </c>
      <c r="D532" s="24" t="s">
        <v>2658</v>
      </c>
      <c r="E532" s="26">
        <v>0</v>
      </c>
      <c r="F532" s="26">
        <v>0</v>
      </c>
      <c r="G532" s="26">
        <v>0</v>
      </c>
      <c r="H532" s="26">
        <v>0</v>
      </c>
      <c r="I532" s="26">
        <v>0</v>
      </c>
      <c r="J532" s="26">
        <v>0</v>
      </c>
      <c r="K532" s="26">
        <v>0</v>
      </c>
      <c r="L532" s="26">
        <v>0</v>
      </c>
      <c r="M532" s="26">
        <v>0</v>
      </c>
    </row>
    <row r="533" spans="1:13">
      <c r="A533" s="24" t="s">
        <v>253</v>
      </c>
      <c r="B533" s="24" t="s">
        <v>329</v>
      </c>
      <c r="C533" s="25">
        <v>45717</v>
      </c>
      <c r="D533" s="24" t="s">
        <v>2659</v>
      </c>
      <c r="E533" s="26">
        <v>0</v>
      </c>
      <c r="F533" s="26">
        <v>0</v>
      </c>
      <c r="G533" s="26">
        <v>0</v>
      </c>
      <c r="H533" s="26">
        <v>0</v>
      </c>
      <c r="I533" s="26">
        <v>0</v>
      </c>
      <c r="J533" s="26">
        <v>0</v>
      </c>
      <c r="K533" s="26">
        <v>0</v>
      </c>
      <c r="L533" s="26">
        <v>0</v>
      </c>
      <c r="M533" s="26">
        <v>0</v>
      </c>
    </row>
    <row r="534" spans="1:13">
      <c r="A534" s="24" t="s">
        <v>253</v>
      </c>
      <c r="B534" s="24" t="s">
        <v>329</v>
      </c>
      <c r="C534" s="25">
        <v>45748</v>
      </c>
      <c r="D534" s="24" t="s">
        <v>2660</v>
      </c>
      <c r="E534" s="26">
        <v>0</v>
      </c>
      <c r="F534" s="26">
        <v>0</v>
      </c>
      <c r="G534" s="26">
        <v>0</v>
      </c>
      <c r="H534" s="26">
        <v>0</v>
      </c>
      <c r="I534" s="26">
        <v>0</v>
      </c>
      <c r="J534" s="26">
        <v>0</v>
      </c>
      <c r="K534" s="26">
        <v>0</v>
      </c>
      <c r="L534" s="26">
        <v>0</v>
      </c>
      <c r="M534" s="26">
        <v>0</v>
      </c>
    </row>
    <row r="535" spans="1:13">
      <c r="A535" s="24" t="s">
        <v>253</v>
      </c>
      <c r="B535" s="24" t="s">
        <v>329</v>
      </c>
      <c r="C535" s="25">
        <v>45778</v>
      </c>
      <c r="D535" s="24" t="s">
        <v>2661</v>
      </c>
      <c r="E535" s="26">
        <v>0</v>
      </c>
      <c r="F535" s="26">
        <v>0</v>
      </c>
      <c r="G535" s="26">
        <v>0</v>
      </c>
      <c r="H535" s="26">
        <v>0</v>
      </c>
      <c r="I535" s="26">
        <v>0</v>
      </c>
      <c r="J535" s="26">
        <v>0</v>
      </c>
      <c r="K535" s="26">
        <v>0</v>
      </c>
      <c r="L535" s="26">
        <v>0</v>
      </c>
      <c r="M535" s="26">
        <v>0</v>
      </c>
    </row>
    <row r="536" spans="1:13">
      <c r="A536" s="24" t="s">
        <v>253</v>
      </c>
      <c r="B536" s="24" t="s">
        <v>329</v>
      </c>
      <c r="C536" s="25">
        <v>45809</v>
      </c>
      <c r="D536" s="24" t="s">
        <v>2662</v>
      </c>
      <c r="E536" s="26">
        <v>0</v>
      </c>
      <c r="F536" s="26">
        <v>0</v>
      </c>
      <c r="G536" s="26">
        <v>0</v>
      </c>
      <c r="H536" s="26">
        <v>0</v>
      </c>
      <c r="I536" s="26">
        <v>0</v>
      </c>
      <c r="J536" s="26">
        <v>0</v>
      </c>
      <c r="K536" s="26">
        <v>0</v>
      </c>
      <c r="L536" s="26">
        <v>0</v>
      </c>
      <c r="M536" s="26">
        <v>0</v>
      </c>
    </row>
    <row r="537" spans="1:13">
      <c r="A537" s="24" t="s">
        <v>253</v>
      </c>
      <c r="B537" s="24" t="s">
        <v>329</v>
      </c>
      <c r="C537" s="25">
        <v>45839</v>
      </c>
      <c r="D537" s="24" t="s">
        <v>2663</v>
      </c>
      <c r="E537" s="26">
        <v>0</v>
      </c>
      <c r="F537" s="26">
        <v>0</v>
      </c>
      <c r="G537" s="26">
        <v>42754.99</v>
      </c>
      <c r="H537" s="26">
        <v>42754.99</v>
      </c>
      <c r="I537" s="26">
        <v>0</v>
      </c>
      <c r="J537" s="26">
        <v>0</v>
      </c>
      <c r="K537" s="26">
        <v>0</v>
      </c>
      <c r="L537" s="26">
        <v>42754.99</v>
      </c>
      <c r="M537" s="26">
        <v>0</v>
      </c>
    </row>
    <row r="538" spans="1:13">
      <c r="A538" s="24" t="s">
        <v>253</v>
      </c>
      <c r="B538" s="24" t="s">
        <v>329</v>
      </c>
      <c r="C538" s="25">
        <v>45870</v>
      </c>
      <c r="D538" s="24" t="s">
        <v>2664</v>
      </c>
      <c r="E538" s="26">
        <v>0</v>
      </c>
      <c r="F538" s="26">
        <v>0</v>
      </c>
      <c r="G538" s="26">
        <v>42754.99</v>
      </c>
      <c r="H538" s="26">
        <v>42754.99</v>
      </c>
      <c r="I538" s="26">
        <v>0</v>
      </c>
      <c r="J538" s="26">
        <v>0</v>
      </c>
      <c r="K538" s="26">
        <v>0</v>
      </c>
      <c r="L538" s="26">
        <v>42754.99</v>
      </c>
      <c r="M538" s="26">
        <v>0</v>
      </c>
    </row>
    <row r="539" spans="1:13">
      <c r="A539" s="24" t="s">
        <v>253</v>
      </c>
      <c r="B539" s="24" t="s">
        <v>329</v>
      </c>
      <c r="C539" s="25">
        <v>45901</v>
      </c>
      <c r="D539" s="24" t="s">
        <v>2665</v>
      </c>
      <c r="E539" s="26">
        <v>0</v>
      </c>
      <c r="F539" s="26">
        <v>0</v>
      </c>
      <c r="G539" s="26">
        <v>73832.23</v>
      </c>
      <c r="H539" s="26">
        <v>73832.23</v>
      </c>
      <c r="I539" s="26">
        <v>0</v>
      </c>
      <c r="J539" s="26">
        <v>0</v>
      </c>
      <c r="K539" s="26">
        <v>0</v>
      </c>
      <c r="L539" s="26">
        <v>73832.23</v>
      </c>
      <c r="M539" s="26">
        <v>0</v>
      </c>
    </row>
    <row r="540" spans="1:13">
      <c r="A540" s="24" t="s">
        <v>253</v>
      </c>
      <c r="B540" s="24" t="s">
        <v>329</v>
      </c>
      <c r="C540" s="25">
        <v>45931</v>
      </c>
      <c r="D540" s="24" t="s">
        <v>2666</v>
      </c>
      <c r="E540" s="26">
        <v>0</v>
      </c>
      <c r="F540" s="26">
        <v>0</v>
      </c>
      <c r="G540" s="26">
        <v>152684.84</v>
      </c>
      <c r="H540" s="26">
        <v>152684.84</v>
      </c>
      <c r="I540" s="26">
        <v>0</v>
      </c>
      <c r="J540" s="26">
        <v>0</v>
      </c>
      <c r="K540" s="26">
        <v>0</v>
      </c>
      <c r="L540" s="26">
        <v>152684.84</v>
      </c>
      <c r="M540" s="26">
        <v>0</v>
      </c>
    </row>
    <row r="541" spans="1:13">
      <c r="A541" s="24" t="s">
        <v>253</v>
      </c>
      <c r="B541" s="24" t="s">
        <v>329</v>
      </c>
      <c r="C541" s="25">
        <v>45962</v>
      </c>
      <c r="D541" s="24" t="s">
        <v>2667</v>
      </c>
      <c r="E541" s="26">
        <v>-11962.74</v>
      </c>
      <c r="F541" s="26">
        <v>0</v>
      </c>
      <c r="G541" s="26">
        <v>152684.84</v>
      </c>
      <c r="H541" s="26">
        <v>140722.1</v>
      </c>
      <c r="I541" s="26">
        <v>11962.74</v>
      </c>
      <c r="J541" s="26">
        <v>183968.86</v>
      </c>
      <c r="K541" s="26">
        <v>195931.59999999989</v>
      </c>
      <c r="L541" s="26">
        <v>140722.1</v>
      </c>
      <c r="M541" s="26">
        <v>-195931.59999999989</v>
      </c>
    </row>
    <row r="542" spans="1:13">
      <c r="A542" s="24" t="s">
        <v>253</v>
      </c>
      <c r="B542" s="24" t="s">
        <v>329</v>
      </c>
      <c r="C542" s="25">
        <v>45992</v>
      </c>
      <c r="D542" s="24" t="s">
        <v>2668</v>
      </c>
      <c r="E542" s="26">
        <v>-19550.63</v>
      </c>
      <c r="F542" s="26">
        <v>44966.33</v>
      </c>
      <c r="G542" s="26">
        <v>130289.46</v>
      </c>
      <c r="H542" s="26">
        <v>155705.16</v>
      </c>
      <c r="I542" s="26">
        <v>11962.74</v>
      </c>
      <c r="J542" s="26">
        <v>513899.75</v>
      </c>
      <c r="K542" s="26">
        <v>525862.49</v>
      </c>
      <c r="L542" s="26">
        <v>155705.16</v>
      </c>
      <c r="M542" s="26">
        <v>-525862.49</v>
      </c>
    </row>
    <row r="543" spans="1:13">
      <c r="A543" s="24" t="s">
        <v>151</v>
      </c>
      <c r="B543" s="24" t="s">
        <v>337</v>
      </c>
      <c r="C543" s="25">
        <v>45658</v>
      </c>
      <c r="D543" s="24" t="s">
        <v>2657</v>
      </c>
      <c r="E543" s="26">
        <v>0</v>
      </c>
      <c r="F543" s="26">
        <v>0</v>
      </c>
      <c r="G543" s="26">
        <v>0</v>
      </c>
      <c r="H543" s="26">
        <v>0</v>
      </c>
      <c r="I543" s="26">
        <v>0</v>
      </c>
      <c r="J543" s="26">
        <v>0</v>
      </c>
      <c r="K543" s="26">
        <v>0</v>
      </c>
      <c r="L543" s="26">
        <v>0</v>
      </c>
      <c r="M543" s="26">
        <v>0</v>
      </c>
    </row>
    <row r="544" spans="1:13">
      <c r="A544" s="24" t="s">
        <v>151</v>
      </c>
      <c r="B544" s="24" t="s">
        <v>337</v>
      </c>
      <c r="C544" s="25">
        <v>45689</v>
      </c>
      <c r="D544" s="24" t="s">
        <v>2658</v>
      </c>
      <c r="E544" s="26">
        <v>0</v>
      </c>
      <c r="F544" s="26">
        <v>0</v>
      </c>
      <c r="G544" s="26">
        <v>0</v>
      </c>
      <c r="H544" s="26">
        <v>0</v>
      </c>
      <c r="I544" s="26">
        <v>0</v>
      </c>
      <c r="J544" s="26">
        <v>0</v>
      </c>
      <c r="K544" s="26">
        <v>0</v>
      </c>
      <c r="L544" s="26">
        <v>0</v>
      </c>
      <c r="M544" s="26">
        <v>0</v>
      </c>
    </row>
    <row r="545" spans="1:13">
      <c r="A545" s="24" t="s">
        <v>151</v>
      </c>
      <c r="B545" s="24" t="s">
        <v>337</v>
      </c>
      <c r="C545" s="25">
        <v>45717</v>
      </c>
      <c r="D545" s="24" t="s">
        <v>2659</v>
      </c>
      <c r="E545" s="26">
        <v>0</v>
      </c>
      <c r="F545" s="26">
        <v>0</v>
      </c>
      <c r="G545" s="26">
        <v>0</v>
      </c>
      <c r="H545" s="26">
        <v>0</v>
      </c>
      <c r="I545" s="26">
        <v>0</v>
      </c>
      <c r="J545" s="26">
        <v>0</v>
      </c>
      <c r="K545" s="26">
        <v>0</v>
      </c>
      <c r="L545" s="26">
        <v>0</v>
      </c>
      <c r="M545" s="26">
        <v>0</v>
      </c>
    </row>
    <row r="546" spans="1:13">
      <c r="A546" s="24" t="s">
        <v>151</v>
      </c>
      <c r="B546" s="24" t="s">
        <v>337</v>
      </c>
      <c r="C546" s="25">
        <v>45748</v>
      </c>
      <c r="D546" s="24" t="s">
        <v>2660</v>
      </c>
      <c r="E546" s="26">
        <v>0</v>
      </c>
      <c r="F546" s="26">
        <v>0</v>
      </c>
      <c r="G546" s="26">
        <v>0</v>
      </c>
      <c r="H546" s="26">
        <v>0</v>
      </c>
      <c r="I546" s="26">
        <v>0</v>
      </c>
      <c r="J546" s="26">
        <v>0</v>
      </c>
      <c r="K546" s="26">
        <v>0</v>
      </c>
      <c r="L546" s="26">
        <v>0</v>
      </c>
      <c r="M546" s="26">
        <v>0</v>
      </c>
    </row>
    <row r="547" spans="1:13">
      <c r="A547" s="24" t="s">
        <v>151</v>
      </c>
      <c r="B547" s="24" t="s">
        <v>337</v>
      </c>
      <c r="C547" s="25">
        <v>45778</v>
      </c>
      <c r="D547" s="24" t="s">
        <v>2661</v>
      </c>
      <c r="E547" s="26">
        <v>0</v>
      </c>
      <c r="F547" s="26">
        <v>0</v>
      </c>
      <c r="G547" s="26">
        <v>0</v>
      </c>
      <c r="H547" s="26">
        <v>0</v>
      </c>
      <c r="I547" s="26">
        <v>0</v>
      </c>
      <c r="J547" s="26">
        <v>0</v>
      </c>
      <c r="K547" s="26">
        <v>0</v>
      </c>
      <c r="L547" s="26">
        <v>0</v>
      </c>
      <c r="M547" s="26">
        <v>0</v>
      </c>
    </row>
    <row r="548" spans="1:13">
      <c r="A548" s="24" t="s">
        <v>151</v>
      </c>
      <c r="B548" s="24" t="s">
        <v>337</v>
      </c>
      <c r="C548" s="25">
        <v>45809</v>
      </c>
      <c r="D548" s="24" t="s">
        <v>2662</v>
      </c>
      <c r="E548" s="26">
        <v>0</v>
      </c>
      <c r="F548" s="26">
        <v>0</v>
      </c>
      <c r="G548" s="26">
        <v>0</v>
      </c>
      <c r="H548" s="26">
        <v>0</v>
      </c>
      <c r="I548" s="26">
        <v>0</v>
      </c>
      <c r="J548" s="26">
        <v>0</v>
      </c>
      <c r="K548" s="26">
        <v>0</v>
      </c>
      <c r="L548" s="26">
        <v>0</v>
      </c>
      <c r="M548" s="26">
        <v>0</v>
      </c>
    </row>
    <row r="549" spans="1:13">
      <c r="A549" s="24" t="s">
        <v>151</v>
      </c>
      <c r="B549" s="24" t="s">
        <v>337</v>
      </c>
      <c r="C549" s="25">
        <v>45839</v>
      </c>
      <c r="D549" s="24" t="s">
        <v>2663</v>
      </c>
      <c r="E549" s="26">
        <v>0</v>
      </c>
      <c r="F549" s="26">
        <v>0</v>
      </c>
      <c r="G549" s="26">
        <v>67814.62</v>
      </c>
      <c r="H549" s="26">
        <v>67814.62</v>
      </c>
      <c r="I549" s="26">
        <v>0</v>
      </c>
      <c r="J549" s="26">
        <v>0</v>
      </c>
      <c r="K549" s="26">
        <v>0</v>
      </c>
      <c r="L549" s="26">
        <v>67814.62</v>
      </c>
      <c r="M549" s="26">
        <v>0</v>
      </c>
    </row>
    <row r="550" spans="1:13">
      <c r="A550" s="24" t="s">
        <v>151</v>
      </c>
      <c r="B550" s="24" t="s">
        <v>337</v>
      </c>
      <c r="C550" s="25">
        <v>45870</v>
      </c>
      <c r="D550" s="24" t="s">
        <v>2664</v>
      </c>
      <c r="E550" s="26">
        <v>0</v>
      </c>
      <c r="F550" s="26">
        <v>0</v>
      </c>
      <c r="G550" s="26">
        <v>67814.62</v>
      </c>
      <c r="H550" s="26">
        <v>67814.62</v>
      </c>
      <c r="I550" s="26">
        <v>0</v>
      </c>
      <c r="J550" s="26">
        <v>0</v>
      </c>
      <c r="K550" s="26">
        <v>0</v>
      </c>
      <c r="L550" s="26">
        <v>67814.62</v>
      </c>
      <c r="M550" s="26">
        <v>0</v>
      </c>
    </row>
    <row r="551" spans="1:13">
      <c r="A551" s="24" t="s">
        <v>151</v>
      </c>
      <c r="B551" s="24" t="s">
        <v>337</v>
      </c>
      <c r="C551" s="25">
        <v>45901</v>
      </c>
      <c r="D551" s="24" t="s">
        <v>2665</v>
      </c>
      <c r="E551" s="26">
        <v>-117023.31</v>
      </c>
      <c r="F551" s="26">
        <v>0</v>
      </c>
      <c r="G551" s="26">
        <v>67814.62</v>
      </c>
      <c r="H551" s="26">
        <v>-49208.69</v>
      </c>
      <c r="I551" s="26">
        <v>0</v>
      </c>
      <c r="J551" s="26">
        <v>0</v>
      </c>
      <c r="K551" s="26">
        <v>0</v>
      </c>
      <c r="L551" s="26">
        <v>-49208.69</v>
      </c>
      <c r="M551" s="26">
        <v>0</v>
      </c>
    </row>
    <row r="552" spans="1:13">
      <c r="A552" s="24" t="s">
        <v>151</v>
      </c>
      <c r="B552" s="24" t="s">
        <v>337</v>
      </c>
      <c r="C552" s="25">
        <v>45931</v>
      </c>
      <c r="D552" s="24" t="s">
        <v>2666</v>
      </c>
      <c r="E552" s="26">
        <v>-252951.02</v>
      </c>
      <c r="F552" s="26">
        <v>0</v>
      </c>
      <c r="G552" s="26">
        <v>127422.78</v>
      </c>
      <c r="H552" s="26">
        <v>-125528.24</v>
      </c>
      <c r="I552" s="26">
        <v>0</v>
      </c>
      <c r="J552" s="26">
        <v>428058.36</v>
      </c>
      <c r="K552" s="26">
        <v>428058.36</v>
      </c>
      <c r="L552" s="26">
        <v>-125528.24</v>
      </c>
      <c r="M552" s="26">
        <v>-428058.36</v>
      </c>
    </row>
    <row r="553" spans="1:13">
      <c r="A553" s="24" t="s">
        <v>151</v>
      </c>
      <c r="B553" s="24" t="s">
        <v>337</v>
      </c>
      <c r="C553" s="25">
        <v>45962</v>
      </c>
      <c r="D553" s="24" t="s">
        <v>2667</v>
      </c>
      <c r="E553" s="26">
        <v>-252951.02</v>
      </c>
      <c r="F553" s="26">
        <v>0</v>
      </c>
      <c r="G553" s="26">
        <v>127422.78</v>
      </c>
      <c r="H553" s="26">
        <v>-125528.24</v>
      </c>
      <c r="I553" s="26">
        <v>0</v>
      </c>
      <c r="J553" s="26">
        <v>428058.36</v>
      </c>
      <c r="K553" s="26">
        <v>428058.36</v>
      </c>
      <c r="L553" s="26">
        <v>-125528.24</v>
      </c>
      <c r="M553" s="26">
        <v>-428058.36</v>
      </c>
    </row>
    <row r="554" spans="1:13">
      <c r="A554" s="24" t="s">
        <v>151</v>
      </c>
      <c r="B554" s="24" t="s">
        <v>337</v>
      </c>
      <c r="C554" s="25">
        <v>45992</v>
      </c>
      <c r="D554" s="24" t="s">
        <v>2668</v>
      </c>
      <c r="E554" s="26">
        <v>-192258.63</v>
      </c>
      <c r="F554" s="26">
        <v>0</v>
      </c>
      <c r="G554" s="26">
        <v>93288.87999999999</v>
      </c>
      <c r="H554" s="26">
        <v>-98969.750000000015</v>
      </c>
      <c r="I554" s="26">
        <v>0</v>
      </c>
      <c r="J554" s="26">
        <v>401499.87</v>
      </c>
      <c r="K554" s="26">
        <v>401499.87</v>
      </c>
      <c r="L554" s="26">
        <v>-98969.749999999985</v>
      </c>
      <c r="M554" s="26">
        <v>-401499.87</v>
      </c>
    </row>
    <row r="555" spans="1:13">
      <c r="A555" s="24" t="s">
        <v>351</v>
      </c>
      <c r="B555" s="24" t="s">
        <v>324</v>
      </c>
      <c r="C555" s="25">
        <v>45658</v>
      </c>
      <c r="D555" s="24" t="s">
        <v>2657</v>
      </c>
      <c r="E555" s="26">
        <v>0</v>
      </c>
      <c r="F555" s="26">
        <v>0</v>
      </c>
      <c r="G555" s="26">
        <v>0</v>
      </c>
      <c r="H555" s="26">
        <v>0</v>
      </c>
      <c r="I555" s="26">
        <v>0</v>
      </c>
      <c r="J555" s="26">
        <v>0</v>
      </c>
      <c r="K555" s="26">
        <v>0</v>
      </c>
      <c r="L555" s="26">
        <v>0</v>
      </c>
      <c r="M555" s="26">
        <v>0</v>
      </c>
    </row>
    <row r="556" spans="1:13">
      <c r="A556" s="24" t="s">
        <v>351</v>
      </c>
      <c r="B556" s="24" t="s">
        <v>324</v>
      </c>
      <c r="C556" s="25">
        <v>45689</v>
      </c>
      <c r="D556" s="24" t="s">
        <v>2658</v>
      </c>
      <c r="E556" s="26">
        <v>0</v>
      </c>
      <c r="F556" s="26">
        <v>0</v>
      </c>
      <c r="G556" s="26">
        <v>0</v>
      </c>
      <c r="H556" s="26">
        <v>0</v>
      </c>
      <c r="I556" s="26">
        <v>0</v>
      </c>
      <c r="J556" s="26">
        <v>0</v>
      </c>
      <c r="K556" s="26">
        <v>0</v>
      </c>
      <c r="L556" s="26">
        <v>0</v>
      </c>
      <c r="M556" s="26">
        <v>0</v>
      </c>
    </row>
    <row r="557" spans="1:13">
      <c r="A557" s="24" t="s">
        <v>351</v>
      </c>
      <c r="B557" s="24" t="s">
        <v>324</v>
      </c>
      <c r="C557" s="25">
        <v>45717</v>
      </c>
      <c r="D557" s="24" t="s">
        <v>2659</v>
      </c>
      <c r="E557" s="26">
        <v>0</v>
      </c>
      <c r="F557" s="26">
        <v>0</v>
      </c>
      <c r="G557" s="26">
        <v>0</v>
      </c>
      <c r="H557" s="26">
        <v>0</v>
      </c>
      <c r="I557" s="26">
        <v>0</v>
      </c>
      <c r="J557" s="26">
        <v>0</v>
      </c>
      <c r="K557" s="26">
        <v>0</v>
      </c>
      <c r="L557" s="26">
        <v>0</v>
      </c>
      <c r="M557" s="26">
        <v>0</v>
      </c>
    </row>
    <row r="558" spans="1:13">
      <c r="A558" s="24" t="s">
        <v>351</v>
      </c>
      <c r="B558" s="24" t="s">
        <v>324</v>
      </c>
      <c r="C558" s="25">
        <v>45748</v>
      </c>
      <c r="D558" s="24" t="s">
        <v>2660</v>
      </c>
      <c r="E558" s="26">
        <v>0</v>
      </c>
      <c r="F558" s="26">
        <v>0</v>
      </c>
      <c r="G558" s="26">
        <v>0</v>
      </c>
      <c r="H558" s="26">
        <v>0</v>
      </c>
      <c r="I558" s="26">
        <v>0</v>
      </c>
      <c r="J558" s="26">
        <v>0</v>
      </c>
      <c r="K558" s="26">
        <v>0</v>
      </c>
      <c r="L558" s="26">
        <v>0</v>
      </c>
      <c r="M558" s="26">
        <v>0</v>
      </c>
    </row>
    <row r="559" spans="1:13">
      <c r="A559" s="24" t="s">
        <v>351</v>
      </c>
      <c r="B559" s="24" t="s">
        <v>324</v>
      </c>
      <c r="C559" s="25">
        <v>45778</v>
      </c>
      <c r="D559" s="24" t="s">
        <v>2661</v>
      </c>
      <c r="E559" s="26">
        <v>0</v>
      </c>
      <c r="F559" s="26">
        <v>0</v>
      </c>
      <c r="G559" s="26">
        <v>0</v>
      </c>
      <c r="H559" s="26">
        <v>0</v>
      </c>
      <c r="I559" s="26">
        <v>0</v>
      </c>
      <c r="J559" s="26">
        <v>0</v>
      </c>
      <c r="K559" s="26">
        <v>0</v>
      </c>
      <c r="L559" s="26">
        <v>0</v>
      </c>
      <c r="M559" s="26">
        <v>0</v>
      </c>
    </row>
    <row r="560" spans="1:13">
      <c r="A560" s="24" t="s">
        <v>351</v>
      </c>
      <c r="B560" s="24" t="s">
        <v>324</v>
      </c>
      <c r="C560" s="25">
        <v>45809</v>
      </c>
      <c r="D560" s="24" t="s">
        <v>2662</v>
      </c>
      <c r="E560" s="26">
        <v>0</v>
      </c>
      <c r="F560" s="26">
        <v>0</v>
      </c>
      <c r="G560" s="26">
        <v>0</v>
      </c>
      <c r="H560" s="26">
        <v>0</v>
      </c>
      <c r="I560" s="26">
        <v>0</v>
      </c>
      <c r="J560" s="26">
        <v>0</v>
      </c>
      <c r="K560" s="26">
        <v>0</v>
      </c>
      <c r="L560" s="26">
        <v>0</v>
      </c>
      <c r="M560" s="26">
        <v>0</v>
      </c>
    </row>
    <row r="561" spans="1:13">
      <c r="A561" s="24" t="s">
        <v>351</v>
      </c>
      <c r="B561" s="24" t="s">
        <v>324</v>
      </c>
      <c r="C561" s="25">
        <v>45839</v>
      </c>
      <c r="D561" s="24" t="s">
        <v>2663</v>
      </c>
      <c r="E561" s="26">
        <v>0</v>
      </c>
      <c r="F561" s="26">
        <v>0</v>
      </c>
      <c r="G561" s="26">
        <v>13432.16</v>
      </c>
      <c r="H561" s="26">
        <v>13432.16</v>
      </c>
      <c r="I561" s="26">
        <v>0</v>
      </c>
      <c r="J561" s="26">
        <v>0</v>
      </c>
      <c r="K561" s="26">
        <v>0</v>
      </c>
      <c r="L561" s="26">
        <v>13432.16</v>
      </c>
      <c r="M561" s="26">
        <v>0</v>
      </c>
    </row>
    <row r="562" spans="1:13">
      <c r="A562" s="24" t="s">
        <v>351</v>
      </c>
      <c r="B562" s="24" t="s">
        <v>324</v>
      </c>
      <c r="C562" s="25">
        <v>45870</v>
      </c>
      <c r="D562" s="24" t="s">
        <v>2664</v>
      </c>
      <c r="E562" s="26">
        <v>0</v>
      </c>
      <c r="F562" s="26">
        <v>0</v>
      </c>
      <c r="G562" s="26">
        <v>45446.82</v>
      </c>
      <c r="H562" s="26">
        <v>45446.82</v>
      </c>
      <c r="I562" s="26">
        <v>0</v>
      </c>
      <c r="J562" s="26">
        <v>0</v>
      </c>
      <c r="K562" s="26">
        <v>0</v>
      </c>
      <c r="L562" s="26">
        <v>45446.82</v>
      </c>
      <c r="M562" s="26">
        <v>0</v>
      </c>
    </row>
    <row r="563" spans="1:13">
      <c r="A563" s="24" t="s">
        <v>351</v>
      </c>
      <c r="B563" s="24" t="s">
        <v>324</v>
      </c>
      <c r="C563" s="25">
        <v>45901</v>
      </c>
      <c r="D563" s="24" t="s">
        <v>2665</v>
      </c>
      <c r="E563" s="26">
        <v>0</v>
      </c>
      <c r="F563" s="26">
        <v>0</v>
      </c>
      <c r="G563" s="26">
        <v>82333.440000000002</v>
      </c>
      <c r="H563" s="26">
        <v>82333.440000000002</v>
      </c>
      <c r="I563" s="26">
        <v>0</v>
      </c>
      <c r="J563" s="26">
        <v>0</v>
      </c>
      <c r="K563" s="26">
        <v>0</v>
      </c>
      <c r="L563" s="26">
        <v>82333.440000000002</v>
      </c>
      <c r="M563" s="26">
        <v>0</v>
      </c>
    </row>
    <row r="564" spans="1:13">
      <c r="A564" s="24" t="s">
        <v>351</v>
      </c>
      <c r="B564" s="24" t="s">
        <v>324</v>
      </c>
      <c r="C564" s="25">
        <v>45931</v>
      </c>
      <c r="D564" s="24" t="s">
        <v>2666</v>
      </c>
      <c r="E564" s="26">
        <v>0</v>
      </c>
      <c r="F564" s="26">
        <v>0</v>
      </c>
      <c r="G564" s="26">
        <v>82333.440000000002</v>
      </c>
      <c r="H564" s="26">
        <v>82333.440000000002</v>
      </c>
      <c r="I564" s="26">
        <v>0</v>
      </c>
      <c r="J564" s="26">
        <v>0</v>
      </c>
      <c r="K564" s="26">
        <v>0</v>
      </c>
      <c r="L564" s="26">
        <v>82333.440000000002</v>
      </c>
      <c r="M564" s="26">
        <v>0</v>
      </c>
    </row>
    <row r="565" spans="1:13">
      <c r="A565" s="24" t="s">
        <v>351</v>
      </c>
      <c r="B565" s="24" t="s">
        <v>324</v>
      </c>
      <c r="C565" s="25">
        <v>45962</v>
      </c>
      <c r="D565" s="24" t="s">
        <v>2667</v>
      </c>
      <c r="E565" s="26">
        <v>0</v>
      </c>
      <c r="F565" s="26">
        <v>0</v>
      </c>
      <c r="G565" s="26">
        <v>82333.440000000002</v>
      </c>
      <c r="H565" s="26">
        <v>82333.440000000002</v>
      </c>
      <c r="I565" s="26">
        <v>0</v>
      </c>
      <c r="J565" s="26">
        <v>183948.04</v>
      </c>
      <c r="K565" s="26">
        <v>183948.04</v>
      </c>
      <c r="L565" s="26">
        <v>82333.440000000002</v>
      </c>
      <c r="M565" s="26">
        <v>-183948.04</v>
      </c>
    </row>
    <row r="566" spans="1:13">
      <c r="A566" s="24" t="s">
        <v>351</v>
      </c>
      <c r="B566" s="24" t="s">
        <v>324</v>
      </c>
      <c r="C566" s="25">
        <v>45992</v>
      </c>
      <c r="D566" s="24" t="s">
        <v>2668</v>
      </c>
      <c r="E566" s="26">
        <v>-36533.589999999997</v>
      </c>
      <c r="F566" s="26">
        <v>0</v>
      </c>
      <c r="G566" s="26">
        <v>102366.3</v>
      </c>
      <c r="H566" s="26">
        <v>65832.710000000006</v>
      </c>
      <c r="I566" s="26">
        <v>0</v>
      </c>
      <c r="J566" s="26">
        <v>163915.18</v>
      </c>
      <c r="K566" s="26">
        <v>163915.18</v>
      </c>
      <c r="L566" s="26">
        <v>65832.710000000006</v>
      </c>
      <c r="M566" s="26">
        <v>-163915.18</v>
      </c>
    </row>
    <row r="567" spans="1:13">
      <c r="A567" s="24" t="s">
        <v>91</v>
      </c>
      <c r="B567" s="24" t="s">
        <v>318</v>
      </c>
      <c r="C567" s="25">
        <v>45658</v>
      </c>
      <c r="D567" s="24" t="s">
        <v>2657</v>
      </c>
      <c r="E567" s="26">
        <v>0</v>
      </c>
      <c r="F567" s="26">
        <v>0</v>
      </c>
      <c r="G567" s="26">
        <v>0</v>
      </c>
      <c r="H567" s="26">
        <v>0</v>
      </c>
      <c r="I567" s="26">
        <v>0</v>
      </c>
      <c r="J567" s="26">
        <v>0</v>
      </c>
      <c r="K567" s="26">
        <v>0</v>
      </c>
      <c r="L567" s="26">
        <v>0</v>
      </c>
      <c r="M567" s="26">
        <v>0</v>
      </c>
    </row>
    <row r="568" spans="1:13">
      <c r="A568" s="24" t="s">
        <v>91</v>
      </c>
      <c r="B568" s="24" t="s">
        <v>318</v>
      </c>
      <c r="C568" s="25">
        <v>45689</v>
      </c>
      <c r="D568" s="24" t="s">
        <v>2658</v>
      </c>
      <c r="E568" s="26">
        <v>0</v>
      </c>
      <c r="F568" s="26">
        <v>0</v>
      </c>
      <c r="G568" s="26">
        <v>0</v>
      </c>
      <c r="H568" s="26">
        <v>0</v>
      </c>
      <c r="I568" s="26">
        <v>0</v>
      </c>
      <c r="J568" s="26">
        <v>0</v>
      </c>
      <c r="K568" s="26">
        <v>0</v>
      </c>
      <c r="L568" s="26">
        <v>0</v>
      </c>
      <c r="M568" s="26">
        <v>0</v>
      </c>
    </row>
    <row r="569" spans="1:13">
      <c r="A569" s="24" t="s">
        <v>91</v>
      </c>
      <c r="B569" s="24" t="s">
        <v>318</v>
      </c>
      <c r="C569" s="25">
        <v>45717</v>
      </c>
      <c r="D569" s="24" t="s">
        <v>2659</v>
      </c>
      <c r="E569" s="26">
        <v>0</v>
      </c>
      <c r="F569" s="26">
        <v>0</v>
      </c>
      <c r="G569" s="26">
        <v>0</v>
      </c>
      <c r="H569" s="26">
        <v>0</v>
      </c>
      <c r="I569" s="26">
        <v>0</v>
      </c>
      <c r="J569" s="26">
        <v>0</v>
      </c>
      <c r="K569" s="26">
        <v>0</v>
      </c>
      <c r="L569" s="26">
        <v>0</v>
      </c>
      <c r="M569" s="26">
        <v>0</v>
      </c>
    </row>
    <row r="570" spans="1:13">
      <c r="A570" s="24" t="s">
        <v>91</v>
      </c>
      <c r="B570" s="24" t="s">
        <v>318</v>
      </c>
      <c r="C570" s="25">
        <v>45748</v>
      </c>
      <c r="D570" s="24" t="s">
        <v>2660</v>
      </c>
      <c r="E570" s="26">
        <v>0</v>
      </c>
      <c r="F570" s="26">
        <v>0</v>
      </c>
      <c r="G570" s="26">
        <v>0</v>
      </c>
      <c r="H570" s="26">
        <v>0</v>
      </c>
      <c r="I570" s="26">
        <v>0</v>
      </c>
      <c r="J570" s="26">
        <v>0</v>
      </c>
      <c r="K570" s="26">
        <v>0</v>
      </c>
      <c r="L570" s="26">
        <v>0</v>
      </c>
      <c r="M570" s="26">
        <v>0</v>
      </c>
    </row>
    <row r="571" spans="1:13">
      <c r="A571" s="24" t="s">
        <v>91</v>
      </c>
      <c r="B571" s="24" t="s">
        <v>318</v>
      </c>
      <c r="C571" s="25">
        <v>45778</v>
      </c>
      <c r="D571" s="24" t="s">
        <v>2661</v>
      </c>
      <c r="E571" s="26">
        <v>0</v>
      </c>
      <c r="F571" s="26">
        <v>0</v>
      </c>
      <c r="G571" s="26">
        <v>0</v>
      </c>
      <c r="H571" s="26">
        <v>0</v>
      </c>
      <c r="I571" s="26">
        <v>0</v>
      </c>
      <c r="J571" s="26">
        <v>0</v>
      </c>
      <c r="K571" s="26">
        <v>0</v>
      </c>
      <c r="L571" s="26">
        <v>0</v>
      </c>
      <c r="M571" s="26">
        <v>0</v>
      </c>
    </row>
    <row r="572" spans="1:13">
      <c r="A572" s="24" t="s">
        <v>91</v>
      </c>
      <c r="B572" s="24" t="s">
        <v>318</v>
      </c>
      <c r="C572" s="25">
        <v>45809</v>
      </c>
      <c r="D572" s="24" t="s">
        <v>2662</v>
      </c>
      <c r="E572" s="26">
        <v>0</v>
      </c>
      <c r="F572" s="26">
        <v>0</v>
      </c>
      <c r="G572" s="26">
        <v>0</v>
      </c>
      <c r="H572" s="26">
        <v>0</v>
      </c>
      <c r="I572" s="26">
        <v>0</v>
      </c>
      <c r="J572" s="26">
        <v>0</v>
      </c>
      <c r="K572" s="26">
        <v>0</v>
      </c>
      <c r="L572" s="26">
        <v>0</v>
      </c>
      <c r="M572" s="26">
        <v>0</v>
      </c>
    </row>
    <row r="573" spans="1:13">
      <c r="A573" s="24" t="s">
        <v>91</v>
      </c>
      <c r="B573" s="24" t="s">
        <v>318</v>
      </c>
      <c r="C573" s="25">
        <v>45839</v>
      </c>
      <c r="D573" s="24" t="s">
        <v>2663</v>
      </c>
      <c r="E573" s="26">
        <v>-73937.539999999994</v>
      </c>
      <c r="F573" s="26">
        <v>0</v>
      </c>
      <c r="G573" s="26">
        <v>0</v>
      </c>
      <c r="H573" s="26">
        <v>-73937.539999999994</v>
      </c>
      <c r="I573" s="26">
        <v>0</v>
      </c>
      <c r="J573" s="26">
        <v>0</v>
      </c>
      <c r="K573" s="26">
        <v>0</v>
      </c>
      <c r="L573" s="26">
        <v>-73937.539999999994</v>
      </c>
      <c r="M573" s="26">
        <v>0</v>
      </c>
    </row>
    <row r="574" spans="1:13">
      <c r="A574" s="24" t="s">
        <v>91</v>
      </c>
      <c r="B574" s="24" t="s">
        <v>318</v>
      </c>
      <c r="C574" s="25">
        <v>45870</v>
      </c>
      <c r="D574" s="24" t="s">
        <v>2664</v>
      </c>
      <c r="E574" s="26">
        <v>-73937.539999999994</v>
      </c>
      <c r="F574" s="26">
        <v>0</v>
      </c>
      <c r="G574" s="26">
        <v>18521.07</v>
      </c>
      <c r="H574" s="26">
        <v>-55416.469999999987</v>
      </c>
      <c r="I574" s="26">
        <v>0</v>
      </c>
      <c r="J574" s="26">
        <v>0</v>
      </c>
      <c r="K574" s="26">
        <v>0</v>
      </c>
      <c r="L574" s="26">
        <v>-55416.469999999987</v>
      </c>
      <c r="M574" s="26">
        <v>0</v>
      </c>
    </row>
    <row r="575" spans="1:13">
      <c r="A575" s="24" t="s">
        <v>91</v>
      </c>
      <c r="B575" s="24" t="s">
        <v>318</v>
      </c>
      <c r="C575" s="25">
        <v>45901</v>
      </c>
      <c r="D575" s="24" t="s">
        <v>2665</v>
      </c>
      <c r="E575" s="26">
        <v>-86853.97</v>
      </c>
      <c r="F575" s="26">
        <v>0</v>
      </c>
      <c r="G575" s="26">
        <v>47529.89</v>
      </c>
      <c r="H575" s="26">
        <v>-39324.080000000002</v>
      </c>
      <c r="I575" s="26">
        <v>12916.43</v>
      </c>
      <c r="J575" s="26">
        <v>0</v>
      </c>
      <c r="K575" s="26">
        <v>12916.43</v>
      </c>
      <c r="L575" s="26">
        <v>-39324.079999999987</v>
      </c>
      <c r="M575" s="26">
        <v>-12916.430000000009</v>
      </c>
    </row>
    <row r="576" spans="1:13">
      <c r="A576" s="24" t="s">
        <v>91</v>
      </c>
      <c r="B576" s="24" t="s">
        <v>318</v>
      </c>
      <c r="C576" s="25">
        <v>45931</v>
      </c>
      <c r="D576" s="24" t="s">
        <v>2666</v>
      </c>
      <c r="E576" s="26">
        <v>-198903.87</v>
      </c>
      <c r="F576" s="26">
        <v>55845.43</v>
      </c>
      <c r="G576" s="26">
        <v>12993.71</v>
      </c>
      <c r="H576" s="26">
        <v>-130064.73</v>
      </c>
      <c r="I576" s="26">
        <v>124966.33</v>
      </c>
      <c r="J576" s="26">
        <v>87908.42</v>
      </c>
      <c r="K576" s="26">
        <v>212874.75</v>
      </c>
      <c r="L576" s="26">
        <v>-130064.73</v>
      </c>
      <c r="M576" s="26">
        <v>-212874.75</v>
      </c>
    </row>
    <row r="577" spans="1:13">
      <c r="A577" s="24" t="s">
        <v>91</v>
      </c>
      <c r="B577" s="24" t="s">
        <v>318</v>
      </c>
      <c r="C577" s="25">
        <v>45962</v>
      </c>
      <c r="D577" s="24" t="s">
        <v>2667</v>
      </c>
      <c r="E577" s="26">
        <v>-198903.87</v>
      </c>
      <c r="F577" s="26">
        <v>55845.43</v>
      </c>
      <c r="G577" s="26">
        <v>37350.15</v>
      </c>
      <c r="H577" s="26">
        <v>-105708.29</v>
      </c>
      <c r="I577" s="26">
        <v>124966.33</v>
      </c>
      <c r="J577" s="26">
        <v>140175.82999999999</v>
      </c>
      <c r="K577" s="26">
        <v>265142.15999999997</v>
      </c>
      <c r="L577" s="26">
        <v>-105708.29</v>
      </c>
      <c r="M577" s="26">
        <v>-265142.16000000009</v>
      </c>
    </row>
    <row r="578" spans="1:13">
      <c r="A578" s="24" t="s">
        <v>91</v>
      </c>
      <c r="B578" s="24" t="s">
        <v>318</v>
      </c>
      <c r="C578" s="25">
        <v>45992</v>
      </c>
      <c r="D578" s="24" t="s">
        <v>2668</v>
      </c>
      <c r="E578" s="26">
        <v>-198903.87</v>
      </c>
      <c r="F578" s="26">
        <v>55845.43</v>
      </c>
      <c r="G578" s="26">
        <v>37350.15</v>
      </c>
      <c r="H578" s="26">
        <v>-105708.29</v>
      </c>
      <c r="I578" s="26">
        <v>124966.33</v>
      </c>
      <c r="J578" s="26">
        <v>140175.82999999999</v>
      </c>
      <c r="K578" s="26">
        <v>265142.15999999997</v>
      </c>
      <c r="L578" s="26">
        <v>-105708.29</v>
      </c>
      <c r="M578" s="26">
        <v>-265142.16000000009</v>
      </c>
    </row>
    <row r="579" spans="1:13">
      <c r="A579" s="24" t="s">
        <v>67</v>
      </c>
      <c r="B579" s="24" t="s">
        <v>337</v>
      </c>
      <c r="C579" s="25">
        <v>45658</v>
      </c>
      <c r="D579" s="24" t="s">
        <v>2657</v>
      </c>
      <c r="E579" s="26">
        <v>0</v>
      </c>
      <c r="F579" s="26">
        <v>0</v>
      </c>
      <c r="G579" s="26">
        <v>0</v>
      </c>
      <c r="H579" s="26">
        <v>0</v>
      </c>
      <c r="I579" s="26">
        <v>0</v>
      </c>
      <c r="J579" s="26">
        <v>0</v>
      </c>
      <c r="K579" s="26">
        <v>0</v>
      </c>
      <c r="L579" s="26">
        <v>0</v>
      </c>
      <c r="M579" s="26">
        <v>0</v>
      </c>
    </row>
    <row r="580" spans="1:13">
      <c r="A580" s="24" t="s">
        <v>67</v>
      </c>
      <c r="B580" s="24" t="s">
        <v>337</v>
      </c>
      <c r="C580" s="25">
        <v>45689</v>
      </c>
      <c r="D580" s="24" t="s">
        <v>2658</v>
      </c>
      <c r="E580" s="26">
        <v>0</v>
      </c>
      <c r="F580" s="26">
        <v>0</v>
      </c>
      <c r="G580" s="26">
        <v>0</v>
      </c>
      <c r="H580" s="26">
        <v>0</v>
      </c>
      <c r="I580" s="26">
        <v>0</v>
      </c>
      <c r="J580" s="26">
        <v>0</v>
      </c>
      <c r="K580" s="26">
        <v>0</v>
      </c>
      <c r="L580" s="26">
        <v>0</v>
      </c>
      <c r="M580" s="26">
        <v>0</v>
      </c>
    </row>
    <row r="581" spans="1:13">
      <c r="A581" s="24" t="s">
        <v>67</v>
      </c>
      <c r="B581" s="24" t="s">
        <v>337</v>
      </c>
      <c r="C581" s="25">
        <v>45717</v>
      </c>
      <c r="D581" s="24" t="s">
        <v>2659</v>
      </c>
      <c r="E581" s="26">
        <v>0</v>
      </c>
      <c r="F581" s="26">
        <v>0</v>
      </c>
      <c r="G581" s="26">
        <v>0</v>
      </c>
      <c r="H581" s="26">
        <v>0</v>
      </c>
      <c r="I581" s="26">
        <v>0</v>
      </c>
      <c r="J581" s="26">
        <v>0</v>
      </c>
      <c r="K581" s="26">
        <v>0</v>
      </c>
      <c r="L581" s="26">
        <v>0</v>
      </c>
      <c r="M581" s="26">
        <v>0</v>
      </c>
    </row>
    <row r="582" spans="1:13">
      <c r="A582" s="24" t="s">
        <v>67</v>
      </c>
      <c r="B582" s="24" t="s">
        <v>337</v>
      </c>
      <c r="C582" s="25">
        <v>45748</v>
      </c>
      <c r="D582" s="24" t="s">
        <v>2660</v>
      </c>
      <c r="E582" s="26">
        <v>0</v>
      </c>
      <c r="F582" s="26">
        <v>0</v>
      </c>
      <c r="G582" s="26">
        <v>0</v>
      </c>
      <c r="H582" s="26">
        <v>0</v>
      </c>
      <c r="I582" s="26">
        <v>0</v>
      </c>
      <c r="J582" s="26">
        <v>0</v>
      </c>
      <c r="K582" s="26">
        <v>0</v>
      </c>
      <c r="L582" s="26">
        <v>0</v>
      </c>
      <c r="M582" s="26">
        <v>0</v>
      </c>
    </row>
    <row r="583" spans="1:13">
      <c r="A583" s="24" t="s">
        <v>67</v>
      </c>
      <c r="B583" s="24" t="s">
        <v>337</v>
      </c>
      <c r="C583" s="25">
        <v>45778</v>
      </c>
      <c r="D583" s="24" t="s">
        <v>2661</v>
      </c>
      <c r="E583" s="26">
        <v>0</v>
      </c>
      <c r="F583" s="26">
        <v>0</v>
      </c>
      <c r="G583" s="26">
        <v>0</v>
      </c>
      <c r="H583" s="26">
        <v>0</v>
      </c>
      <c r="I583" s="26">
        <v>0</v>
      </c>
      <c r="J583" s="26">
        <v>0</v>
      </c>
      <c r="K583" s="26">
        <v>0</v>
      </c>
      <c r="L583" s="26">
        <v>0</v>
      </c>
      <c r="M583" s="26">
        <v>0</v>
      </c>
    </row>
    <row r="584" spans="1:13">
      <c r="A584" s="24" t="s">
        <v>67</v>
      </c>
      <c r="B584" s="24" t="s">
        <v>337</v>
      </c>
      <c r="C584" s="25">
        <v>45809</v>
      </c>
      <c r="D584" s="24" t="s">
        <v>2662</v>
      </c>
      <c r="E584" s="26">
        <v>0</v>
      </c>
      <c r="F584" s="26">
        <v>0</v>
      </c>
      <c r="G584" s="26">
        <v>0</v>
      </c>
      <c r="H584" s="26">
        <v>0</v>
      </c>
      <c r="I584" s="26">
        <v>0</v>
      </c>
      <c r="J584" s="26">
        <v>0</v>
      </c>
      <c r="K584" s="26">
        <v>0</v>
      </c>
      <c r="L584" s="26">
        <v>0</v>
      </c>
      <c r="M584" s="26">
        <v>0</v>
      </c>
    </row>
    <row r="585" spans="1:13">
      <c r="A585" s="24" t="s">
        <v>67</v>
      </c>
      <c r="B585" s="24" t="s">
        <v>337</v>
      </c>
      <c r="C585" s="25">
        <v>45839</v>
      </c>
      <c r="D585" s="24" t="s">
        <v>2663</v>
      </c>
      <c r="E585" s="26">
        <v>0</v>
      </c>
      <c r="F585" s="26">
        <v>0</v>
      </c>
      <c r="G585" s="26">
        <v>20713.259999999998</v>
      </c>
      <c r="H585" s="26">
        <v>20713.259999999998</v>
      </c>
      <c r="I585" s="26">
        <v>0</v>
      </c>
      <c r="J585" s="26">
        <v>0</v>
      </c>
      <c r="K585" s="26">
        <v>0</v>
      </c>
      <c r="L585" s="26">
        <v>20713.259999999998</v>
      </c>
      <c r="M585" s="26">
        <v>0</v>
      </c>
    </row>
    <row r="586" spans="1:13">
      <c r="A586" s="24" t="s">
        <v>67</v>
      </c>
      <c r="B586" s="24" t="s">
        <v>337</v>
      </c>
      <c r="C586" s="25">
        <v>45870</v>
      </c>
      <c r="D586" s="24" t="s">
        <v>2664</v>
      </c>
      <c r="E586" s="26">
        <v>0</v>
      </c>
      <c r="F586" s="26">
        <v>0</v>
      </c>
      <c r="G586" s="26">
        <v>42976.759999999987</v>
      </c>
      <c r="H586" s="26">
        <v>42976.759999999987</v>
      </c>
      <c r="I586" s="26">
        <v>0</v>
      </c>
      <c r="J586" s="26">
        <v>0</v>
      </c>
      <c r="K586" s="26">
        <v>0</v>
      </c>
      <c r="L586" s="26">
        <v>42976.759999999987</v>
      </c>
      <c r="M586" s="26">
        <v>0</v>
      </c>
    </row>
    <row r="587" spans="1:13">
      <c r="A587" s="24" t="s">
        <v>67</v>
      </c>
      <c r="B587" s="24" t="s">
        <v>337</v>
      </c>
      <c r="C587" s="25">
        <v>45901</v>
      </c>
      <c r="D587" s="24" t="s">
        <v>2665</v>
      </c>
      <c r="E587" s="26">
        <v>0</v>
      </c>
      <c r="F587" s="26">
        <v>0</v>
      </c>
      <c r="G587" s="26">
        <v>42976.759999999987</v>
      </c>
      <c r="H587" s="26">
        <v>42976.759999999987</v>
      </c>
      <c r="I587" s="26">
        <v>0</v>
      </c>
      <c r="J587" s="26">
        <v>0</v>
      </c>
      <c r="K587" s="26">
        <v>0</v>
      </c>
      <c r="L587" s="26">
        <v>42976.759999999987</v>
      </c>
      <c r="M587" s="26">
        <v>0</v>
      </c>
    </row>
    <row r="588" spans="1:13">
      <c r="A588" s="24" t="s">
        <v>67</v>
      </c>
      <c r="B588" s="24" t="s">
        <v>337</v>
      </c>
      <c r="C588" s="25">
        <v>45931</v>
      </c>
      <c r="D588" s="24" t="s">
        <v>2666</v>
      </c>
      <c r="E588" s="26">
        <v>0</v>
      </c>
      <c r="F588" s="26">
        <v>0</v>
      </c>
      <c r="G588" s="26">
        <v>0</v>
      </c>
      <c r="H588" s="26">
        <v>0</v>
      </c>
      <c r="I588" s="26">
        <v>0</v>
      </c>
      <c r="J588" s="26">
        <v>0</v>
      </c>
      <c r="K588" s="26">
        <v>0</v>
      </c>
      <c r="L588" s="26">
        <v>60466.87999999999</v>
      </c>
      <c r="M588" s="26">
        <v>-60466.87999999999</v>
      </c>
    </row>
    <row r="589" spans="1:13">
      <c r="A589" s="24" t="s">
        <v>67</v>
      </c>
      <c r="B589" s="24" t="s">
        <v>337</v>
      </c>
      <c r="C589" s="25">
        <v>45962</v>
      </c>
      <c r="D589" s="24" t="s">
        <v>2667</v>
      </c>
      <c r="E589" s="26">
        <v>0</v>
      </c>
      <c r="F589" s="26">
        <v>0</v>
      </c>
      <c r="G589" s="26">
        <v>0</v>
      </c>
      <c r="H589" s="26">
        <v>0</v>
      </c>
      <c r="I589" s="26">
        <v>0</v>
      </c>
      <c r="J589" s="26">
        <v>0</v>
      </c>
      <c r="K589" s="26">
        <v>0</v>
      </c>
      <c r="L589" s="26">
        <v>60466.87999999999</v>
      </c>
      <c r="M589" s="26">
        <v>-60466.87999999999</v>
      </c>
    </row>
    <row r="590" spans="1:13">
      <c r="A590" s="24" t="s">
        <v>67</v>
      </c>
      <c r="B590" s="24" t="s">
        <v>337</v>
      </c>
      <c r="C590" s="25">
        <v>45992</v>
      </c>
      <c r="D590" s="24" t="s">
        <v>2668</v>
      </c>
      <c r="E590" s="26">
        <v>0</v>
      </c>
      <c r="F590" s="26">
        <v>0</v>
      </c>
      <c r="G590" s="26">
        <v>0</v>
      </c>
      <c r="H590" s="26">
        <v>0</v>
      </c>
      <c r="I590" s="26">
        <v>0</v>
      </c>
      <c r="J590" s="26">
        <v>0</v>
      </c>
      <c r="K590" s="26">
        <v>0</v>
      </c>
      <c r="L590" s="26">
        <v>60466.87999999999</v>
      </c>
      <c r="M590" s="26">
        <v>-60466.87999999999</v>
      </c>
    </row>
    <row r="591" spans="1:13">
      <c r="A591" s="24" t="s">
        <v>159</v>
      </c>
      <c r="B591" s="24" t="s">
        <v>337</v>
      </c>
      <c r="C591" s="25">
        <v>45658</v>
      </c>
      <c r="D591" s="24" t="s">
        <v>2657</v>
      </c>
      <c r="E591" s="26">
        <v>0</v>
      </c>
      <c r="F591" s="26">
        <v>0</v>
      </c>
      <c r="G591" s="26">
        <v>0</v>
      </c>
      <c r="H591" s="26">
        <v>0</v>
      </c>
      <c r="I591" s="26">
        <v>0</v>
      </c>
      <c r="J591" s="26">
        <v>0</v>
      </c>
      <c r="K591" s="26">
        <v>0</v>
      </c>
      <c r="L591" s="26">
        <v>0</v>
      </c>
      <c r="M591" s="26">
        <v>0</v>
      </c>
    </row>
    <row r="592" spans="1:13">
      <c r="A592" s="24" t="s">
        <v>159</v>
      </c>
      <c r="B592" s="24" t="s">
        <v>337</v>
      </c>
      <c r="C592" s="25">
        <v>45689</v>
      </c>
      <c r="D592" s="24" t="s">
        <v>2658</v>
      </c>
      <c r="E592" s="26">
        <v>0</v>
      </c>
      <c r="F592" s="26">
        <v>0</v>
      </c>
      <c r="G592" s="26">
        <v>0</v>
      </c>
      <c r="H592" s="26">
        <v>0</v>
      </c>
      <c r="I592" s="26">
        <v>0</v>
      </c>
      <c r="J592" s="26">
        <v>0</v>
      </c>
      <c r="K592" s="26">
        <v>0</v>
      </c>
      <c r="L592" s="26">
        <v>0</v>
      </c>
      <c r="M592" s="26">
        <v>0</v>
      </c>
    </row>
    <row r="593" spans="1:13">
      <c r="A593" s="24" t="s">
        <v>159</v>
      </c>
      <c r="B593" s="24" t="s">
        <v>337</v>
      </c>
      <c r="C593" s="25">
        <v>45717</v>
      </c>
      <c r="D593" s="24" t="s">
        <v>2659</v>
      </c>
      <c r="E593" s="26">
        <v>0</v>
      </c>
      <c r="F593" s="26">
        <v>0</v>
      </c>
      <c r="G593" s="26">
        <v>0</v>
      </c>
      <c r="H593" s="26">
        <v>0</v>
      </c>
      <c r="I593" s="26">
        <v>0</v>
      </c>
      <c r="J593" s="26">
        <v>0</v>
      </c>
      <c r="K593" s="26">
        <v>0</v>
      </c>
      <c r="L593" s="26">
        <v>0</v>
      </c>
      <c r="M593" s="26">
        <v>0</v>
      </c>
    </row>
    <row r="594" spans="1:13">
      <c r="A594" s="24" t="s">
        <v>159</v>
      </c>
      <c r="B594" s="24" t="s">
        <v>337</v>
      </c>
      <c r="C594" s="25">
        <v>45748</v>
      </c>
      <c r="D594" s="24" t="s">
        <v>2660</v>
      </c>
      <c r="E594" s="26">
        <v>0</v>
      </c>
      <c r="F594" s="26">
        <v>0</v>
      </c>
      <c r="G594" s="26">
        <v>0</v>
      </c>
      <c r="H594" s="26">
        <v>0</v>
      </c>
      <c r="I594" s="26">
        <v>0</v>
      </c>
      <c r="J594" s="26">
        <v>0</v>
      </c>
      <c r="K594" s="26">
        <v>0</v>
      </c>
      <c r="L594" s="26">
        <v>0</v>
      </c>
      <c r="M594" s="26">
        <v>0</v>
      </c>
    </row>
    <row r="595" spans="1:13">
      <c r="A595" s="24" t="s">
        <v>159</v>
      </c>
      <c r="B595" s="24" t="s">
        <v>337</v>
      </c>
      <c r="C595" s="25">
        <v>45778</v>
      </c>
      <c r="D595" s="24" t="s">
        <v>2661</v>
      </c>
      <c r="E595" s="26">
        <v>0</v>
      </c>
      <c r="F595" s="26">
        <v>0</v>
      </c>
      <c r="G595" s="26">
        <v>0</v>
      </c>
      <c r="H595" s="26">
        <v>0</v>
      </c>
      <c r="I595" s="26">
        <v>0</v>
      </c>
      <c r="J595" s="26">
        <v>0</v>
      </c>
      <c r="K595" s="26">
        <v>0</v>
      </c>
      <c r="L595" s="26">
        <v>0</v>
      </c>
      <c r="M595" s="26">
        <v>0</v>
      </c>
    </row>
    <row r="596" spans="1:13">
      <c r="A596" s="24" t="s">
        <v>159</v>
      </c>
      <c r="B596" s="24" t="s">
        <v>337</v>
      </c>
      <c r="C596" s="25">
        <v>45809</v>
      </c>
      <c r="D596" s="24" t="s">
        <v>2662</v>
      </c>
      <c r="E596" s="26">
        <v>0</v>
      </c>
      <c r="F596" s="26">
        <v>0</v>
      </c>
      <c r="G596" s="26">
        <v>0</v>
      </c>
      <c r="H596" s="26">
        <v>0</v>
      </c>
      <c r="I596" s="26">
        <v>0</v>
      </c>
      <c r="J596" s="26">
        <v>0</v>
      </c>
      <c r="K596" s="26">
        <v>0</v>
      </c>
      <c r="L596" s="26">
        <v>0</v>
      </c>
      <c r="M596" s="26">
        <v>0</v>
      </c>
    </row>
    <row r="597" spans="1:13">
      <c r="A597" s="24" t="s">
        <v>159</v>
      </c>
      <c r="B597" s="24" t="s">
        <v>337</v>
      </c>
      <c r="C597" s="25">
        <v>45839</v>
      </c>
      <c r="D597" s="24" t="s">
        <v>2663</v>
      </c>
      <c r="E597" s="26">
        <v>0</v>
      </c>
      <c r="F597" s="26">
        <v>0</v>
      </c>
      <c r="G597" s="26">
        <v>0</v>
      </c>
      <c r="H597" s="26">
        <v>0</v>
      </c>
      <c r="I597" s="26">
        <v>0</v>
      </c>
      <c r="J597" s="26">
        <v>0</v>
      </c>
      <c r="K597" s="26">
        <v>0</v>
      </c>
      <c r="L597" s="26">
        <v>0</v>
      </c>
      <c r="M597" s="26">
        <v>0</v>
      </c>
    </row>
    <row r="598" spans="1:13">
      <c r="A598" s="24" t="s">
        <v>159</v>
      </c>
      <c r="B598" s="24" t="s">
        <v>337</v>
      </c>
      <c r="C598" s="25">
        <v>45870</v>
      </c>
      <c r="D598" s="24" t="s">
        <v>2664</v>
      </c>
      <c r="E598" s="26">
        <v>0</v>
      </c>
      <c r="F598" s="26">
        <v>0</v>
      </c>
      <c r="G598" s="26">
        <v>13783.81</v>
      </c>
      <c r="H598" s="26">
        <v>13783.81</v>
      </c>
      <c r="I598" s="26">
        <v>0</v>
      </c>
      <c r="J598" s="26">
        <v>0</v>
      </c>
      <c r="K598" s="26">
        <v>0</v>
      </c>
      <c r="L598" s="26">
        <v>13783.81</v>
      </c>
      <c r="M598" s="26">
        <v>0</v>
      </c>
    </row>
    <row r="599" spans="1:13">
      <c r="A599" s="24" t="s">
        <v>159</v>
      </c>
      <c r="B599" s="24" t="s">
        <v>337</v>
      </c>
      <c r="C599" s="25">
        <v>45901</v>
      </c>
      <c r="D599" s="24" t="s">
        <v>2665</v>
      </c>
      <c r="E599" s="26">
        <v>0</v>
      </c>
      <c r="F599" s="26">
        <v>0</v>
      </c>
      <c r="G599" s="26">
        <v>0</v>
      </c>
      <c r="H599" s="26">
        <v>0</v>
      </c>
      <c r="I599" s="26">
        <v>0</v>
      </c>
      <c r="J599" s="26">
        <v>0</v>
      </c>
      <c r="K599" s="26">
        <v>0</v>
      </c>
      <c r="L599" s="26">
        <v>27891.83</v>
      </c>
      <c r="M599" s="26">
        <v>-27891.83</v>
      </c>
    </row>
    <row r="600" spans="1:13">
      <c r="A600" s="24" t="s">
        <v>159</v>
      </c>
      <c r="B600" s="24" t="s">
        <v>337</v>
      </c>
      <c r="C600" s="25">
        <v>45931</v>
      </c>
      <c r="D600" s="24" t="s">
        <v>2666</v>
      </c>
      <c r="E600" s="26">
        <v>-51659.65</v>
      </c>
      <c r="F600" s="26">
        <v>0</v>
      </c>
      <c r="G600" s="26">
        <v>5747.0500000000029</v>
      </c>
      <c r="H600" s="26">
        <v>-45912.6</v>
      </c>
      <c r="I600" s="26">
        <v>51659.65</v>
      </c>
      <c r="J600" s="26">
        <v>0</v>
      </c>
      <c r="K600" s="26">
        <v>51659.65</v>
      </c>
      <c r="L600" s="26">
        <v>-5758.9100000000026</v>
      </c>
      <c r="M600" s="26">
        <v>-91813.34</v>
      </c>
    </row>
    <row r="601" spans="1:13">
      <c r="A601" s="24" t="s">
        <v>159</v>
      </c>
      <c r="B601" s="24" t="s">
        <v>337</v>
      </c>
      <c r="C601" s="25">
        <v>45962</v>
      </c>
      <c r="D601" s="24" t="s">
        <v>2667</v>
      </c>
      <c r="E601" s="26">
        <v>-96901.92</v>
      </c>
      <c r="F601" s="26">
        <v>0</v>
      </c>
      <c r="G601" s="26">
        <v>5747.0500000000029</v>
      </c>
      <c r="H601" s="26">
        <v>-91154.87</v>
      </c>
      <c r="I601" s="26">
        <v>51659.65</v>
      </c>
      <c r="J601" s="26">
        <v>0</v>
      </c>
      <c r="K601" s="26">
        <v>51659.65</v>
      </c>
      <c r="L601" s="26">
        <v>-51001.18</v>
      </c>
      <c r="M601" s="26">
        <v>-91813.34</v>
      </c>
    </row>
    <row r="602" spans="1:13">
      <c r="A602" s="24" t="s">
        <v>159</v>
      </c>
      <c r="B602" s="24" t="s">
        <v>337</v>
      </c>
      <c r="C602" s="25">
        <v>45992</v>
      </c>
      <c r="D602" s="24" t="s">
        <v>2668</v>
      </c>
      <c r="E602" s="26">
        <v>-96901.92</v>
      </c>
      <c r="F602" s="26">
        <v>0</v>
      </c>
      <c r="G602" s="26">
        <v>5747.0500000000029</v>
      </c>
      <c r="H602" s="26">
        <v>-91154.87</v>
      </c>
      <c r="I602" s="26">
        <v>51659.65</v>
      </c>
      <c r="J602" s="26">
        <v>0</v>
      </c>
      <c r="K602" s="26">
        <v>51659.65</v>
      </c>
      <c r="L602" s="26">
        <v>-51001.18</v>
      </c>
      <c r="M602" s="26">
        <v>-91813.34</v>
      </c>
    </row>
    <row r="603" spans="1:13">
      <c r="A603" s="24" t="s">
        <v>21</v>
      </c>
      <c r="B603" s="24" t="s">
        <v>337</v>
      </c>
      <c r="C603" s="25">
        <v>45658</v>
      </c>
      <c r="D603" s="24" t="s">
        <v>2657</v>
      </c>
      <c r="E603" s="26">
        <v>0</v>
      </c>
      <c r="F603" s="26">
        <v>0</v>
      </c>
      <c r="G603" s="26">
        <v>0</v>
      </c>
      <c r="H603" s="26">
        <v>0</v>
      </c>
      <c r="I603" s="26">
        <v>0</v>
      </c>
      <c r="J603" s="26">
        <v>0</v>
      </c>
      <c r="K603" s="26">
        <v>0</v>
      </c>
      <c r="L603" s="26">
        <v>0</v>
      </c>
      <c r="M603" s="26">
        <v>0</v>
      </c>
    </row>
    <row r="604" spans="1:13">
      <c r="A604" s="24" t="s">
        <v>21</v>
      </c>
      <c r="B604" s="24" t="s">
        <v>337</v>
      </c>
      <c r="C604" s="25">
        <v>45689</v>
      </c>
      <c r="D604" s="24" t="s">
        <v>2658</v>
      </c>
      <c r="E604" s="26">
        <v>0</v>
      </c>
      <c r="F604" s="26">
        <v>0</v>
      </c>
      <c r="G604" s="26">
        <v>0</v>
      </c>
      <c r="H604" s="26">
        <v>0</v>
      </c>
      <c r="I604" s="26">
        <v>0</v>
      </c>
      <c r="J604" s="26">
        <v>0</v>
      </c>
      <c r="K604" s="26">
        <v>0</v>
      </c>
      <c r="L604" s="26">
        <v>0</v>
      </c>
      <c r="M604" s="26">
        <v>0</v>
      </c>
    </row>
    <row r="605" spans="1:13">
      <c r="A605" s="24" t="s">
        <v>21</v>
      </c>
      <c r="B605" s="24" t="s">
        <v>337</v>
      </c>
      <c r="C605" s="25">
        <v>45717</v>
      </c>
      <c r="D605" s="24" t="s">
        <v>2659</v>
      </c>
      <c r="E605" s="26">
        <v>0</v>
      </c>
      <c r="F605" s="26">
        <v>0</v>
      </c>
      <c r="G605" s="26">
        <v>0</v>
      </c>
      <c r="H605" s="26">
        <v>0</v>
      </c>
      <c r="I605" s="26">
        <v>0</v>
      </c>
      <c r="J605" s="26">
        <v>0</v>
      </c>
      <c r="K605" s="26">
        <v>0</v>
      </c>
      <c r="L605" s="26">
        <v>0</v>
      </c>
      <c r="M605" s="26">
        <v>0</v>
      </c>
    </row>
    <row r="606" spans="1:13">
      <c r="A606" s="24" t="s">
        <v>21</v>
      </c>
      <c r="B606" s="24" t="s">
        <v>337</v>
      </c>
      <c r="C606" s="25">
        <v>45748</v>
      </c>
      <c r="D606" s="24" t="s">
        <v>2660</v>
      </c>
      <c r="E606" s="26">
        <v>0</v>
      </c>
      <c r="F606" s="26">
        <v>0</v>
      </c>
      <c r="G606" s="26">
        <v>0</v>
      </c>
      <c r="H606" s="26">
        <v>0</v>
      </c>
      <c r="I606" s="26">
        <v>0</v>
      </c>
      <c r="J606" s="26">
        <v>0</v>
      </c>
      <c r="K606" s="26">
        <v>0</v>
      </c>
      <c r="L606" s="26">
        <v>0</v>
      </c>
      <c r="M606" s="26">
        <v>0</v>
      </c>
    </row>
    <row r="607" spans="1:13">
      <c r="A607" s="24" t="s">
        <v>21</v>
      </c>
      <c r="B607" s="24" t="s">
        <v>337</v>
      </c>
      <c r="C607" s="25">
        <v>45778</v>
      </c>
      <c r="D607" s="24" t="s">
        <v>2661</v>
      </c>
      <c r="E607" s="26">
        <v>0</v>
      </c>
      <c r="F607" s="26">
        <v>0</v>
      </c>
      <c r="G607" s="26">
        <v>0</v>
      </c>
      <c r="H607" s="26">
        <v>0</v>
      </c>
      <c r="I607" s="26">
        <v>0</v>
      </c>
      <c r="J607" s="26">
        <v>0</v>
      </c>
      <c r="K607" s="26">
        <v>0</v>
      </c>
      <c r="L607" s="26">
        <v>0</v>
      </c>
      <c r="M607" s="26">
        <v>0</v>
      </c>
    </row>
    <row r="608" spans="1:13">
      <c r="A608" s="24" t="s">
        <v>21</v>
      </c>
      <c r="B608" s="24" t="s">
        <v>337</v>
      </c>
      <c r="C608" s="25">
        <v>45809</v>
      </c>
      <c r="D608" s="24" t="s">
        <v>2662</v>
      </c>
      <c r="E608" s="26">
        <v>0</v>
      </c>
      <c r="F608" s="26">
        <v>0</v>
      </c>
      <c r="G608" s="26">
        <v>0</v>
      </c>
      <c r="H608" s="26">
        <v>0</v>
      </c>
      <c r="I608" s="26">
        <v>0</v>
      </c>
      <c r="J608" s="26">
        <v>0</v>
      </c>
      <c r="K608" s="26">
        <v>0</v>
      </c>
      <c r="L608" s="26">
        <v>0</v>
      </c>
      <c r="M608" s="26">
        <v>0</v>
      </c>
    </row>
    <row r="609" spans="1:13">
      <c r="A609" s="24" t="s">
        <v>21</v>
      </c>
      <c r="B609" s="24" t="s">
        <v>337</v>
      </c>
      <c r="C609" s="25">
        <v>45839</v>
      </c>
      <c r="D609" s="24" t="s">
        <v>2663</v>
      </c>
      <c r="E609" s="26">
        <v>0</v>
      </c>
      <c r="F609" s="26">
        <v>0</v>
      </c>
      <c r="G609" s="26">
        <v>0</v>
      </c>
      <c r="H609" s="26">
        <v>0</v>
      </c>
      <c r="I609" s="26">
        <v>0</v>
      </c>
      <c r="J609" s="26">
        <v>0</v>
      </c>
      <c r="K609" s="26">
        <v>0</v>
      </c>
      <c r="L609" s="26">
        <v>0</v>
      </c>
      <c r="M609" s="26">
        <v>0</v>
      </c>
    </row>
    <row r="610" spans="1:13">
      <c r="A610" s="24" t="s">
        <v>21</v>
      </c>
      <c r="B610" s="24" t="s">
        <v>337</v>
      </c>
      <c r="C610" s="25">
        <v>45870</v>
      </c>
      <c r="D610" s="24" t="s">
        <v>2664</v>
      </c>
      <c r="E610" s="26">
        <v>0</v>
      </c>
      <c r="F610" s="26">
        <v>0</v>
      </c>
      <c r="G610" s="26">
        <v>0</v>
      </c>
      <c r="H610" s="26">
        <v>0</v>
      </c>
      <c r="I610" s="26">
        <v>0</v>
      </c>
      <c r="J610" s="26">
        <v>0</v>
      </c>
      <c r="K610" s="26">
        <v>0</v>
      </c>
      <c r="L610" s="26">
        <v>0</v>
      </c>
      <c r="M610" s="26">
        <v>0</v>
      </c>
    </row>
    <row r="611" spans="1:13">
      <c r="A611" s="24" t="s">
        <v>21</v>
      </c>
      <c r="B611" s="24" t="s">
        <v>337</v>
      </c>
      <c r="C611" s="25">
        <v>45901</v>
      </c>
      <c r="D611" s="24" t="s">
        <v>2665</v>
      </c>
      <c r="E611" s="26">
        <v>0</v>
      </c>
      <c r="F611" s="26">
        <v>0</v>
      </c>
      <c r="G611" s="26">
        <v>0</v>
      </c>
      <c r="H611" s="26">
        <v>0</v>
      </c>
      <c r="I611" s="26">
        <v>0</v>
      </c>
      <c r="J611" s="26">
        <v>0</v>
      </c>
      <c r="K611" s="26">
        <v>0</v>
      </c>
      <c r="L611" s="26">
        <v>0</v>
      </c>
      <c r="M611" s="26">
        <v>0</v>
      </c>
    </row>
    <row r="612" spans="1:13">
      <c r="A612" s="24" t="s">
        <v>21</v>
      </c>
      <c r="B612" s="24" t="s">
        <v>337</v>
      </c>
      <c r="C612" s="25">
        <v>45931</v>
      </c>
      <c r="D612" s="24" t="s">
        <v>2666</v>
      </c>
      <c r="E612" s="26">
        <v>-114074.88</v>
      </c>
      <c r="F612" s="26">
        <v>0</v>
      </c>
      <c r="G612" s="26">
        <v>0</v>
      </c>
      <c r="H612" s="26">
        <v>-114074.88</v>
      </c>
      <c r="I612" s="26">
        <v>0</v>
      </c>
      <c r="J612" s="26">
        <v>0</v>
      </c>
      <c r="K612" s="26">
        <v>0</v>
      </c>
      <c r="L612" s="26">
        <v>-114074.88</v>
      </c>
      <c r="M612" s="26">
        <v>0</v>
      </c>
    </row>
    <row r="613" spans="1:13">
      <c r="A613" s="24" t="s">
        <v>21</v>
      </c>
      <c r="B613" s="24" t="s">
        <v>337</v>
      </c>
      <c r="C613" s="25">
        <v>45962</v>
      </c>
      <c r="D613" s="24" t="s">
        <v>2667</v>
      </c>
      <c r="E613" s="26">
        <v>-114074.88</v>
      </c>
      <c r="F613" s="26">
        <v>113351.39</v>
      </c>
      <c r="G613" s="26">
        <v>0</v>
      </c>
      <c r="H613" s="26">
        <v>-723.49000000000524</v>
      </c>
      <c r="I613" s="26">
        <v>0</v>
      </c>
      <c r="J613" s="26">
        <v>0</v>
      </c>
      <c r="K613" s="26">
        <v>0</v>
      </c>
      <c r="L613" s="26">
        <v>-114074.88</v>
      </c>
      <c r="M613" s="26">
        <v>113351.39</v>
      </c>
    </row>
    <row r="614" spans="1:13">
      <c r="A614" s="24" t="s">
        <v>21</v>
      </c>
      <c r="B614" s="24" t="s">
        <v>337</v>
      </c>
      <c r="C614" s="25">
        <v>45992</v>
      </c>
      <c r="D614" s="24" t="s">
        <v>2668</v>
      </c>
      <c r="E614" s="26">
        <v>-116468.67</v>
      </c>
      <c r="F614" s="26">
        <v>113351.39</v>
      </c>
      <c r="G614" s="26">
        <v>0</v>
      </c>
      <c r="H614" s="26">
        <v>-3117.2799999999988</v>
      </c>
      <c r="I614" s="26">
        <v>0</v>
      </c>
      <c r="J614" s="26">
        <v>0</v>
      </c>
      <c r="K614" s="26">
        <v>0</v>
      </c>
      <c r="L614" s="26">
        <v>-116468.67</v>
      </c>
      <c r="M614" s="26">
        <v>113351.39</v>
      </c>
    </row>
    <row r="615" spans="1:13">
      <c r="A615" s="24" t="s">
        <v>110</v>
      </c>
      <c r="B615" s="24" t="s">
        <v>324</v>
      </c>
      <c r="C615" s="25">
        <v>45658</v>
      </c>
      <c r="D615" s="24" t="s">
        <v>2657</v>
      </c>
      <c r="E615" s="26">
        <v>0</v>
      </c>
      <c r="F615" s="26">
        <v>0</v>
      </c>
      <c r="G615" s="26">
        <v>0</v>
      </c>
      <c r="H615" s="26">
        <v>0</v>
      </c>
      <c r="I615" s="26">
        <v>0</v>
      </c>
      <c r="J615" s="26">
        <v>0</v>
      </c>
      <c r="K615" s="26">
        <v>0</v>
      </c>
      <c r="L615" s="26">
        <v>0</v>
      </c>
      <c r="M615" s="26">
        <v>0</v>
      </c>
    </row>
    <row r="616" spans="1:13">
      <c r="A616" s="24" t="s">
        <v>110</v>
      </c>
      <c r="B616" s="24" t="s">
        <v>324</v>
      </c>
      <c r="C616" s="25">
        <v>45689</v>
      </c>
      <c r="D616" s="24" t="s">
        <v>2658</v>
      </c>
      <c r="E616" s="26">
        <v>0</v>
      </c>
      <c r="F616" s="26">
        <v>0</v>
      </c>
      <c r="G616" s="26">
        <v>0</v>
      </c>
      <c r="H616" s="26">
        <v>0</v>
      </c>
      <c r="I616" s="26">
        <v>0</v>
      </c>
      <c r="J616" s="26">
        <v>0</v>
      </c>
      <c r="K616" s="26">
        <v>0</v>
      </c>
      <c r="L616" s="26">
        <v>0</v>
      </c>
      <c r="M616" s="26">
        <v>0</v>
      </c>
    </row>
    <row r="617" spans="1:13">
      <c r="A617" s="24" t="s">
        <v>110</v>
      </c>
      <c r="B617" s="24" t="s">
        <v>324</v>
      </c>
      <c r="C617" s="25">
        <v>45717</v>
      </c>
      <c r="D617" s="24" t="s">
        <v>2659</v>
      </c>
      <c r="E617" s="26">
        <v>0</v>
      </c>
      <c r="F617" s="26">
        <v>0</v>
      </c>
      <c r="G617" s="26">
        <v>0</v>
      </c>
      <c r="H617" s="26">
        <v>0</v>
      </c>
      <c r="I617" s="26">
        <v>0</v>
      </c>
      <c r="J617" s="26">
        <v>0</v>
      </c>
      <c r="K617" s="26">
        <v>0</v>
      </c>
      <c r="L617" s="26">
        <v>0</v>
      </c>
      <c r="M617" s="26">
        <v>0</v>
      </c>
    </row>
    <row r="618" spans="1:13">
      <c r="A618" s="24" t="s">
        <v>110</v>
      </c>
      <c r="B618" s="24" t="s">
        <v>324</v>
      </c>
      <c r="C618" s="25">
        <v>45748</v>
      </c>
      <c r="D618" s="24" t="s">
        <v>2660</v>
      </c>
      <c r="E618" s="26">
        <v>0</v>
      </c>
      <c r="F618" s="26">
        <v>0</v>
      </c>
      <c r="G618" s="26">
        <v>0</v>
      </c>
      <c r="H618" s="26">
        <v>0</v>
      </c>
      <c r="I618" s="26">
        <v>0</v>
      </c>
      <c r="J618" s="26">
        <v>0</v>
      </c>
      <c r="K618" s="26">
        <v>0</v>
      </c>
      <c r="L618" s="26">
        <v>0</v>
      </c>
      <c r="M618" s="26">
        <v>0</v>
      </c>
    </row>
    <row r="619" spans="1:13">
      <c r="A619" s="24" t="s">
        <v>110</v>
      </c>
      <c r="B619" s="24" t="s">
        <v>324</v>
      </c>
      <c r="C619" s="25">
        <v>45778</v>
      </c>
      <c r="D619" s="24" t="s">
        <v>2661</v>
      </c>
      <c r="E619" s="26">
        <v>0</v>
      </c>
      <c r="F619" s="26">
        <v>0</v>
      </c>
      <c r="G619" s="26">
        <v>0</v>
      </c>
      <c r="H619" s="26">
        <v>0</v>
      </c>
      <c r="I619" s="26">
        <v>0</v>
      </c>
      <c r="J619" s="26">
        <v>0</v>
      </c>
      <c r="K619" s="26">
        <v>0</v>
      </c>
      <c r="L619" s="26">
        <v>0</v>
      </c>
      <c r="M619" s="26">
        <v>0</v>
      </c>
    </row>
    <row r="620" spans="1:13">
      <c r="A620" s="24" t="s">
        <v>110</v>
      </c>
      <c r="B620" s="24" t="s">
        <v>324</v>
      </c>
      <c r="C620" s="25">
        <v>45809</v>
      </c>
      <c r="D620" s="24" t="s">
        <v>2662</v>
      </c>
      <c r="E620" s="26">
        <v>0</v>
      </c>
      <c r="F620" s="26">
        <v>0</v>
      </c>
      <c r="G620" s="26">
        <v>0</v>
      </c>
      <c r="H620" s="26">
        <v>0</v>
      </c>
      <c r="I620" s="26">
        <v>0</v>
      </c>
      <c r="J620" s="26">
        <v>0</v>
      </c>
      <c r="K620" s="26">
        <v>0</v>
      </c>
      <c r="L620" s="26">
        <v>0</v>
      </c>
      <c r="M620" s="26">
        <v>0</v>
      </c>
    </row>
    <row r="621" spans="1:13">
      <c r="A621" s="24" t="s">
        <v>110</v>
      </c>
      <c r="B621" s="24" t="s">
        <v>324</v>
      </c>
      <c r="C621" s="25">
        <v>45839</v>
      </c>
      <c r="D621" s="24" t="s">
        <v>2663</v>
      </c>
      <c r="E621" s="26">
        <v>-36313.370000000003</v>
      </c>
      <c r="F621" s="26">
        <v>0</v>
      </c>
      <c r="G621" s="26">
        <v>0</v>
      </c>
      <c r="H621" s="26">
        <v>-36313.370000000003</v>
      </c>
      <c r="I621" s="26">
        <v>0</v>
      </c>
      <c r="J621" s="26">
        <v>0</v>
      </c>
      <c r="K621" s="26">
        <v>0</v>
      </c>
      <c r="L621" s="26">
        <v>-36313.370000000003</v>
      </c>
      <c r="M621" s="26">
        <v>0</v>
      </c>
    </row>
    <row r="622" spans="1:13">
      <c r="A622" s="24" t="s">
        <v>110</v>
      </c>
      <c r="B622" s="24" t="s">
        <v>324</v>
      </c>
      <c r="C622" s="25">
        <v>45870</v>
      </c>
      <c r="D622" s="24" t="s">
        <v>2664</v>
      </c>
      <c r="E622" s="26">
        <v>-79520.420000000013</v>
      </c>
      <c r="F622" s="26">
        <v>0</v>
      </c>
      <c r="G622" s="26">
        <v>0</v>
      </c>
      <c r="H622" s="26">
        <v>-79520.420000000013</v>
      </c>
      <c r="I622" s="26">
        <v>43207.05</v>
      </c>
      <c r="J622" s="26">
        <v>0</v>
      </c>
      <c r="K622" s="26">
        <v>43207.05</v>
      </c>
      <c r="L622" s="26">
        <v>-79520.420000000013</v>
      </c>
      <c r="M622" s="26">
        <v>-43207.05</v>
      </c>
    </row>
    <row r="623" spans="1:13">
      <c r="A623" s="24" t="s">
        <v>110</v>
      </c>
      <c r="B623" s="24" t="s">
        <v>324</v>
      </c>
      <c r="C623" s="25">
        <v>45901</v>
      </c>
      <c r="D623" s="24" t="s">
        <v>2665</v>
      </c>
      <c r="E623" s="26">
        <v>19.589999999981959</v>
      </c>
      <c r="F623" s="26">
        <v>0</v>
      </c>
      <c r="G623" s="26">
        <v>0</v>
      </c>
      <c r="H623" s="26">
        <v>19.589999999981959</v>
      </c>
      <c r="I623" s="26">
        <v>43207.05</v>
      </c>
      <c r="J623" s="26">
        <v>0</v>
      </c>
      <c r="K623" s="26">
        <v>43207.05</v>
      </c>
      <c r="L623" s="26">
        <v>-48910.98000000001</v>
      </c>
      <c r="M623" s="26">
        <v>5723.5199999999904</v>
      </c>
    </row>
    <row r="624" spans="1:13">
      <c r="A624" s="24" t="s">
        <v>110</v>
      </c>
      <c r="B624" s="24" t="s">
        <v>324</v>
      </c>
      <c r="C624" s="25">
        <v>45931</v>
      </c>
      <c r="D624" s="24" t="s">
        <v>2666</v>
      </c>
      <c r="E624" s="26">
        <v>19.589999999981959</v>
      </c>
      <c r="F624" s="26">
        <v>0</v>
      </c>
      <c r="G624" s="26">
        <v>0</v>
      </c>
      <c r="H624" s="26">
        <v>19.589999999981959</v>
      </c>
      <c r="I624" s="26">
        <v>43207.05</v>
      </c>
      <c r="J624" s="26">
        <v>0</v>
      </c>
      <c r="K624" s="26">
        <v>43207.05</v>
      </c>
      <c r="L624" s="26">
        <v>-11035.98000000001</v>
      </c>
      <c r="M624" s="26">
        <v>-32151.48000000001</v>
      </c>
    </row>
    <row r="625" spans="1:13">
      <c r="A625" s="24" t="s">
        <v>110</v>
      </c>
      <c r="B625" s="24" t="s">
        <v>324</v>
      </c>
      <c r="C625" s="25">
        <v>45962</v>
      </c>
      <c r="D625" s="24" t="s">
        <v>2667</v>
      </c>
      <c r="E625" s="26">
        <v>19.589999999981959</v>
      </c>
      <c r="F625" s="26">
        <v>0</v>
      </c>
      <c r="G625" s="26">
        <v>0</v>
      </c>
      <c r="H625" s="26">
        <v>19.589999999981959</v>
      </c>
      <c r="I625" s="26">
        <v>43207.05</v>
      </c>
      <c r="J625" s="26">
        <v>662259.25</v>
      </c>
      <c r="K625" s="26">
        <v>705466.3</v>
      </c>
      <c r="L625" s="26">
        <v>-11035.98000000001</v>
      </c>
      <c r="M625" s="26">
        <v>-694410.7300000001</v>
      </c>
    </row>
    <row r="626" spans="1:13">
      <c r="A626" s="24" t="s">
        <v>110</v>
      </c>
      <c r="B626" s="24" t="s">
        <v>324</v>
      </c>
      <c r="C626" s="25">
        <v>45992</v>
      </c>
      <c r="D626" s="24" t="s">
        <v>2668</v>
      </c>
      <c r="E626" s="26">
        <v>-1377.5600000000179</v>
      </c>
      <c r="F626" s="26">
        <v>0</v>
      </c>
      <c r="G626" s="26">
        <v>14372.96000000001</v>
      </c>
      <c r="H626" s="26">
        <v>12995.399999999991</v>
      </c>
      <c r="I626" s="26">
        <v>43207.05</v>
      </c>
      <c r="J626" s="26">
        <v>1028030.84</v>
      </c>
      <c r="K626" s="26">
        <v>1071237.8899999999</v>
      </c>
      <c r="L626" s="26">
        <v>12995.399999999991</v>
      </c>
      <c r="M626" s="26">
        <v>-1071237.8899999999</v>
      </c>
    </row>
    <row r="627" spans="1:13">
      <c r="A627" s="24" t="s">
        <v>281</v>
      </c>
      <c r="B627" s="24" t="s">
        <v>324</v>
      </c>
      <c r="C627" s="25">
        <v>45658</v>
      </c>
      <c r="D627" s="24" t="s">
        <v>2657</v>
      </c>
      <c r="E627" s="26">
        <v>0</v>
      </c>
      <c r="F627" s="26">
        <v>0</v>
      </c>
      <c r="G627" s="26">
        <v>0</v>
      </c>
      <c r="H627" s="26">
        <v>0</v>
      </c>
      <c r="I627" s="26">
        <v>0</v>
      </c>
      <c r="J627" s="26">
        <v>0</v>
      </c>
      <c r="K627" s="26">
        <v>0</v>
      </c>
      <c r="L627" s="26">
        <v>0</v>
      </c>
      <c r="M627" s="26">
        <v>0</v>
      </c>
    </row>
    <row r="628" spans="1:13">
      <c r="A628" s="24" t="s">
        <v>281</v>
      </c>
      <c r="B628" s="24" t="s">
        <v>324</v>
      </c>
      <c r="C628" s="25">
        <v>45689</v>
      </c>
      <c r="D628" s="24" t="s">
        <v>2658</v>
      </c>
      <c r="E628" s="26">
        <v>0</v>
      </c>
      <c r="F628" s="26">
        <v>0</v>
      </c>
      <c r="G628" s="26">
        <v>0</v>
      </c>
      <c r="H628" s="26">
        <v>0</v>
      </c>
      <c r="I628" s="26">
        <v>0</v>
      </c>
      <c r="J628" s="26">
        <v>0</v>
      </c>
      <c r="K628" s="26">
        <v>0</v>
      </c>
      <c r="L628" s="26">
        <v>0</v>
      </c>
      <c r="M628" s="26">
        <v>0</v>
      </c>
    </row>
    <row r="629" spans="1:13">
      <c r="A629" s="24" t="s">
        <v>281</v>
      </c>
      <c r="B629" s="24" t="s">
        <v>324</v>
      </c>
      <c r="C629" s="25">
        <v>45717</v>
      </c>
      <c r="D629" s="24" t="s">
        <v>2659</v>
      </c>
      <c r="E629" s="26">
        <v>0</v>
      </c>
      <c r="F629" s="26">
        <v>0</v>
      </c>
      <c r="G629" s="26">
        <v>0</v>
      </c>
      <c r="H629" s="26">
        <v>0</v>
      </c>
      <c r="I629" s="26">
        <v>0</v>
      </c>
      <c r="J629" s="26">
        <v>0</v>
      </c>
      <c r="K629" s="26">
        <v>0</v>
      </c>
      <c r="L629" s="26">
        <v>0</v>
      </c>
      <c r="M629" s="26">
        <v>0</v>
      </c>
    </row>
    <row r="630" spans="1:13">
      <c r="A630" s="24" t="s">
        <v>281</v>
      </c>
      <c r="B630" s="24" t="s">
        <v>324</v>
      </c>
      <c r="C630" s="25">
        <v>45748</v>
      </c>
      <c r="D630" s="24" t="s">
        <v>2660</v>
      </c>
      <c r="E630" s="26">
        <v>0</v>
      </c>
      <c r="F630" s="26">
        <v>0</v>
      </c>
      <c r="G630" s="26">
        <v>0</v>
      </c>
      <c r="H630" s="26">
        <v>0</v>
      </c>
      <c r="I630" s="26">
        <v>0</v>
      </c>
      <c r="J630" s="26">
        <v>0</v>
      </c>
      <c r="K630" s="26">
        <v>0</v>
      </c>
      <c r="L630" s="26">
        <v>0</v>
      </c>
      <c r="M630" s="26">
        <v>0</v>
      </c>
    </row>
    <row r="631" spans="1:13">
      <c r="A631" s="24" t="s">
        <v>281</v>
      </c>
      <c r="B631" s="24" t="s">
        <v>324</v>
      </c>
      <c r="C631" s="25">
        <v>45778</v>
      </c>
      <c r="D631" s="24" t="s">
        <v>2661</v>
      </c>
      <c r="E631" s="26">
        <v>0</v>
      </c>
      <c r="F631" s="26">
        <v>0</v>
      </c>
      <c r="G631" s="26">
        <v>0</v>
      </c>
      <c r="H631" s="26">
        <v>0</v>
      </c>
      <c r="I631" s="26">
        <v>0</v>
      </c>
      <c r="J631" s="26">
        <v>0</v>
      </c>
      <c r="K631" s="26">
        <v>0</v>
      </c>
      <c r="L631" s="26">
        <v>0</v>
      </c>
      <c r="M631" s="26">
        <v>0</v>
      </c>
    </row>
    <row r="632" spans="1:13">
      <c r="A632" s="24" t="s">
        <v>281</v>
      </c>
      <c r="B632" s="24" t="s">
        <v>324</v>
      </c>
      <c r="C632" s="25">
        <v>45809</v>
      </c>
      <c r="D632" s="24" t="s">
        <v>2662</v>
      </c>
      <c r="E632" s="26">
        <v>0</v>
      </c>
      <c r="F632" s="26">
        <v>0</v>
      </c>
      <c r="G632" s="26">
        <v>0</v>
      </c>
      <c r="H632" s="26">
        <v>0</v>
      </c>
      <c r="I632" s="26">
        <v>0</v>
      </c>
      <c r="J632" s="26">
        <v>0</v>
      </c>
      <c r="K632" s="26">
        <v>0</v>
      </c>
      <c r="L632" s="26">
        <v>0</v>
      </c>
      <c r="M632" s="26">
        <v>0</v>
      </c>
    </row>
    <row r="633" spans="1:13">
      <c r="A633" s="24" t="s">
        <v>281</v>
      </c>
      <c r="B633" s="24" t="s">
        <v>324</v>
      </c>
      <c r="C633" s="25">
        <v>45839</v>
      </c>
      <c r="D633" s="24" t="s">
        <v>2663</v>
      </c>
      <c r="E633" s="26">
        <v>0</v>
      </c>
      <c r="F633" s="26">
        <v>0</v>
      </c>
      <c r="G633" s="26">
        <v>0</v>
      </c>
      <c r="H633" s="26">
        <v>0</v>
      </c>
      <c r="I633" s="26">
        <v>0</v>
      </c>
      <c r="J633" s="26">
        <v>0</v>
      </c>
      <c r="K633" s="26">
        <v>0</v>
      </c>
      <c r="L633" s="26">
        <v>0</v>
      </c>
      <c r="M633" s="26">
        <v>0</v>
      </c>
    </row>
    <row r="634" spans="1:13">
      <c r="A634" s="24" t="s">
        <v>281</v>
      </c>
      <c r="B634" s="24" t="s">
        <v>324</v>
      </c>
      <c r="C634" s="25">
        <v>45870</v>
      </c>
      <c r="D634" s="24" t="s">
        <v>2664</v>
      </c>
      <c r="E634" s="26">
        <v>0</v>
      </c>
      <c r="F634" s="26">
        <v>0</v>
      </c>
      <c r="G634" s="26">
        <v>0</v>
      </c>
      <c r="H634" s="26">
        <v>0</v>
      </c>
      <c r="I634" s="26">
        <v>0</v>
      </c>
      <c r="J634" s="26">
        <v>0</v>
      </c>
      <c r="K634" s="26">
        <v>0</v>
      </c>
      <c r="L634" s="26">
        <v>0</v>
      </c>
      <c r="M634" s="26">
        <v>0</v>
      </c>
    </row>
    <row r="635" spans="1:13">
      <c r="A635" s="24" t="s">
        <v>281</v>
      </c>
      <c r="B635" s="24" t="s">
        <v>324</v>
      </c>
      <c r="C635" s="25">
        <v>45901</v>
      </c>
      <c r="D635" s="24" t="s">
        <v>2665</v>
      </c>
      <c r="E635" s="26">
        <v>0</v>
      </c>
      <c r="F635" s="26">
        <v>0</v>
      </c>
      <c r="G635" s="26">
        <v>67852.97</v>
      </c>
      <c r="H635" s="26">
        <v>67852.97</v>
      </c>
      <c r="I635" s="26">
        <v>0</v>
      </c>
      <c r="J635" s="26">
        <v>0</v>
      </c>
      <c r="K635" s="26">
        <v>0</v>
      </c>
      <c r="L635" s="26">
        <v>67852.97</v>
      </c>
      <c r="M635" s="26">
        <v>0</v>
      </c>
    </row>
    <row r="636" spans="1:13">
      <c r="A636" s="24" t="s">
        <v>281</v>
      </c>
      <c r="B636" s="24" t="s">
        <v>324</v>
      </c>
      <c r="C636" s="25">
        <v>45931</v>
      </c>
      <c r="D636" s="24" t="s">
        <v>2666</v>
      </c>
      <c r="E636" s="26">
        <v>0</v>
      </c>
      <c r="F636" s="26">
        <v>0</v>
      </c>
      <c r="G636" s="26">
        <v>123466.9</v>
      </c>
      <c r="H636" s="26">
        <v>123466.9</v>
      </c>
      <c r="I636" s="26">
        <v>0</v>
      </c>
      <c r="J636" s="26">
        <v>0</v>
      </c>
      <c r="K636" s="26">
        <v>0</v>
      </c>
      <c r="L636" s="26">
        <v>123466.9</v>
      </c>
      <c r="M636" s="26">
        <v>0</v>
      </c>
    </row>
    <row r="637" spans="1:13">
      <c r="A637" s="24" t="s">
        <v>281</v>
      </c>
      <c r="B637" s="24" t="s">
        <v>324</v>
      </c>
      <c r="C637" s="25">
        <v>45962</v>
      </c>
      <c r="D637" s="24" t="s">
        <v>2667</v>
      </c>
      <c r="E637" s="26">
        <v>0</v>
      </c>
      <c r="F637" s="26">
        <v>193221.73</v>
      </c>
      <c r="G637" s="26">
        <v>0</v>
      </c>
      <c r="H637" s="26">
        <v>193221.73</v>
      </c>
      <c r="I637" s="26">
        <v>0</v>
      </c>
      <c r="J637" s="26">
        <v>0</v>
      </c>
      <c r="K637" s="26">
        <v>0</v>
      </c>
      <c r="L637" s="26">
        <v>160543.76</v>
      </c>
      <c r="M637" s="26">
        <v>32677.97</v>
      </c>
    </row>
    <row r="638" spans="1:13">
      <c r="A638" s="24" t="s">
        <v>281</v>
      </c>
      <c r="B638" s="24" t="s">
        <v>324</v>
      </c>
      <c r="C638" s="25">
        <v>45992</v>
      </c>
      <c r="D638" s="24" t="s">
        <v>2668</v>
      </c>
      <c r="E638" s="26">
        <v>-17892.060000000001</v>
      </c>
      <c r="F638" s="26">
        <v>193221.73</v>
      </c>
      <c r="G638" s="26">
        <v>16852.100000000009</v>
      </c>
      <c r="H638" s="26">
        <v>192181.77</v>
      </c>
      <c r="I638" s="26">
        <v>17892.060000000001</v>
      </c>
      <c r="J638" s="26">
        <v>0</v>
      </c>
      <c r="K638" s="26">
        <v>17892.060000000001</v>
      </c>
      <c r="L638" s="26">
        <v>192181.77</v>
      </c>
      <c r="M638" s="26">
        <v>-17892.060000000001</v>
      </c>
    </row>
    <row r="639" spans="1:13">
      <c r="A639" s="24" t="s">
        <v>247</v>
      </c>
      <c r="B639" s="24" t="s">
        <v>337</v>
      </c>
      <c r="C639" s="25">
        <v>45658</v>
      </c>
      <c r="D639" s="24" t="s">
        <v>2657</v>
      </c>
      <c r="E639" s="26">
        <v>0</v>
      </c>
      <c r="F639" s="26">
        <v>0</v>
      </c>
      <c r="G639" s="26">
        <v>0</v>
      </c>
      <c r="H639" s="26">
        <v>0</v>
      </c>
      <c r="I639" s="26">
        <v>0</v>
      </c>
      <c r="J639" s="26">
        <v>0</v>
      </c>
      <c r="K639" s="26">
        <v>0</v>
      </c>
      <c r="L639" s="26">
        <v>0</v>
      </c>
      <c r="M639" s="26">
        <v>0</v>
      </c>
    </row>
    <row r="640" spans="1:13">
      <c r="A640" s="24" t="s">
        <v>247</v>
      </c>
      <c r="B640" s="24" t="s">
        <v>337</v>
      </c>
      <c r="C640" s="25">
        <v>45689</v>
      </c>
      <c r="D640" s="24" t="s">
        <v>2658</v>
      </c>
      <c r="E640" s="26">
        <v>0</v>
      </c>
      <c r="F640" s="26">
        <v>0</v>
      </c>
      <c r="G640" s="26">
        <v>0</v>
      </c>
      <c r="H640" s="26">
        <v>0</v>
      </c>
      <c r="I640" s="26">
        <v>0</v>
      </c>
      <c r="J640" s="26">
        <v>0</v>
      </c>
      <c r="K640" s="26">
        <v>0</v>
      </c>
      <c r="L640" s="26">
        <v>0</v>
      </c>
      <c r="M640" s="26">
        <v>0</v>
      </c>
    </row>
    <row r="641" spans="1:13">
      <c r="A641" s="24" t="s">
        <v>247</v>
      </c>
      <c r="B641" s="24" t="s">
        <v>337</v>
      </c>
      <c r="C641" s="25">
        <v>45717</v>
      </c>
      <c r="D641" s="24" t="s">
        <v>2659</v>
      </c>
      <c r="E641" s="26">
        <v>0</v>
      </c>
      <c r="F641" s="26">
        <v>0</v>
      </c>
      <c r="G641" s="26">
        <v>0</v>
      </c>
      <c r="H641" s="26">
        <v>0</v>
      </c>
      <c r="I641" s="26">
        <v>0</v>
      </c>
      <c r="J641" s="26">
        <v>0</v>
      </c>
      <c r="K641" s="26">
        <v>0</v>
      </c>
      <c r="L641" s="26">
        <v>0</v>
      </c>
      <c r="M641" s="26">
        <v>0</v>
      </c>
    </row>
    <row r="642" spans="1:13">
      <c r="A642" s="24" t="s">
        <v>247</v>
      </c>
      <c r="B642" s="24" t="s">
        <v>337</v>
      </c>
      <c r="C642" s="25">
        <v>45748</v>
      </c>
      <c r="D642" s="24" t="s">
        <v>2660</v>
      </c>
      <c r="E642" s="26">
        <v>0</v>
      </c>
      <c r="F642" s="26">
        <v>0</v>
      </c>
      <c r="G642" s="26">
        <v>0</v>
      </c>
      <c r="H642" s="26">
        <v>0</v>
      </c>
      <c r="I642" s="26">
        <v>0</v>
      </c>
      <c r="J642" s="26">
        <v>0</v>
      </c>
      <c r="K642" s="26">
        <v>0</v>
      </c>
      <c r="L642" s="26">
        <v>0</v>
      </c>
      <c r="M642" s="26">
        <v>0</v>
      </c>
    </row>
    <row r="643" spans="1:13">
      <c r="A643" s="24" t="s">
        <v>247</v>
      </c>
      <c r="B643" s="24" t="s">
        <v>337</v>
      </c>
      <c r="C643" s="25">
        <v>45778</v>
      </c>
      <c r="D643" s="24" t="s">
        <v>2661</v>
      </c>
      <c r="E643" s="26">
        <v>0</v>
      </c>
      <c r="F643" s="26">
        <v>0</v>
      </c>
      <c r="G643" s="26">
        <v>0</v>
      </c>
      <c r="H643" s="26">
        <v>0</v>
      </c>
      <c r="I643" s="26">
        <v>0</v>
      </c>
      <c r="J643" s="26">
        <v>0</v>
      </c>
      <c r="K643" s="26">
        <v>0</v>
      </c>
      <c r="L643" s="26">
        <v>0</v>
      </c>
      <c r="M643" s="26">
        <v>0</v>
      </c>
    </row>
    <row r="644" spans="1:13">
      <c r="A644" s="24" t="s">
        <v>247</v>
      </c>
      <c r="B644" s="24" t="s">
        <v>337</v>
      </c>
      <c r="C644" s="25">
        <v>45809</v>
      </c>
      <c r="D644" s="24" t="s">
        <v>2662</v>
      </c>
      <c r="E644" s="26">
        <v>0</v>
      </c>
      <c r="F644" s="26">
        <v>0</v>
      </c>
      <c r="G644" s="26">
        <v>0</v>
      </c>
      <c r="H644" s="26">
        <v>0</v>
      </c>
      <c r="I644" s="26">
        <v>0</v>
      </c>
      <c r="J644" s="26">
        <v>0</v>
      </c>
      <c r="K644" s="26">
        <v>0</v>
      </c>
      <c r="L644" s="26">
        <v>0</v>
      </c>
      <c r="M644" s="26">
        <v>0</v>
      </c>
    </row>
    <row r="645" spans="1:13">
      <c r="A645" s="24" t="s">
        <v>247</v>
      </c>
      <c r="B645" s="24" t="s">
        <v>337</v>
      </c>
      <c r="C645" s="25">
        <v>45839</v>
      </c>
      <c r="D645" s="24" t="s">
        <v>2663</v>
      </c>
      <c r="E645" s="26">
        <v>0</v>
      </c>
      <c r="F645" s="26">
        <v>0</v>
      </c>
      <c r="G645" s="26">
        <v>0</v>
      </c>
      <c r="H645" s="26">
        <v>0</v>
      </c>
      <c r="I645" s="26">
        <v>0</v>
      </c>
      <c r="J645" s="26">
        <v>0</v>
      </c>
      <c r="K645" s="26">
        <v>0</v>
      </c>
      <c r="L645" s="26">
        <v>0</v>
      </c>
      <c r="M645" s="26">
        <v>0</v>
      </c>
    </row>
    <row r="646" spans="1:13">
      <c r="A646" s="24" t="s">
        <v>247</v>
      </c>
      <c r="B646" s="24" t="s">
        <v>337</v>
      </c>
      <c r="C646" s="25">
        <v>45870</v>
      </c>
      <c r="D646" s="24" t="s">
        <v>2664</v>
      </c>
      <c r="E646" s="26">
        <v>0</v>
      </c>
      <c r="F646" s="26">
        <v>0</v>
      </c>
      <c r="G646" s="26">
        <v>41347.599999999999</v>
      </c>
      <c r="H646" s="26">
        <v>41347.599999999999</v>
      </c>
      <c r="I646" s="26">
        <v>0</v>
      </c>
      <c r="J646" s="26">
        <v>0</v>
      </c>
      <c r="K646" s="26">
        <v>0</v>
      </c>
      <c r="L646" s="26">
        <v>41347.599999999999</v>
      </c>
      <c r="M646" s="26">
        <v>0</v>
      </c>
    </row>
    <row r="647" spans="1:13">
      <c r="A647" s="24" t="s">
        <v>247</v>
      </c>
      <c r="B647" s="24" t="s">
        <v>337</v>
      </c>
      <c r="C647" s="25">
        <v>45901</v>
      </c>
      <c r="D647" s="24" t="s">
        <v>2665</v>
      </c>
      <c r="E647" s="26">
        <v>-7669.71</v>
      </c>
      <c r="F647" s="26">
        <v>0</v>
      </c>
      <c r="G647" s="26">
        <v>41347.599999999999</v>
      </c>
      <c r="H647" s="26">
        <v>33677.89</v>
      </c>
      <c r="I647" s="26">
        <v>0</v>
      </c>
      <c r="J647" s="26">
        <v>0</v>
      </c>
      <c r="K647" s="26">
        <v>0</v>
      </c>
      <c r="L647" s="26">
        <v>33677.89</v>
      </c>
      <c r="M647" s="26">
        <v>0</v>
      </c>
    </row>
    <row r="648" spans="1:13">
      <c r="A648" s="24" t="s">
        <v>247</v>
      </c>
      <c r="B648" s="24" t="s">
        <v>337</v>
      </c>
      <c r="C648" s="25">
        <v>45931</v>
      </c>
      <c r="D648" s="24" t="s">
        <v>2666</v>
      </c>
      <c r="E648" s="26">
        <v>-33698.68</v>
      </c>
      <c r="F648" s="26">
        <v>0</v>
      </c>
      <c r="G648" s="26">
        <v>101742.07</v>
      </c>
      <c r="H648" s="26">
        <v>68043.390000000014</v>
      </c>
      <c r="I648" s="26">
        <v>26028.97</v>
      </c>
      <c r="J648" s="26">
        <v>0</v>
      </c>
      <c r="K648" s="26">
        <v>26028.97</v>
      </c>
      <c r="L648" s="26">
        <v>68043.39</v>
      </c>
      <c r="M648" s="26">
        <v>-26028.96999999999</v>
      </c>
    </row>
    <row r="649" spans="1:13">
      <c r="A649" s="24" t="s">
        <v>247</v>
      </c>
      <c r="B649" s="24" t="s">
        <v>337</v>
      </c>
      <c r="C649" s="25">
        <v>45962</v>
      </c>
      <c r="D649" s="24" t="s">
        <v>2667</v>
      </c>
      <c r="E649" s="26">
        <v>-33698.68</v>
      </c>
      <c r="F649" s="26">
        <v>0</v>
      </c>
      <c r="G649" s="26">
        <v>161321.35</v>
      </c>
      <c r="H649" s="26">
        <v>127622.67</v>
      </c>
      <c r="I649" s="26">
        <v>26028.97</v>
      </c>
      <c r="J649" s="26">
        <v>0</v>
      </c>
      <c r="K649" s="26">
        <v>26028.97</v>
      </c>
      <c r="L649" s="26">
        <v>127622.67</v>
      </c>
      <c r="M649" s="26">
        <v>-26028.96999999999</v>
      </c>
    </row>
    <row r="650" spans="1:13">
      <c r="A650" s="24" t="s">
        <v>247</v>
      </c>
      <c r="B650" s="24" t="s">
        <v>337</v>
      </c>
      <c r="C650" s="25">
        <v>45992</v>
      </c>
      <c r="D650" s="24" t="s">
        <v>2668</v>
      </c>
      <c r="E650" s="26">
        <v>-33698.68</v>
      </c>
      <c r="F650" s="26">
        <v>0</v>
      </c>
      <c r="G650" s="26">
        <v>201905.89</v>
      </c>
      <c r="H650" s="26">
        <v>168207.21</v>
      </c>
      <c r="I650" s="26">
        <v>26028.97</v>
      </c>
      <c r="J650" s="26">
        <v>0</v>
      </c>
      <c r="K650" s="26">
        <v>26028.97</v>
      </c>
      <c r="L650" s="26">
        <v>168207.21</v>
      </c>
      <c r="M650" s="26">
        <v>-26028.969999999968</v>
      </c>
    </row>
    <row r="651" spans="1:13">
      <c r="A651" s="24" t="s">
        <v>208</v>
      </c>
      <c r="B651" s="24" t="s">
        <v>337</v>
      </c>
      <c r="C651" s="25">
        <v>45658</v>
      </c>
      <c r="D651" s="24" t="s">
        <v>2657</v>
      </c>
      <c r="E651" s="26">
        <v>0</v>
      </c>
      <c r="F651" s="26">
        <v>0</v>
      </c>
      <c r="G651" s="26">
        <v>0</v>
      </c>
      <c r="H651" s="26">
        <v>0</v>
      </c>
      <c r="I651" s="26">
        <v>0</v>
      </c>
      <c r="J651" s="26">
        <v>0</v>
      </c>
      <c r="K651" s="26">
        <v>0</v>
      </c>
      <c r="L651" s="26">
        <v>0</v>
      </c>
      <c r="M651" s="26">
        <v>0</v>
      </c>
    </row>
    <row r="652" spans="1:13">
      <c r="A652" s="24" t="s">
        <v>208</v>
      </c>
      <c r="B652" s="24" t="s">
        <v>337</v>
      </c>
      <c r="C652" s="25">
        <v>45689</v>
      </c>
      <c r="D652" s="24" t="s">
        <v>2658</v>
      </c>
      <c r="E652" s="26">
        <v>0</v>
      </c>
      <c r="F652" s="26">
        <v>0</v>
      </c>
      <c r="G652" s="26">
        <v>0</v>
      </c>
      <c r="H652" s="26">
        <v>0</v>
      </c>
      <c r="I652" s="26">
        <v>0</v>
      </c>
      <c r="J652" s="26">
        <v>0</v>
      </c>
      <c r="K652" s="26">
        <v>0</v>
      </c>
      <c r="L652" s="26">
        <v>0</v>
      </c>
      <c r="M652" s="26">
        <v>0</v>
      </c>
    </row>
    <row r="653" spans="1:13">
      <c r="A653" s="24" t="s">
        <v>208</v>
      </c>
      <c r="B653" s="24" t="s">
        <v>337</v>
      </c>
      <c r="C653" s="25">
        <v>45717</v>
      </c>
      <c r="D653" s="24" t="s">
        <v>2659</v>
      </c>
      <c r="E653" s="26">
        <v>0</v>
      </c>
      <c r="F653" s="26">
        <v>0</v>
      </c>
      <c r="G653" s="26">
        <v>0</v>
      </c>
      <c r="H653" s="26">
        <v>0</v>
      </c>
      <c r="I653" s="26">
        <v>0</v>
      </c>
      <c r="J653" s="26">
        <v>0</v>
      </c>
      <c r="K653" s="26">
        <v>0</v>
      </c>
      <c r="L653" s="26">
        <v>0</v>
      </c>
      <c r="M653" s="26">
        <v>0</v>
      </c>
    </row>
    <row r="654" spans="1:13">
      <c r="A654" s="24" t="s">
        <v>208</v>
      </c>
      <c r="B654" s="24" t="s">
        <v>337</v>
      </c>
      <c r="C654" s="25">
        <v>45748</v>
      </c>
      <c r="D654" s="24" t="s">
        <v>2660</v>
      </c>
      <c r="E654" s="26">
        <v>0</v>
      </c>
      <c r="F654" s="26">
        <v>0</v>
      </c>
      <c r="G654" s="26">
        <v>0</v>
      </c>
      <c r="H654" s="26">
        <v>0</v>
      </c>
      <c r="I654" s="26">
        <v>0</v>
      </c>
      <c r="J654" s="26">
        <v>0</v>
      </c>
      <c r="K654" s="26">
        <v>0</v>
      </c>
      <c r="L654" s="26">
        <v>0</v>
      </c>
      <c r="M654" s="26">
        <v>0</v>
      </c>
    </row>
    <row r="655" spans="1:13">
      <c r="A655" s="24" t="s">
        <v>208</v>
      </c>
      <c r="B655" s="24" t="s">
        <v>337</v>
      </c>
      <c r="C655" s="25">
        <v>45778</v>
      </c>
      <c r="D655" s="24" t="s">
        <v>2661</v>
      </c>
      <c r="E655" s="26">
        <v>0</v>
      </c>
      <c r="F655" s="26">
        <v>0</v>
      </c>
      <c r="G655" s="26">
        <v>0</v>
      </c>
      <c r="H655" s="26">
        <v>0</v>
      </c>
      <c r="I655" s="26">
        <v>0</v>
      </c>
      <c r="J655" s="26">
        <v>0</v>
      </c>
      <c r="K655" s="26">
        <v>0</v>
      </c>
      <c r="L655" s="26">
        <v>0</v>
      </c>
      <c r="M655" s="26">
        <v>0</v>
      </c>
    </row>
    <row r="656" spans="1:13">
      <c r="A656" s="24" t="s">
        <v>208</v>
      </c>
      <c r="B656" s="24" t="s">
        <v>337</v>
      </c>
      <c r="C656" s="25">
        <v>45809</v>
      </c>
      <c r="D656" s="24" t="s">
        <v>2662</v>
      </c>
      <c r="E656" s="26">
        <v>0</v>
      </c>
      <c r="F656" s="26">
        <v>0</v>
      </c>
      <c r="G656" s="26">
        <v>0</v>
      </c>
      <c r="H656" s="26">
        <v>0</v>
      </c>
      <c r="I656" s="26">
        <v>0</v>
      </c>
      <c r="J656" s="26">
        <v>0</v>
      </c>
      <c r="K656" s="26">
        <v>0</v>
      </c>
      <c r="L656" s="26">
        <v>0</v>
      </c>
      <c r="M656" s="26">
        <v>0</v>
      </c>
    </row>
    <row r="657" spans="1:13">
      <c r="A657" s="24" t="s">
        <v>208</v>
      </c>
      <c r="B657" s="24" t="s">
        <v>337</v>
      </c>
      <c r="C657" s="25">
        <v>45839</v>
      </c>
      <c r="D657" s="24" t="s">
        <v>2663</v>
      </c>
      <c r="E657" s="26">
        <v>0</v>
      </c>
      <c r="F657" s="26">
        <v>0</v>
      </c>
      <c r="G657" s="26">
        <v>41860.620000000003</v>
      </c>
      <c r="H657" s="26">
        <v>41860.620000000003</v>
      </c>
      <c r="I657" s="26">
        <v>0</v>
      </c>
      <c r="J657" s="26">
        <v>0</v>
      </c>
      <c r="K657" s="26">
        <v>0</v>
      </c>
      <c r="L657" s="26">
        <v>41860.620000000003</v>
      </c>
      <c r="M657" s="26">
        <v>0</v>
      </c>
    </row>
    <row r="658" spans="1:13">
      <c r="A658" s="24" t="s">
        <v>208</v>
      </c>
      <c r="B658" s="24" t="s">
        <v>337</v>
      </c>
      <c r="C658" s="25">
        <v>45870</v>
      </c>
      <c r="D658" s="24" t="s">
        <v>2664</v>
      </c>
      <c r="E658" s="26">
        <v>0</v>
      </c>
      <c r="F658" s="26">
        <v>0</v>
      </c>
      <c r="G658" s="26">
        <v>41860.620000000003</v>
      </c>
      <c r="H658" s="26">
        <v>41860.620000000003</v>
      </c>
      <c r="I658" s="26">
        <v>0</v>
      </c>
      <c r="J658" s="26">
        <v>0</v>
      </c>
      <c r="K658" s="26">
        <v>0</v>
      </c>
      <c r="L658" s="26">
        <v>41860.620000000003</v>
      </c>
      <c r="M658" s="26">
        <v>0</v>
      </c>
    </row>
    <row r="659" spans="1:13">
      <c r="A659" s="24" t="s">
        <v>208</v>
      </c>
      <c r="B659" s="24" t="s">
        <v>337</v>
      </c>
      <c r="C659" s="25">
        <v>45901</v>
      </c>
      <c r="D659" s="24" t="s">
        <v>2665</v>
      </c>
      <c r="E659" s="26">
        <v>0</v>
      </c>
      <c r="F659" s="26">
        <v>0</v>
      </c>
      <c r="G659" s="26">
        <v>62491.15</v>
      </c>
      <c r="H659" s="26">
        <v>62491.15</v>
      </c>
      <c r="I659" s="26">
        <v>0</v>
      </c>
      <c r="J659" s="26">
        <v>0</v>
      </c>
      <c r="K659" s="26">
        <v>0</v>
      </c>
      <c r="L659" s="26">
        <v>62491.15</v>
      </c>
      <c r="M659" s="26">
        <v>0</v>
      </c>
    </row>
    <row r="660" spans="1:13">
      <c r="A660" s="24" t="s">
        <v>208</v>
      </c>
      <c r="B660" s="24" t="s">
        <v>337</v>
      </c>
      <c r="C660" s="25">
        <v>45931</v>
      </c>
      <c r="D660" s="24" t="s">
        <v>2666</v>
      </c>
      <c r="E660" s="26">
        <v>0</v>
      </c>
      <c r="F660" s="26">
        <v>0</v>
      </c>
      <c r="G660" s="26">
        <v>97400.35</v>
      </c>
      <c r="H660" s="26">
        <v>97400.35</v>
      </c>
      <c r="I660" s="26">
        <v>0</v>
      </c>
      <c r="J660" s="26">
        <v>0</v>
      </c>
      <c r="K660" s="26">
        <v>0</v>
      </c>
      <c r="L660" s="26">
        <v>97400.35</v>
      </c>
      <c r="M660" s="26">
        <v>0</v>
      </c>
    </row>
    <row r="661" spans="1:13">
      <c r="A661" s="24" t="s">
        <v>208</v>
      </c>
      <c r="B661" s="24" t="s">
        <v>337</v>
      </c>
      <c r="C661" s="25">
        <v>45962</v>
      </c>
      <c r="D661" s="24" t="s">
        <v>2667</v>
      </c>
      <c r="E661" s="26">
        <v>0</v>
      </c>
      <c r="F661" s="26">
        <v>0</v>
      </c>
      <c r="G661" s="26">
        <v>97400.35</v>
      </c>
      <c r="H661" s="26">
        <v>97400.35</v>
      </c>
      <c r="I661" s="26">
        <v>0</v>
      </c>
      <c r="J661" s="26">
        <v>0</v>
      </c>
      <c r="K661" s="26">
        <v>0</v>
      </c>
      <c r="L661" s="26">
        <v>97400.35</v>
      </c>
      <c r="M661" s="26">
        <v>0</v>
      </c>
    </row>
    <row r="662" spans="1:13">
      <c r="A662" s="24" t="s">
        <v>208</v>
      </c>
      <c r="B662" s="24" t="s">
        <v>337</v>
      </c>
      <c r="C662" s="25">
        <v>45992</v>
      </c>
      <c r="D662" s="24" t="s">
        <v>2668</v>
      </c>
      <c r="E662" s="26">
        <v>0</v>
      </c>
      <c r="F662" s="26">
        <v>0</v>
      </c>
      <c r="G662" s="26">
        <v>97400.35</v>
      </c>
      <c r="H662" s="26">
        <v>97400.35</v>
      </c>
      <c r="I662" s="26">
        <v>0</v>
      </c>
      <c r="J662" s="26">
        <v>0</v>
      </c>
      <c r="K662" s="26">
        <v>0</v>
      </c>
      <c r="L662" s="26">
        <v>97400.35</v>
      </c>
      <c r="M662" s="26">
        <v>0</v>
      </c>
    </row>
    <row r="663" spans="1:13">
      <c r="A663" s="24" t="s">
        <v>286</v>
      </c>
      <c r="B663" s="24" t="s">
        <v>345</v>
      </c>
      <c r="C663" s="25">
        <v>45658</v>
      </c>
      <c r="D663" s="24" t="s">
        <v>2657</v>
      </c>
      <c r="E663" s="26">
        <v>0</v>
      </c>
      <c r="F663" s="26">
        <v>0</v>
      </c>
      <c r="G663" s="26">
        <v>0</v>
      </c>
      <c r="H663" s="26">
        <v>0</v>
      </c>
      <c r="I663" s="26">
        <v>0</v>
      </c>
      <c r="J663" s="26">
        <v>0</v>
      </c>
      <c r="K663" s="26">
        <v>0</v>
      </c>
      <c r="L663" s="26">
        <v>0</v>
      </c>
      <c r="M663" s="26">
        <v>0</v>
      </c>
    </row>
    <row r="664" spans="1:13">
      <c r="A664" s="24" t="s">
        <v>286</v>
      </c>
      <c r="B664" s="24" t="s">
        <v>345</v>
      </c>
      <c r="C664" s="25">
        <v>45689</v>
      </c>
      <c r="D664" s="24" t="s">
        <v>2658</v>
      </c>
      <c r="E664" s="26">
        <v>0</v>
      </c>
      <c r="F664" s="26">
        <v>0</v>
      </c>
      <c r="G664" s="26">
        <v>0</v>
      </c>
      <c r="H664" s="26">
        <v>0</v>
      </c>
      <c r="I664" s="26">
        <v>0</v>
      </c>
      <c r="J664" s="26">
        <v>0</v>
      </c>
      <c r="K664" s="26">
        <v>0</v>
      </c>
      <c r="L664" s="26">
        <v>0</v>
      </c>
      <c r="M664" s="26">
        <v>0</v>
      </c>
    </row>
    <row r="665" spans="1:13">
      <c r="A665" s="24" t="s">
        <v>286</v>
      </c>
      <c r="B665" s="24" t="s">
        <v>345</v>
      </c>
      <c r="C665" s="25">
        <v>45717</v>
      </c>
      <c r="D665" s="24" t="s">
        <v>2659</v>
      </c>
      <c r="E665" s="26">
        <v>0</v>
      </c>
      <c r="F665" s="26">
        <v>0</v>
      </c>
      <c r="G665" s="26">
        <v>0</v>
      </c>
      <c r="H665" s="26">
        <v>0</v>
      </c>
      <c r="I665" s="26">
        <v>0</v>
      </c>
      <c r="J665" s="26">
        <v>0</v>
      </c>
      <c r="K665" s="26">
        <v>0</v>
      </c>
      <c r="L665" s="26">
        <v>0</v>
      </c>
      <c r="M665" s="26">
        <v>0</v>
      </c>
    </row>
    <row r="666" spans="1:13">
      <c r="A666" s="24" t="s">
        <v>286</v>
      </c>
      <c r="B666" s="24" t="s">
        <v>345</v>
      </c>
      <c r="C666" s="25">
        <v>45748</v>
      </c>
      <c r="D666" s="24" t="s">
        <v>2660</v>
      </c>
      <c r="E666" s="26">
        <v>0</v>
      </c>
      <c r="F666" s="26">
        <v>0</v>
      </c>
      <c r="G666" s="26">
        <v>0</v>
      </c>
      <c r="H666" s="26">
        <v>0</v>
      </c>
      <c r="I666" s="26">
        <v>0</v>
      </c>
      <c r="J666" s="26">
        <v>0</v>
      </c>
      <c r="K666" s="26">
        <v>0</v>
      </c>
      <c r="L666" s="26">
        <v>0</v>
      </c>
      <c r="M666" s="26">
        <v>0</v>
      </c>
    </row>
    <row r="667" spans="1:13">
      <c r="A667" s="24" t="s">
        <v>286</v>
      </c>
      <c r="B667" s="24" t="s">
        <v>345</v>
      </c>
      <c r="C667" s="25">
        <v>45778</v>
      </c>
      <c r="D667" s="24" t="s">
        <v>2661</v>
      </c>
      <c r="E667" s="26">
        <v>0</v>
      </c>
      <c r="F667" s="26">
        <v>0</v>
      </c>
      <c r="G667" s="26">
        <v>0</v>
      </c>
      <c r="H667" s="26">
        <v>0</v>
      </c>
      <c r="I667" s="26">
        <v>0</v>
      </c>
      <c r="J667" s="26">
        <v>0</v>
      </c>
      <c r="K667" s="26">
        <v>0</v>
      </c>
      <c r="L667" s="26">
        <v>0</v>
      </c>
      <c r="M667" s="26">
        <v>0</v>
      </c>
    </row>
    <row r="668" spans="1:13">
      <c r="A668" s="24" t="s">
        <v>286</v>
      </c>
      <c r="B668" s="24" t="s">
        <v>345</v>
      </c>
      <c r="C668" s="25">
        <v>45809</v>
      </c>
      <c r="D668" s="24" t="s">
        <v>2662</v>
      </c>
      <c r="E668" s="26">
        <v>0</v>
      </c>
      <c r="F668" s="26">
        <v>0</v>
      </c>
      <c r="G668" s="26">
        <v>0</v>
      </c>
      <c r="H668" s="26">
        <v>0</v>
      </c>
      <c r="I668" s="26">
        <v>0</v>
      </c>
      <c r="J668" s="26">
        <v>0</v>
      </c>
      <c r="K668" s="26">
        <v>0</v>
      </c>
      <c r="L668" s="26">
        <v>0</v>
      </c>
      <c r="M668" s="26">
        <v>0</v>
      </c>
    </row>
    <row r="669" spans="1:13">
      <c r="A669" s="24" t="s">
        <v>286</v>
      </c>
      <c r="B669" s="24" t="s">
        <v>345</v>
      </c>
      <c r="C669" s="25">
        <v>45839</v>
      </c>
      <c r="D669" s="24" t="s">
        <v>2663</v>
      </c>
      <c r="E669" s="26">
        <v>0</v>
      </c>
      <c r="F669" s="26">
        <v>0</v>
      </c>
      <c r="G669" s="26">
        <v>42730.27</v>
      </c>
      <c r="H669" s="26">
        <v>42730.27</v>
      </c>
      <c r="I669" s="26">
        <v>0</v>
      </c>
      <c r="J669" s="26">
        <v>0</v>
      </c>
      <c r="K669" s="26">
        <v>0</v>
      </c>
      <c r="L669" s="26">
        <v>42730.27</v>
      </c>
      <c r="M669" s="26">
        <v>0</v>
      </c>
    </row>
    <row r="670" spans="1:13">
      <c r="A670" s="24" t="s">
        <v>286</v>
      </c>
      <c r="B670" s="24" t="s">
        <v>345</v>
      </c>
      <c r="C670" s="25">
        <v>45870</v>
      </c>
      <c r="D670" s="24" t="s">
        <v>2664</v>
      </c>
      <c r="E670" s="26">
        <v>-56306.82</v>
      </c>
      <c r="F670" s="26">
        <v>0</v>
      </c>
      <c r="G670" s="26">
        <v>5965.0800000000017</v>
      </c>
      <c r="H670" s="26">
        <v>-50341.74</v>
      </c>
      <c r="I670" s="26">
        <v>56306.82</v>
      </c>
      <c r="J670" s="26">
        <v>0</v>
      </c>
      <c r="K670" s="26">
        <v>56306.82</v>
      </c>
      <c r="L670" s="26">
        <v>38736.06</v>
      </c>
      <c r="M670" s="26">
        <v>-145384.62</v>
      </c>
    </row>
    <row r="671" spans="1:13">
      <c r="A671" s="24" t="s">
        <v>286</v>
      </c>
      <c r="B671" s="24" t="s">
        <v>345</v>
      </c>
      <c r="C671" s="25">
        <v>45901</v>
      </c>
      <c r="D671" s="24" t="s">
        <v>2665</v>
      </c>
      <c r="E671" s="26">
        <v>88334.12</v>
      </c>
      <c r="F671" s="26">
        <v>0</v>
      </c>
      <c r="G671" s="26">
        <v>0</v>
      </c>
      <c r="H671" s="26">
        <v>88334.12</v>
      </c>
      <c r="I671" s="26">
        <v>56306.82</v>
      </c>
      <c r="J671" s="26">
        <v>0</v>
      </c>
      <c r="K671" s="26">
        <v>56306.82</v>
      </c>
      <c r="L671" s="26">
        <v>133582.04</v>
      </c>
      <c r="M671" s="26">
        <v>-101554.74</v>
      </c>
    </row>
    <row r="672" spans="1:13">
      <c r="A672" s="24" t="s">
        <v>286</v>
      </c>
      <c r="B672" s="24" t="s">
        <v>345</v>
      </c>
      <c r="C672" s="25">
        <v>45931</v>
      </c>
      <c r="D672" s="24" t="s">
        <v>2666</v>
      </c>
      <c r="E672" s="26">
        <v>88334.12</v>
      </c>
      <c r="F672" s="26">
        <v>0</v>
      </c>
      <c r="G672" s="26">
        <v>26449.649999999991</v>
      </c>
      <c r="H672" s="26">
        <v>114783.77</v>
      </c>
      <c r="I672" s="26">
        <v>56306.82</v>
      </c>
      <c r="J672" s="26">
        <v>0</v>
      </c>
      <c r="K672" s="26">
        <v>56306.82</v>
      </c>
      <c r="L672" s="26">
        <v>203861.57</v>
      </c>
      <c r="M672" s="26">
        <v>-145384.62</v>
      </c>
    </row>
    <row r="673" spans="1:13">
      <c r="A673" s="24" t="s">
        <v>286</v>
      </c>
      <c r="B673" s="24" t="s">
        <v>345</v>
      </c>
      <c r="C673" s="25">
        <v>45962</v>
      </c>
      <c r="D673" s="24" t="s">
        <v>2667</v>
      </c>
      <c r="E673" s="26">
        <v>88334.12</v>
      </c>
      <c r="F673" s="26">
        <v>0</v>
      </c>
      <c r="G673" s="26">
        <v>46697.63</v>
      </c>
      <c r="H673" s="26">
        <v>135031.75</v>
      </c>
      <c r="I673" s="26">
        <v>56306.82</v>
      </c>
      <c r="J673" s="26">
        <v>0</v>
      </c>
      <c r="K673" s="26">
        <v>56306.82</v>
      </c>
      <c r="L673" s="26">
        <v>282692.36</v>
      </c>
      <c r="M673" s="26">
        <v>-203967.43</v>
      </c>
    </row>
    <row r="674" spans="1:13">
      <c r="A674" s="24" t="s">
        <v>286</v>
      </c>
      <c r="B674" s="24" t="s">
        <v>345</v>
      </c>
      <c r="C674" s="25">
        <v>45992</v>
      </c>
      <c r="D674" s="24" t="s">
        <v>2668</v>
      </c>
      <c r="E674" s="26">
        <v>88334.12</v>
      </c>
      <c r="F674" s="26">
        <v>0</v>
      </c>
      <c r="G674" s="26">
        <v>46697.63</v>
      </c>
      <c r="H674" s="26">
        <v>135031.75</v>
      </c>
      <c r="I674" s="26">
        <v>56306.82</v>
      </c>
      <c r="J674" s="26">
        <v>0</v>
      </c>
      <c r="K674" s="26">
        <v>56306.82</v>
      </c>
      <c r="L674" s="26">
        <v>282692.36</v>
      </c>
      <c r="M674" s="26">
        <v>-203967.43</v>
      </c>
    </row>
    <row r="675" spans="1:13">
      <c r="A675" s="24" t="s">
        <v>142</v>
      </c>
      <c r="B675" s="24" t="s">
        <v>329</v>
      </c>
      <c r="C675" s="25">
        <v>45658</v>
      </c>
      <c r="D675" s="24" t="s">
        <v>2657</v>
      </c>
      <c r="E675" s="26">
        <v>0</v>
      </c>
      <c r="F675" s="26">
        <v>0</v>
      </c>
      <c r="G675" s="26">
        <v>0</v>
      </c>
      <c r="H675" s="26">
        <v>0</v>
      </c>
      <c r="I675" s="26">
        <v>0</v>
      </c>
      <c r="J675" s="26">
        <v>0</v>
      </c>
      <c r="K675" s="26">
        <v>0</v>
      </c>
      <c r="L675" s="26">
        <v>0</v>
      </c>
      <c r="M675" s="26">
        <v>0</v>
      </c>
    </row>
    <row r="676" spans="1:13">
      <c r="A676" s="24" t="s">
        <v>142</v>
      </c>
      <c r="B676" s="24" t="s">
        <v>329</v>
      </c>
      <c r="C676" s="25">
        <v>45689</v>
      </c>
      <c r="D676" s="24" t="s">
        <v>2658</v>
      </c>
      <c r="E676" s="26">
        <v>0</v>
      </c>
      <c r="F676" s="26">
        <v>0</v>
      </c>
      <c r="G676" s="26">
        <v>0</v>
      </c>
      <c r="H676" s="26">
        <v>0</v>
      </c>
      <c r="I676" s="26">
        <v>0</v>
      </c>
      <c r="J676" s="26">
        <v>0</v>
      </c>
      <c r="K676" s="26">
        <v>0</v>
      </c>
      <c r="L676" s="26">
        <v>0</v>
      </c>
      <c r="M676" s="26">
        <v>0</v>
      </c>
    </row>
    <row r="677" spans="1:13">
      <c r="A677" s="24" t="s">
        <v>142</v>
      </c>
      <c r="B677" s="24" t="s">
        <v>329</v>
      </c>
      <c r="C677" s="25">
        <v>45717</v>
      </c>
      <c r="D677" s="24" t="s">
        <v>2659</v>
      </c>
      <c r="E677" s="26">
        <v>0</v>
      </c>
      <c r="F677" s="26">
        <v>0</v>
      </c>
      <c r="G677" s="26">
        <v>0</v>
      </c>
      <c r="H677" s="26">
        <v>0</v>
      </c>
      <c r="I677" s="26">
        <v>0</v>
      </c>
      <c r="J677" s="26">
        <v>0</v>
      </c>
      <c r="K677" s="26">
        <v>0</v>
      </c>
      <c r="L677" s="26">
        <v>0</v>
      </c>
      <c r="M677" s="26">
        <v>0</v>
      </c>
    </row>
    <row r="678" spans="1:13">
      <c r="A678" s="24" t="s">
        <v>142</v>
      </c>
      <c r="B678" s="24" t="s">
        <v>329</v>
      </c>
      <c r="C678" s="25">
        <v>45748</v>
      </c>
      <c r="D678" s="24" t="s">
        <v>2660</v>
      </c>
      <c r="E678" s="26">
        <v>0</v>
      </c>
      <c r="F678" s="26">
        <v>0</v>
      </c>
      <c r="G678" s="26">
        <v>0</v>
      </c>
      <c r="H678" s="26">
        <v>0</v>
      </c>
      <c r="I678" s="26">
        <v>0</v>
      </c>
      <c r="J678" s="26">
        <v>0</v>
      </c>
      <c r="K678" s="26">
        <v>0</v>
      </c>
      <c r="L678" s="26">
        <v>0</v>
      </c>
      <c r="M678" s="26">
        <v>0</v>
      </c>
    </row>
    <row r="679" spans="1:13">
      <c r="A679" s="24" t="s">
        <v>142</v>
      </c>
      <c r="B679" s="24" t="s">
        <v>329</v>
      </c>
      <c r="C679" s="25">
        <v>45778</v>
      </c>
      <c r="D679" s="24" t="s">
        <v>2661</v>
      </c>
      <c r="E679" s="26">
        <v>0</v>
      </c>
      <c r="F679" s="26">
        <v>0</v>
      </c>
      <c r="G679" s="26">
        <v>0</v>
      </c>
      <c r="H679" s="26">
        <v>0</v>
      </c>
      <c r="I679" s="26">
        <v>0</v>
      </c>
      <c r="J679" s="26">
        <v>0</v>
      </c>
      <c r="K679" s="26">
        <v>0</v>
      </c>
      <c r="L679" s="26">
        <v>0</v>
      </c>
      <c r="M679" s="26">
        <v>0</v>
      </c>
    </row>
    <row r="680" spans="1:13">
      <c r="A680" s="24" t="s">
        <v>142</v>
      </c>
      <c r="B680" s="24" t="s">
        <v>329</v>
      </c>
      <c r="C680" s="25">
        <v>45809</v>
      </c>
      <c r="D680" s="24" t="s">
        <v>2662</v>
      </c>
      <c r="E680" s="26">
        <v>0</v>
      </c>
      <c r="F680" s="26">
        <v>0</v>
      </c>
      <c r="G680" s="26">
        <v>0</v>
      </c>
      <c r="H680" s="26">
        <v>0</v>
      </c>
      <c r="I680" s="26">
        <v>0</v>
      </c>
      <c r="J680" s="26">
        <v>0</v>
      </c>
      <c r="K680" s="26">
        <v>0</v>
      </c>
      <c r="L680" s="26">
        <v>0</v>
      </c>
      <c r="M680" s="26">
        <v>0</v>
      </c>
    </row>
    <row r="681" spans="1:13">
      <c r="A681" s="24" t="s">
        <v>142</v>
      </c>
      <c r="B681" s="24" t="s">
        <v>329</v>
      </c>
      <c r="C681" s="25">
        <v>45839</v>
      </c>
      <c r="D681" s="24" t="s">
        <v>2663</v>
      </c>
      <c r="E681" s="26">
        <v>-30262.53</v>
      </c>
      <c r="F681" s="26">
        <v>0</v>
      </c>
      <c r="G681" s="26">
        <v>36223.199999999997</v>
      </c>
      <c r="H681" s="26">
        <v>5960.6699999999983</v>
      </c>
      <c r="I681" s="26">
        <v>30262.53</v>
      </c>
      <c r="J681" s="26">
        <v>0</v>
      </c>
      <c r="K681" s="26">
        <v>30262.53</v>
      </c>
      <c r="L681" s="26">
        <v>5960.6699999999983</v>
      </c>
      <c r="M681" s="26">
        <v>-30262.53</v>
      </c>
    </row>
    <row r="682" spans="1:13">
      <c r="A682" s="24" t="s">
        <v>142</v>
      </c>
      <c r="B682" s="24" t="s">
        <v>329</v>
      </c>
      <c r="C682" s="25">
        <v>45870</v>
      </c>
      <c r="D682" s="24" t="s">
        <v>2664</v>
      </c>
      <c r="E682" s="26">
        <v>-30262.53</v>
      </c>
      <c r="F682" s="26">
        <v>44172.93</v>
      </c>
      <c r="G682" s="26">
        <v>0</v>
      </c>
      <c r="H682" s="26">
        <v>13910.4</v>
      </c>
      <c r="I682" s="26">
        <v>30262.53</v>
      </c>
      <c r="J682" s="26">
        <v>0</v>
      </c>
      <c r="K682" s="26">
        <v>30262.53</v>
      </c>
      <c r="L682" s="26">
        <v>5960.6699999999983</v>
      </c>
      <c r="M682" s="26">
        <v>-22312.799999999999</v>
      </c>
    </row>
    <row r="683" spans="1:13">
      <c r="A683" s="24" t="s">
        <v>142</v>
      </c>
      <c r="B683" s="24" t="s">
        <v>329</v>
      </c>
      <c r="C683" s="25">
        <v>45901</v>
      </c>
      <c r="D683" s="24" t="s">
        <v>2665</v>
      </c>
      <c r="E683" s="26">
        <v>-111258.86</v>
      </c>
      <c r="F683" s="26">
        <v>44172.93</v>
      </c>
      <c r="G683" s="26">
        <v>0</v>
      </c>
      <c r="H683" s="26">
        <v>-67085.929999999993</v>
      </c>
      <c r="I683" s="26">
        <v>30262.53</v>
      </c>
      <c r="J683" s="26">
        <v>0</v>
      </c>
      <c r="K683" s="26">
        <v>30262.53</v>
      </c>
      <c r="L683" s="26">
        <v>-52135.710000000006</v>
      </c>
      <c r="M683" s="26">
        <v>-45212.749999999993</v>
      </c>
    </row>
    <row r="684" spans="1:13">
      <c r="A684" s="24" t="s">
        <v>142</v>
      </c>
      <c r="B684" s="24" t="s">
        <v>329</v>
      </c>
      <c r="C684" s="25">
        <v>45931</v>
      </c>
      <c r="D684" s="24" t="s">
        <v>2666</v>
      </c>
      <c r="E684" s="26">
        <v>-53285.81</v>
      </c>
      <c r="F684" s="26">
        <v>44172.93</v>
      </c>
      <c r="G684" s="26">
        <v>0</v>
      </c>
      <c r="H684" s="26">
        <v>-9112.8799999999974</v>
      </c>
      <c r="I684" s="26">
        <v>48562.36</v>
      </c>
      <c r="J684" s="26">
        <v>170830.48</v>
      </c>
      <c r="K684" s="26">
        <v>219392.84</v>
      </c>
      <c r="L684" s="26">
        <v>-46295.8</v>
      </c>
      <c r="M684" s="26">
        <v>-182209.92000000001</v>
      </c>
    </row>
    <row r="685" spans="1:13">
      <c r="A685" s="24" t="s">
        <v>142</v>
      </c>
      <c r="B685" s="24" t="s">
        <v>329</v>
      </c>
      <c r="C685" s="25">
        <v>45962</v>
      </c>
      <c r="D685" s="24" t="s">
        <v>2667</v>
      </c>
      <c r="E685" s="26">
        <v>-175489.11</v>
      </c>
      <c r="F685" s="26">
        <v>44172.93</v>
      </c>
      <c r="G685" s="26">
        <v>0</v>
      </c>
      <c r="H685" s="26">
        <v>-131316.18</v>
      </c>
      <c r="I685" s="26">
        <v>48562.36</v>
      </c>
      <c r="J685" s="26">
        <v>170830.48</v>
      </c>
      <c r="K685" s="26">
        <v>219392.84</v>
      </c>
      <c r="L685" s="26">
        <v>-168499.1</v>
      </c>
      <c r="M685" s="26">
        <v>-182209.92000000001</v>
      </c>
    </row>
    <row r="686" spans="1:13">
      <c r="A686" s="24" t="s">
        <v>142</v>
      </c>
      <c r="B686" s="24" t="s">
        <v>329</v>
      </c>
      <c r="C686" s="25">
        <v>45992</v>
      </c>
      <c r="D686" s="24" t="s">
        <v>2668</v>
      </c>
      <c r="E686" s="26">
        <v>-189701.77</v>
      </c>
      <c r="F686" s="26">
        <v>44172.93</v>
      </c>
      <c r="G686" s="26">
        <v>0</v>
      </c>
      <c r="H686" s="26">
        <v>-145528.84</v>
      </c>
      <c r="I686" s="26">
        <v>62775.02</v>
      </c>
      <c r="J686" s="26">
        <v>170830.48</v>
      </c>
      <c r="K686" s="26">
        <v>233605.5</v>
      </c>
      <c r="L686" s="26">
        <v>-182711.76</v>
      </c>
      <c r="M686" s="26">
        <v>-196422.58</v>
      </c>
    </row>
    <row r="687" spans="1:13">
      <c r="A687" s="24" t="s">
        <v>103</v>
      </c>
      <c r="B687" s="24" t="s">
        <v>318</v>
      </c>
      <c r="C687" s="25">
        <v>45658</v>
      </c>
      <c r="D687" s="24" t="s">
        <v>2657</v>
      </c>
      <c r="E687" s="26">
        <v>0</v>
      </c>
      <c r="F687" s="26">
        <v>0</v>
      </c>
      <c r="G687" s="26">
        <v>0</v>
      </c>
      <c r="H687" s="26">
        <v>0</v>
      </c>
      <c r="I687" s="26">
        <v>0</v>
      </c>
      <c r="J687" s="26">
        <v>0</v>
      </c>
      <c r="K687" s="26">
        <v>0</v>
      </c>
      <c r="L687" s="26">
        <v>0</v>
      </c>
      <c r="M687" s="26">
        <v>0</v>
      </c>
    </row>
    <row r="688" spans="1:13">
      <c r="A688" s="24" t="s">
        <v>103</v>
      </c>
      <c r="B688" s="24" t="s">
        <v>318</v>
      </c>
      <c r="C688" s="25">
        <v>45689</v>
      </c>
      <c r="D688" s="24" t="s">
        <v>2658</v>
      </c>
      <c r="E688" s="26">
        <v>0</v>
      </c>
      <c r="F688" s="26">
        <v>0</v>
      </c>
      <c r="G688" s="26">
        <v>0</v>
      </c>
      <c r="H688" s="26">
        <v>0</v>
      </c>
      <c r="I688" s="26">
        <v>0</v>
      </c>
      <c r="J688" s="26">
        <v>0</v>
      </c>
      <c r="K688" s="26">
        <v>0</v>
      </c>
      <c r="L688" s="26">
        <v>0</v>
      </c>
      <c r="M688" s="26">
        <v>0</v>
      </c>
    </row>
    <row r="689" spans="1:13">
      <c r="A689" s="24" t="s">
        <v>103</v>
      </c>
      <c r="B689" s="24" t="s">
        <v>318</v>
      </c>
      <c r="C689" s="25">
        <v>45717</v>
      </c>
      <c r="D689" s="24" t="s">
        <v>2659</v>
      </c>
      <c r="E689" s="26">
        <v>0</v>
      </c>
      <c r="F689" s="26">
        <v>0</v>
      </c>
      <c r="G689" s="26">
        <v>0</v>
      </c>
      <c r="H689" s="26">
        <v>0</v>
      </c>
      <c r="I689" s="26">
        <v>0</v>
      </c>
      <c r="J689" s="26">
        <v>0</v>
      </c>
      <c r="K689" s="26">
        <v>0</v>
      </c>
      <c r="L689" s="26">
        <v>0</v>
      </c>
      <c r="M689" s="26">
        <v>0</v>
      </c>
    </row>
    <row r="690" spans="1:13">
      <c r="A690" s="24" t="s">
        <v>103</v>
      </c>
      <c r="B690" s="24" t="s">
        <v>318</v>
      </c>
      <c r="C690" s="25">
        <v>45748</v>
      </c>
      <c r="D690" s="24" t="s">
        <v>2660</v>
      </c>
      <c r="E690" s="26">
        <v>0</v>
      </c>
      <c r="F690" s="26">
        <v>0</v>
      </c>
      <c r="G690" s="26">
        <v>0</v>
      </c>
      <c r="H690" s="26">
        <v>0</v>
      </c>
      <c r="I690" s="26">
        <v>0</v>
      </c>
      <c r="J690" s="26">
        <v>0</v>
      </c>
      <c r="K690" s="26">
        <v>0</v>
      </c>
      <c r="L690" s="26">
        <v>0</v>
      </c>
      <c r="M690" s="26">
        <v>0</v>
      </c>
    </row>
    <row r="691" spans="1:13">
      <c r="A691" s="24" t="s">
        <v>103</v>
      </c>
      <c r="B691" s="24" t="s">
        <v>318</v>
      </c>
      <c r="C691" s="25">
        <v>45778</v>
      </c>
      <c r="D691" s="24" t="s">
        <v>2661</v>
      </c>
      <c r="E691" s="26">
        <v>0</v>
      </c>
      <c r="F691" s="26">
        <v>0</v>
      </c>
      <c r="G691" s="26">
        <v>0</v>
      </c>
      <c r="H691" s="26">
        <v>0</v>
      </c>
      <c r="I691" s="26">
        <v>0</v>
      </c>
      <c r="J691" s="26">
        <v>0</v>
      </c>
      <c r="K691" s="26">
        <v>0</v>
      </c>
      <c r="L691" s="26">
        <v>0</v>
      </c>
      <c r="M691" s="26">
        <v>0</v>
      </c>
    </row>
    <row r="692" spans="1:13">
      <c r="A692" s="24" t="s">
        <v>103</v>
      </c>
      <c r="B692" s="24" t="s">
        <v>318</v>
      </c>
      <c r="C692" s="25">
        <v>45809</v>
      </c>
      <c r="D692" s="24" t="s">
        <v>2662</v>
      </c>
      <c r="E692" s="26">
        <v>0</v>
      </c>
      <c r="F692" s="26">
        <v>0</v>
      </c>
      <c r="G692" s="26">
        <v>0</v>
      </c>
      <c r="H692" s="26">
        <v>0</v>
      </c>
      <c r="I692" s="26">
        <v>0</v>
      </c>
      <c r="J692" s="26">
        <v>0</v>
      </c>
      <c r="K692" s="26">
        <v>0</v>
      </c>
      <c r="L692" s="26">
        <v>0</v>
      </c>
      <c r="M692" s="26">
        <v>0</v>
      </c>
    </row>
    <row r="693" spans="1:13">
      <c r="A693" s="24" t="s">
        <v>103</v>
      </c>
      <c r="B693" s="24" t="s">
        <v>318</v>
      </c>
      <c r="C693" s="25">
        <v>45839</v>
      </c>
      <c r="D693" s="24" t="s">
        <v>2663</v>
      </c>
      <c r="E693" s="26">
        <v>0</v>
      </c>
      <c r="F693" s="26">
        <v>0</v>
      </c>
      <c r="G693" s="26">
        <v>0</v>
      </c>
      <c r="H693" s="26">
        <v>0</v>
      </c>
      <c r="I693" s="26">
        <v>0</v>
      </c>
      <c r="J693" s="26">
        <v>0</v>
      </c>
      <c r="K693" s="26">
        <v>0</v>
      </c>
      <c r="L693" s="26">
        <v>0</v>
      </c>
      <c r="M693" s="26">
        <v>0</v>
      </c>
    </row>
    <row r="694" spans="1:13">
      <c r="A694" s="24" t="s">
        <v>103</v>
      </c>
      <c r="B694" s="24" t="s">
        <v>318</v>
      </c>
      <c r="C694" s="25">
        <v>45870</v>
      </c>
      <c r="D694" s="24" t="s">
        <v>2664</v>
      </c>
      <c r="E694" s="26">
        <v>-102957.19</v>
      </c>
      <c r="F694" s="26">
        <v>0</v>
      </c>
      <c r="G694" s="26">
        <v>0</v>
      </c>
      <c r="H694" s="26">
        <v>-102957.19</v>
      </c>
      <c r="I694" s="26">
        <v>63340.21</v>
      </c>
      <c r="J694" s="26">
        <v>0</v>
      </c>
      <c r="K694" s="26">
        <v>63340.21</v>
      </c>
      <c r="L694" s="26">
        <v>-102957.19</v>
      </c>
      <c r="M694" s="26">
        <v>-63340.209999999992</v>
      </c>
    </row>
    <row r="695" spans="1:13">
      <c r="A695" s="24" t="s">
        <v>103</v>
      </c>
      <c r="B695" s="24" t="s">
        <v>318</v>
      </c>
      <c r="C695" s="25">
        <v>45901</v>
      </c>
      <c r="D695" s="24" t="s">
        <v>2665</v>
      </c>
      <c r="E695" s="26">
        <v>-181359.99</v>
      </c>
      <c r="F695" s="26">
        <v>0</v>
      </c>
      <c r="G695" s="26">
        <v>0</v>
      </c>
      <c r="H695" s="26">
        <v>-181359.99</v>
      </c>
      <c r="I695" s="26">
        <v>141743.01</v>
      </c>
      <c r="J695" s="26">
        <v>0</v>
      </c>
      <c r="K695" s="26">
        <v>141743.01</v>
      </c>
      <c r="L695" s="26">
        <v>-181359.99</v>
      </c>
      <c r="M695" s="26">
        <v>-141743.01</v>
      </c>
    </row>
    <row r="696" spans="1:13">
      <c r="A696" s="24" t="s">
        <v>103</v>
      </c>
      <c r="B696" s="24" t="s">
        <v>318</v>
      </c>
      <c r="C696" s="25">
        <v>45931</v>
      </c>
      <c r="D696" s="24" t="s">
        <v>2666</v>
      </c>
      <c r="E696" s="26">
        <v>-236290.03</v>
      </c>
      <c r="F696" s="26">
        <v>0</v>
      </c>
      <c r="G696" s="26">
        <v>0</v>
      </c>
      <c r="H696" s="26">
        <v>-236290.03</v>
      </c>
      <c r="I696" s="26">
        <v>196673.05</v>
      </c>
      <c r="J696" s="26">
        <v>0</v>
      </c>
      <c r="K696" s="26">
        <v>196673.05</v>
      </c>
      <c r="L696" s="26">
        <v>-236290.03</v>
      </c>
      <c r="M696" s="26">
        <v>-196673.05</v>
      </c>
    </row>
    <row r="697" spans="1:13">
      <c r="A697" s="24" t="s">
        <v>103</v>
      </c>
      <c r="B697" s="24" t="s">
        <v>318</v>
      </c>
      <c r="C697" s="25">
        <v>45962</v>
      </c>
      <c r="D697" s="24" t="s">
        <v>2667</v>
      </c>
      <c r="E697" s="26">
        <v>-236290.03</v>
      </c>
      <c r="F697" s="26">
        <v>0</v>
      </c>
      <c r="G697" s="26">
        <v>0</v>
      </c>
      <c r="H697" s="26">
        <v>-236290.03</v>
      </c>
      <c r="I697" s="26">
        <v>196673.05</v>
      </c>
      <c r="J697" s="26">
        <v>0</v>
      </c>
      <c r="K697" s="26">
        <v>196673.05</v>
      </c>
      <c r="L697" s="26">
        <v>-236290.03</v>
      </c>
      <c r="M697" s="26">
        <v>-196673.05</v>
      </c>
    </row>
    <row r="698" spans="1:13">
      <c r="A698" s="24" t="s">
        <v>103</v>
      </c>
      <c r="B698" s="24" t="s">
        <v>318</v>
      </c>
      <c r="C698" s="25">
        <v>45992</v>
      </c>
      <c r="D698" s="24" t="s">
        <v>2668</v>
      </c>
      <c r="E698" s="26">
        <v>-236290.03</v>
      </c>
      <c r="F698" s="26">
        <v>0</v>
      </c>
      <c r="G698" s="26">
        <v>0</v>
      </c>
      <c r="H698" s="26">
        <v>-236290.03</v>
      </c>
      <c r="I698" s="26">
        <v>196673.05</v>
      </c>
      <c r="J698" s="26">
        <v>51519.72</v>
      </c>
      <c r="K698" s="26">
        <v>248192.77</v>
      </c>
      <c r="L698" s="26">
        <v>-233209.45</v>
      </c>
      <c r="M698" s="26">
        <v>-251273.35</v>
      </c>
    </row>
    <row r="699" spans="1:13">
      <c r="A699" s="24" t="s">
        <v>49</v>
      </c>
      <c r="B699" s="24" t="s">
        <v>329</v>
      </c>
      <c r="C699" s="25">
        <v>45658</v>
      </c>
      <c r="D699" s="24" t="s">
        <v>2657</v>
      </c>
      <c r="E699" s="26">
        <v>0</v>
      </c>
      <c r="F699" s="26">
        <v>0</v>
      </c>
      <c r="G699" s="26">
        <v>0</v>
      </c>
      <c r="H699" s="26">
        <v>0</v>
      </c>
      <c r="I699" s="26">
        <v>0</v>
      </c>
      <c r="J699" s="26">
        <v>0</v>
      </c>
      <c r="K699" s="26">
        <v>0</v>
      </c>
      <c r="L699" s="26">
        <v>0</v>
      </c>
      <c r="M699" s="26">
        <v>0</v>
      </c>
    </row>
    <row r="700" spans="1:13">
      <c r="A700" s="24" t="s">
        <v>49</v>
      </c>
      <c r="B700" s="24" t="s">
        <v>329</v>
      </c>
      <c r="C700" s="25">
        <v>45689</v>
      </c>
      <c r="D700" s="24" t="s">
        <v>2658</v>
      </c>
      <c r="E700" s="26">
        <v>0</v>
      </c>
      <c r="F700" s="26">
        <v>0</v>
      </c>
      <c r="G700" s="26">
        <v>0</v>
      </c>
      <c r="H700" s="26">
        <v>0</v>
      </c>
      <c r="I700" s="26">
        <v>0</v>
      </c>
      <c r="J700" s="26">
        <v>0</v>
      </c>
      <c r="K700" s="26">
        <v>0</v>
      </c>
      <c r="L700" s="26">
        <v>0</v>
      </c>
      <c r="M700" s="26">
        <v>0</v>
      </c>
    </row>
    <row r="701" spans="1:13">
      <c r="A701" s="24" t="s">
        <v>49</v>
      </c>
      <c r="B701" s="24" t="s">
        <v>329</v>
      </c>
      <c r="C701" s="25">
        <v>45717</v>
      </c>
      <c r="D701" s="24" t="s">
        <v>2659</v>
      </c>
      <c r="E701" s="26">
        <v>0</v>
      </c>
      <c r="F701" s="26">
        <v>0</v>
      </c>
      <c r="G701" s="26">
        <v>0</v>
      </c>
      <c r="H701" s="26">
        <v>0</v>
      </c>
      <c r="I701" s="26">
        <v>0</v>
      </c>
      <c r="J701" s="26">
        <v>0</v>
      </c>
      <c r="K701" s="26">
        <v>0</v>
      </c>
      <c r="L701" s="26">
        <v>0</v>
      </c>
      <c r="M701" s="26">
        <v>0</v>
      </c>
    </row>
    <row r="702" spans="1:13">
      <c r="A702" s="24" t="s">
        <v>49</v>
      </c>
      <c r="B702" s="24" t="s">
        <v>329</v>
      </c>
      <c r="C702" s="25">
        <v>45748</v>
      </c>
      <c r="D702" s="24" t="s">
        <v>2660</v>
      </c>
      <c r="E702" s="26">
        <v>0</v>
      </c>
      <c r="F702" s="26">
        <v>0</v>
      </c>
      <c r="G702" s="26">
        <v>0</v>
      </c>
      <c r="H702" s="26">
        <v>0</v>
      </c>
      <c r="I702" s="26">
        <v>0</v>
      </c>
      <c r="J702" s="26">
        <v>0</v>
      </c>
      <c r="K702" s="26">
        <v>0</v>
      </c>
      <c r="L702" s="26">
        <v>0</v>
      </c>
      <c r="M702" s="26">
        <v>0</v>
      </c>
    </row>
    <row r="703" spans="1:13">
      <c r="A703" s="24" t="s">
        <v>49</v>
      </c>
      <c r="B703" s="24" t="s">
        <v>329</v>
      </c>
      <c r="C703" s="25">
        <v>45778</v>
      </c>
      <c r="D703" s="24" t="s">
        <v>2661</v>
      </c>
      <c r="E703" s="26">
        <v>0</v>
      </c>
      <c r="F703" s="26">
        <v>0</v>
      </c>
      <c r="G703" s="26">
        <v>0</v>
      </c>
      <c r="H703" s="26">
        <v>0</v>
      </c>
      <c r="I703" s="26">
        <v>0</v>
      </c>
      <c r="J703" s="26">
        <v>0</v>
      </c>
      <c r="K703" s="26">
        <v>0</v>
      </c>
      <c r="L703" s="26">
        <v>0</v>
      </c>
      <c r="M703" s="26">
        <v>0</v>
      </c>
    </row>
    <row r="704" spans="1:13">
      <c r="A704" s="24" t="s">
        <v>49</v>
      </c>
      <c r="B704" s="24" t="s">
        <v>329</v>
      </c>
      <c r="C704" s="25">
        <v>45809</v>
      </c>
      <c r="D704" s="24" t="s">
        <v>2662</v>
      </c>
      <c r="E704" s="26">
        <v>0</v>
      </c>
      <c r="F704" s="26">
        <v>0</v>
      </c>
      <c r="G704" s="26">
        <v>0</v>
      </c>
      <c r="H704" s="26">
        <v>0</v>
      </c>
      <c r="I704" s="26">
        <v>0</v>
      </c>
      <c r="J704" s="26">
        <v>0</v>
      </c>
      <c r="K704" s="26">
        <v>0</v>
      </c>
      <c r="L704" s="26">
        <v>0</v>
      </c>
      <c r="M704" s="26">
        <v>0</v>
      </c>
    </row>
    <row r="705" spans="1:13">
      <c r="A705" s="24" t="s">
        <v>49</v>
      </c>
      <c r="B705" s="24" t="s">
        <v>329</v>
      </c>
      <c r="C705" s="25">
        <v>45839</v>
      </c>
      <c r="D705" s="24" t="s">
        <v>2663</v>
      </c>
      <c r="E705" s="26">
        <v>0</v>
      </c>
      <c r="F705" s="26">
        <v>0</v>
      </c>
      <c r="G705" s="26">
        <v>0</v>
      </c>
      <c r="H705" s="26">
        <v>0</v>
      </c>
      <c r="I705" s="26">
        <v>0</v>
      </c>
      <c r="J705" s="26">
        <v>0</v>
      </c>
      <c r="K705" s="26">
        <v>0</v>
      </c>
      <c r="L705" s="26">
        <v>0</v>
      </c>
      <c r="M705" s="26">
        <v>0</v>
      </c>
    </row>
    <row r="706" spans="1:13">
      <c r="A706" s="24" t="s">
        <v>49</v>
      </c>
      <c r="B706" s="24" t="s">
        <v>329</v>
      </c>
      <c r="C706" s="25">
        <v>45870</v>
      </c>
      <c r="D706" s="24" t="s">
        <v>2664</v>
      </c>
      <c r="E706" s="26">
        <v>0</v>
      </c>
      <c r="F706" s="26">
        <v>0</v>
      </c>
      <c r="G706" s="26">
        <v>0</v>
      </c>
      <c r="H706" s="26">
        <v>0</v>
      </c>
      <c r="I706" s="26">
        <v>0</v>
      </c>
      <c r="J706" s="26">
        <v>0</v>
      </c>
      <c r="K706" s="26">
        <v>0</v>
      </c>
      <c r="L706" s="26">
        <v>0</v>
      </c>
      <c r="M706" s="26">
        <v>0</v>
      </c>
    </row>
    <row r="707" spans="1:13">
      <c r="A707" s="24" t="s">
        <v>49</v>
      </c>
      <c r="B707" s="24" t="s">
        <v>329</v>
      </c>
      <c r="C707" s="25">
        <v>45901</v>
      </c>
      <c r="D707" s="24" t="s">
        <v>2665</v>
      </c>
      <c r="E707" s="26">
        <v>0</v>
      </c>
      <c r="F707" s="26">
        <v>0</v>
      </c>
      <c r="G707" s="26">
        <v>0</v>
      </c>
      <c r="H707" s="26">
        <v>0</v>
      </c>
      <c r="I707" s="26">
        <v>0</v>
      </c>
      <c r="J707" s="26">
        <v>0</v>
      </c>
      <c r="K707" s="26">
        <v>0</v>
      </c>
      <c r="L707" s="26">
        <v>11245.04</v>
      </c>
      <c r="M707" s="26">
        <v>-11245.04</v>
      </c>
    </row>
    <row r="708" spans="1:13">
      <c r="A708" s="24" t="s">
        <v>49</v>
      </c>
      <c r="B708" s="24" t="s">
        <v>329</v>
      </c>
      <c r="C708" s="25">
        <v>45931</v>
      </c>
      <c r="D708" s="24" t="s">
        <v>2666</v>
      </c>
      <c r="E708" s="26">
        <v>0</v>
      </c>
      <c r="F708" s="26">
        <v>0</v>
      </c>
      <c r="G708" s="26">
        <v>0</v>
      </c>
      <c r="H708" s="26">
        <v>0</v>
      </c>
      <c r="I708" s="26">
        <v>0</v>
      </c>
      <c r="J708" s="26">
        <v>0</v>
      </c>
      <c r="K708" s="26">
        <v>0</v>
      </c>
      <c r="L708" s="26">
        <v>11245.04</v>
      </c>
      <c r="M708" s="26">
        <v>-11245.04</v>
      </c>
    </row>
    <row r="709" spans="1:13">
      <c r="A709" s="24" t="s">
        <v>49</v>
      </c>
      <c r="B709" s="24" t="s">
        <v>329</v>
      </c>
      <c r="C709" s="25">
        <v>45962</v>
      </c>
      <c r="D709" s="24" t="s">
        <v>2667</v>
      </c>
      <c r="E709" s="26">
        <v>0</v>
      </c>
      <c r="F709" s="26">
        <v>0</v>
      </c>
      <c r="G709" s="26">
        <v>0</v>
      </c>
      <c r="H709" s="26">
        <v>0</v>
      </c>
      <c r="I709" s="26">
        <v>0</v>
      </c>
      <c r="J709" s="26">
        <v>0</v>
      </c>
      <c r="K709" s="26">
        <v>0</v>
      </c>
      <c r="L709" s="26">
        <v>11245.04</v>
      </c>
      <c r="M709" s="26">
        <v>-11245.04</v>
      </c>
    </row>
    <row r="710" spans="1:13">
      <c r="A710" s="24" t="s">
        <v>49</v>
      </c>
      <c r="B710" s="24" t="s">
        <v>329</v>
      </c>
      <c r="C710" s="25">
        <v>45992</v>
      </c>
      <c r="D710" s="24" t="s">
        <v>2668</v>
      </c>
      <c r="E710" s="26">
        <v>0</v>
      </c>
      <c r="F710" s="26">
        <v>12070.22</v>
      </c>
      <c r="G710" s="26">
        <v>0</v>
      </c>
      <c r="H710" s="26">
        <v>12070.22</v>
      </c>
      <c r="I710" s="26">
        <v>0</v>
      </c>
      <c r="J710" s="26">
        <v>0</v>
      </c>
      <c r="K710" s="26">
        <v>0</v>
      </c>
      <c r="L710" s="26">
        <v>20120.87</v>
      </c>
      <c r="M710" s="26">
        <v>-8050.6500000000033</v>
      </c>
    </row>
    <row r="711" spans="1:13">
      <c r="A711" s="24" t="s">
        <v>223</v>
      </c>
      <c r="B711" s="24" t="s">
        <v>324</v>
      </c>
      <c r="C711" s="25">
        <v>45658</v>
      </c>
      <c r="D711" s="24" t="s">
        <v>2657</v>
      </c>
      <c r="E711" s="26">
        <v>0</v>
      </c>
      <c r="F711" s="26">
        <v>0</v>
      </c>
      <c r="G711" s="26">
        <v>0</v>
      </c>
      <c r="H711" s="26">
        <v>0</v>
      </c>
      <c r="I711" s="26">
        <v>0</v>
      </c>
      <c r="J711" s="26">
        <v>0</v>
      </c>
      <c r="K711" s="26">
        <v>0</v>
      </c>
      <c r="L711" s="26">
        <v>0</v>
      </c>
      <c r="M711" s="26">
        <v>0</v>
      </c>
    </row>
    <row r="712" spans="1:13">
      <c r="A712" s="24" t="s">
        <v>223</v>
      </c>
      <c r="B712" s="24" t="s">
        <v>324</v>
      </c>
      <c r="C712" s="25">
        <v>45689</v>
      </c>
      <c r="D712" s="24" t="s">
        <v>2658</v>
      </c>
      <c r="E712" s="26">
        <v>0</v>
      </c>
      <c r="F712" s="26">
        <v>0</v>
      </c>
      <c r="G712" s="26">
        <v>0</v>
      </c>
      <c r="H712" s="26">
        <v>0</v>
      </c>
      <c r="I712" s="26">
        <v>0</v>
      </c>
      <c r="J712" s="26">
        <v>0</v>
      </c>
      <c r="K712" s="26">
        <v>0</v>
      </c>
      <c r="L712" s="26">
        <v>0</v>
      </c>
      <c r="M712" s="26">
        <v>0</v>
      </c>
    </row>
    <row r="713" spans="1:13">
      <c r="A713" s="24" t="s">
        <v>223</v>
      </c>
      <c r="B713" s="24" t="s">
        <v>324</v>
      </c>
      <c r="C713" s="25">
        <v>45717</v>
      </c>
      <c r="D713" s="24" t="s">
        <v>2659</v>
      </c>
      <c r="E713" s="26">
        <v>0</v>
      </c>
      <c r="F713" s="26">
        <v>0</v>
      </c>
      <c r="G713" s="26">
        <v>0</v>
      </c>
      <c r="H713" s="26">
        <v>0</v>
      </c>
      <c r="I713" s="26">
        <v>0</v>
      </c>
      <c r="J713" s="26">
        <v>0</v>
      </c>
      <c r="K713" s="26">
        <v>0</v>
      </c>
      <c r="L713" s="26">
        <v>0</v>
      </c>
      <c r="M713" s="26">
        <v>0</v>
      </c>
    </row>
    <row r="714" spans="1:13">
      <c r="A714" s="24" t="s">
        <v>223</v>
      </c>
      <c r="B714" s="24" t="s">
        <v>324</v>
      </c>
      <c r="C714" s="25">
        <v>45748</v>
      </c>
      <c r="D714" s="24" t="s">
        <v>2660</v>
      </c>
      <c r="E714" s="26">
        <v>0</v>
      </c>
      <c r="F714" s="26">
        <v>0</v>
      </c>
      <c r="G714" s="26">
        <v>0</v>
      </c>
      <c r="H714" s="26">
        <v>0</v>
      </c>
      <c r="I714" s="26">
        <v>0</v>
      </c>
      <c r="J714" s="26">
        <v>0</v>
      </c>
      <c r="K714" s="26">
        <v>0</v>
      </c>
      <c r="L714" s="26">
        <v>0</v>
      </c>
      <c r="M714" s="26">
        <v>0</v>
      </c>
    </row>
    <row r="715" spans="1:13">
      <c r="A715" s="24" t="s">
        <v>223</v>
      </c>
      <c r="B715" s="24" t="s">
        <v>324</v>
      </c>
      <c r="C715" s="25">
        <v>45778</v>
      </c>
      <c r="D715" s="24" t="s">
        <v>2661</v>
      </c>
      <c r="E715" s="26">
        <v>0</v>
      </c>
      <c r="F715" s="26">
        <v>0</v>
      </c>
      <c r="G715" s="26">
        <v>0</v>
      </c>
      <c r="H715" s="26">
        <v>0</v>
      </c>
      <c r="I715" s="26">
        <v>0</v>
      </c>
      <c r="J715" s="26">
        <v>0</v>
      </c>
      <c r="K715" s="26">
        <v>0</v>
      </c>
      <c r="L715" s="26">
        <v>0</v>
      </c>
      <c r="M715" s="26">
        <v>0</v>
      </c>
    </row>
    <row r="716" spans="1:13">
      <c r="A716" s="24" t="s">
        <v>223</v>
      </c>
      <c r="B716" s="24" t="s">
        <v>324</v>
      </c>
      <c r="C716" s="25">
        <v>45809</v>
      </c>
      <c r="D716" s="24" t="s">
        <v>2662</v>
      </c>
      <c r="E716" s="26">
        <v>0</v>
      </c>
      <c r="F716" s="26">
        <v>0</v>
      </c>
      <c r="G716" s="26">
        <v>0</v>
      </c>
      <c r="H716" s="26">
        <v>0</v>
      </c>
      <c r="I716" s="26">
        <v>0</v>
      </c>
      <c r="J716" s="26">
        <v>0</v>
      </c>
      <c r="K716" s="26">
        <v>0</v>
      </c>
      <c r="L716" s="26">
        <v>0</v>
      </c>
      <c r="M716" s="26">
        <v>0</v>
      </c>
    </row>
    <row r="717" spans="1:13">
      <c r="A717" s="24" t="s">
        <v>223</v>
      </c>
      <c r="B717" s="24" t="s">
        <v>324</v>
      </c>
      <c r="C717" s="25">
        <v>45839</v>
      </c>
      <c r="D717" s="24" t="s">
        <v>2663</v>
      </c>
      <c r="E717" s="26">
        <v>0</v>
      </c>
      <c r="F717" s="26">
        <v>0</v>
      </c>
      <c r="G717" s="26">
        <v>0</v>
      </c>
      <c r="H717" s="26">
        <v>0</v>
      </c>
      <c r="I717" s="26">
        <v>0</v>
      </c>
      <c r="J717" s="26">
        <v>0</v>
      </c>
      <c r="K717" s="26">
        <v>0</v>
      </c>
      <c r="L717" s="26">
        <v>0</v>
      </c>
      <c r="M717" s="26">
        <v>0</v>
      </c>
    </row>
    <row r="718" spans="1:13">
      <c r="A718" s="24" t="s">
        <v>223</v>
      </c>
      <c r="B718" s="24" t="s">
        <v>324</v>
      </c>
      <c r="C718" s="25">
        <v>45870</v>
      </c>
      <c r="D718" s="24" t="s">
        <v>2664</v>
      </c>
      <c r="E718" s="26">
        <v>-42208.14</v>
      </c>
      <c r="F718" s="26">
        <v>153081.32999999999</v>
      </c>
      <c r="G718" s="26">
        <v>0</v>
      </c>
      <c r="H718" s="26">
        <v>110873.19</v>
      </c>
      <c r="I718" s="26">
        <v>0</v>
      </c>
      <c r="J718" s="26">
        <v>0</v>
      </c>
      <c r="K718" s="26">
        <v>0</v>
      </c>
      <c r="L718" s="26">
        <v>45347.56</v>
      </c>
      <c r="M718" s="26">
        <v>65525.62999999999</v>
      </c>
    </row>
    <row r="719" spans="1:13">
      <c r="A719" s="24" t="s">
        <v>223</v>
      </c>
      <c r="B719" s="24" t="s">
        <v>324</v>
      </c>
      <c r="C719" s="25">
        <v>45901</v>
      </c>
      <c r="D719" s="24" t="s">
        <v>2665</v>
      </c>
      <c r="E719" s="26">
        <v>-42208.14</v>
      </c>
      <c r="F719" s="26">
        <v>153081.32999999999</v>
      </c>
      <c r="G719" s="26">
        <v>0</v>
      </c>
      <c r="H719" s="26">
        <v>110873.19</v>
      </c>
      <c r="I719" s="26">
        <v>0</v>
      </c>
      <c r="J719" s="26">
        <v>18166.070000000011</v>
      </c>
      <c r="K719" s="26">
        <v>18166.070000000011</v>
      </c>
      <c r="L719" s="26">
        <v>45347.56</v>
      </c>
      <c r="M719" s="26">
        <v>47359.559999999983</v>
      </c>
    </row>
    <row r="720" spans="1:13">
      <c r="A720" s="24" t="s">
        <v>223</v>
      </c>
      <c r="B720" s="24" t="s">
        <v>324</v>
      </c>
      <c r="C720" s="25">
        <v>45931</v>
      </c>
      <c r="D720" s="24" t="s">
        <v>2666</v>
      </c>
      <c r="E720" s="26">
        <v>-42208.14</v>
      </c>
      <c r="F720" s="26">
        <v>153081.32999999999</v>
      </c>
      <c r="G720" s="26">
        <v>0</v>
      </c>
      <c r="H720" s="26">
        <v>110873.19</v>
      </c>
      <c r="I720" s="26">
        <v>0</v>
      </c>
      <c r="J720" s="26">
        <v>18166.070000000011</v>
      </c>
      <c r="K720" s="26">
        <v>18166.070000000011</v>
      </c>
      <c r="L720" s="26">
        <v>45347.56</v>
      </c>
      <c r="M720" s="26">
        <v>47359.559999999983</v>
      </c>
    </row>
    <row r="721" spans="1:13">
      <c r="A721" s="24" t="s">
        <v>223</v>
      </c>
      <c r="B721" s="24" t="s">
        <v>324</v>
      </c>
      <c r="C721" s="25">
        <v>45962</v>
      </c>
      <c r="D721" s="24" t="s">
        <v>2667</v>
      </c>
      <c r="E721" s="26">
        <v>-98043.78</v>
      </c>
      <c r="F721" s="26">
        <v>153081.32999999999</v>
      </c>
      <c r="G721" s="26">
        <v>0</v>
      </c>
      <c r="H721" s="26">
        <v>55037.549999999988</v>
      </c>
      <c r="I721" s="26">
        <v>55835.64</v>
      </c>
      <c r="J721" s="26">
        <v>18166.070000000011</v>
      </c>
      <c r="K721" s="26">
        <v>74001.710000000006</v>
      </c>
      <c r="L721" s="26">
        <v>-10488.08</v>
      </c>
      <c r="M721" s="26">
        <v>-8476.0800000000163</v>
      </c>
    </row>
    <row r="722" spans="1:13">
      <c r="A722" s="24" t="s">
        <v>223</v>
      </c>
      <c r="B722" s="24" t="s">
        <v>324</v>
      </c>
      <c r="C722" s="25">
        <v>45992</v>
      </c>
      <c r="D722" s="24" t="s">
        <v>2668</v>
      </c>
      <c r="E722" s="26">
        <v>-98043.78</v>
      </c>
      <c r="F722" s="26">
        <v>153081.32999999999</v>
      </c>
      <c r="G722" s="26">
        <v>0</v>
      </c>
      <c r="H722" s="26">
        <v>55037.549999999988</v>
      </c>
      <c r="I722" s="26">
        <v>55835.64</v>
      </c>
      <c r="J722" s="26">
        <v>18166.070000000011</v>
      </c>
      <c r="K722" s="26">
        <v>74001.710000000006</v>
      </c>
      <c r="L722" s="26">
        <v>-10488.08</v>
      </c>
      <c r="M722" s="26">
        <v>-8476.0800000000163</v>
      </c>
    </row>
    <row r="723" spans="1:13">
      <c r="A723" s="24" t="s">
        <v>45</v>
      </c>
      <c r="B723" s="24" t="s">
        <v>324</v>
      </c>
      <c r="C723" s="25">
        <v>45658</v>
      </c>
      <c r="D723" s="24" t="s">
        <v>2657</v>
      </c>
      <c r="E723" s="26">
        <v>0</v>
      </c>
      <c r="F723" s="26">
        <v>0</v>
      </c>
      <c r="G723" s="26">
        <v>0</v>
      </c>
      <c r="H723" s="26">
        <v>0</v>
      </c>
      <c r="I723" s="26">
        <v>0</v>
      </c>
      <c r="J723" s="26">
        <v>0</v>
      </c>
      <c r="K723" s="26">
        <v>0</v>
      </c>
      <c r="L723" s="26">
        <v>0</v>
      </c>
      <c r="M723" s="26">
        <v>0</v>
      </c>
    </row>
    <row r="724" spans="1:13">
      <c r="A724" s="24" t="s">
        <v>45</v>
      </c>
      <c r="B724" s="24" t="s">
        <v>324</v>
      </c>
      <c r="C724" s="25">
        <v>45689</v>
      </c>
      <c r="D724" s="24" t="s">
        <v>2658</v>
      </c>
      <c r="E724" s="26">
        <v>0</v>
      </c>
      <c r="F724" s="26">
        <v>0</v>
      </c>
      <c r="G724" s="26">
        <v>0</v>
      </c>
      <c r="H724" s="26">
        <v>0</v>
      </c>
      <c r="I724" s="26">
        <v>0</v>
      </c>
      <c r="J724" s="26">
        <v>0</v>
      </c>
      <c r="K724" s="26">
        <v>0</v>
      </c>
      <c r="L724" s="26">
        <v>0</v>
      </c>
      <c r="M724" s="26">
        <v>0</v>
      </c>
    </row>
    <row r="725" spans="1:13">
      <c r="A725" s="24" t="s">
        <v>45</v>
      </c>
      <c r="B725" s="24" t="s">
        <v>324</v>
      </c>
      <c r="C725" s="25">
        <v>45717</v>
      </c>
      <c r="D725" s="24" t="s">
        <v>2659</v>
      </c>
      <c r="E725" s="26">
        <v>0</v>
      </c>
      <c r="F725" s="26">
        <v>0</v>
      </c>
      <c r="G725" s="26">
        <v>0</v>
      </c>
      <c r="H725" s="26">
        <v>0</v>
      </c>
      <c r="I725" s="26">
        <v>0</v>
      </c>
      <c r="J725" s="26">
        <v>0</v>
      </c>
      <c r="K725" s="26">
        <v>0</v>
      </c>
      <c r="L725" s="26">
        <v>0</v>
      </c>
      <c r="M725" s="26">
        <v>0</v>
      </c>
    </row>
    <row r="726" spans="1:13">
      <c r="A726" s="24" t="s">
        <v>45</v>
      </c>
      <c r="B726" s="24" t="s">
        <v>324</v>
      </c>
      <c r="C726" s="25">
        <v>45748</v>
      </c>
      <c r="D726" s="24" t="s">
        <v>2660</v>
      </c>
      <c r="E726" s="26">
        <v>0</v>
      </c>
      <c r="F726" s="26">
        <v>0</v>
      </c>
      <c r="G726" s="26">
        <v>0</v>
      </c>
      <c r="H726" s="26">
        <v>0</v>
      </c>
      <c r="I726" s="26">
        <v>0</v>
      </c>
      <c r="J726" s="26">
        <v>0</v>
      </c>
      <c r="K726" s="26">
        <v>0</v>
      </c>
      <c r="L726" s="26">
        <v>0</v>
      </c>
      <c r="M726" s="26">
        <v>0</v>
      </c>
    </row>
    <row r="727" spans="1:13">
      <c r="A727" s="24" t="s">
        <v>45</v>
      </c>
      <c r="B727" s="24" t="s">
        <v>324</v>
      </c>
      <c r="C727" s="25">
        <v>45778</v>
      </c>
      <c r="D727" s="24" t="s">
        <v>2661</v>
      </c>
      <c r="E727" s="26">
        <v>0</v>
      </c>
      <c r="F727" s="26">
        <v>0</v>
      </c>
      <c r="G727" s="26">
        <v>0</v>
      </c>
      <c r="H727" s="26">
        <v>0</v>
      </c>
      <c r="I727" s="26">
        <v>0</v>
      </c>
      <c r="J727" s="26">
        <v>0</v>
      </c>
      <c r="K727" s="26">
        <v>0</v>
      </c>
      <c r="L727" s="26">
        <v>0</v>
      </c>
      <c r="M727" s="26">
        <v>0</v>
      </c>
    </row>
    <row r="728" spans="1:13">
      <c r="A728" s="24" t="s">
        <v>45</v>
      </c>
      <c r="B728" s="24" t="s">
        <v>324</v>
      </c>
      <c r="C728" s="25">
        <v>45809</v>
      </c>
      <c r="D728" s="24" t="s">
        <v>2662</v>
      </c>
      <c r="E728" s="26">
        <v>0</v>
      </c>
      <c r="F728" s="26">
        <v>0</v>
      </c>
      <c r="G728" s="26">
        <v>0</v>
      </c>
      <c r="H728" s="26">
        <v>0</v>
      </c>
      <c r="I728" s="26">
        <v>0</v>
      </c>
      <c r="J728" s="26">
        <v>0</v>
      </c>
      <c r="K728" s="26">
        <v>0</v>
      </c>
      <c r="L728" s="26">
        <v>0</v>
      </c>
      <c r="M728" s="26">
        <v>0</v>
      </c>
    </row>
    <row r="729" spans="1:13">
      <c r="A729" s="24" t="s">
        <v>45</v>
      </c>
      <c r="B729" s="24" t="s">
        <v>324</v>
      </c>
      <c r="C729" s="25">
        <v>45839</v>
      </c>
      <c r="D729" s="24" t="s">
        <v>2663</v>
      </c>
      <c r="E729" s="26">
        <v>0</v>
      </c>
      <c r="F729" s="26">
        <v>0</v>
      </c>
      <c r="G729" s="26">
        <v>33803.46</v>
      </c>
      <c r="H729" s="26">
        <v>33803.46</v>
      </c>
      <c r="I729" s="26">
        <v>0</v>
      </c>
      <c r="J729" s="26">
        <v>0</v>
      </c>
      <c r="K729" s="26">
        <v>0</v>
      </c>
      <c r="L729" s="26">
        <v>33803.46</v>
      </c>
      <c r="M729" s="26">
        <v>0</v>
      </c>
    </row>
    <row r="730" spans="1:13">
      <c r="A730" s="24" t="s">
        <v>45</v>
      </c>
      <c r="B730" s="24" t="s">
        <v>324</v>
      </c>
      <c r="C730" s="25">
        <v>45870</v>
      </c>
      <c r="D730" s="24" t="s">
        <v>2664</v>
      </c>
      <c r="E730" s="26">
        <v>0</v>
      </c>
      <c r="F730" s="26">
        <v>0</v>
      </c>
      <c r="G730" s="26">
        <v>66888.33</v>
      </c>
      <c r="H730" s="26">
        <v>66888.33</v>
      </c>
      <c r="I730" s="26">
        <v>0</v>
      </c>
      <c r="J730" s="26">
        <v>0</v>
      </c>
      <c r="K730" s="26">
        <v>0</v>
      </c>
      <c r="L730" s="26">
        <v>66888.33</v>
      </c>
      <c r="M730" s="26">
        <v>0</v>
      </c>
    </row>
    <row r="731" spans="1:13">
      <c r="A731" s="24" t="s">
        <v>45</v>
      </c>
      <c r="B731" s="24" t="s">
        <v>324</v>
      </c>
      <c r="C731" s="25">
        <v>45901</v>
      </c>
      <c r="D731" s="24" t="s">
        <v>2665</v>
      </c>
      <c r="E731" s="26">
        <v>0</v>
      </c>
      <c r="F731" s="26">
        <v>0</v>
      </c>
      <c r="G731" s="26">
        <v>34880.9</v>
      </c>
      <c r="H731" s="26">
        <v>34880.9</v>
      </c>
      <c r="I731" s="26">
        <v>0</v>
      </c>
      <c r="J731" s="26">
        <v>0</v>
      </c>
      <c r="K731" s="26">
        <v>0</v>
      </c>
      <c r="L731" s="26">
        <v>66888.33</v>
      </c>
      <c r="M731" s="26">
        <v>-32007.43</v>
      </c>
    </row>
    <row r="732" spans="1:13">
      <c r="A732" s="24" t="s">
        <v>45</v>
      </c>
      <c r="B732" s="24" t="s">
        <v>324</v>
      </c>
      <c r="C732" s="25">
        <v>45931</v>
      </c>
      <c r="D732" s="24" t="s">
        <v>2666</v>
      </c>
      <c r="E732" s="26">
        <v>0</v>
      </c>
      <c r="F732" s="26">
        <v>0</v>
      </c>
      <c r="G732" s="26">
        <v>0</v>
      </c>
      <c r="H732" s="26">
        <v>0</v>
      </c>
      <c r="I732" s="26">
        <v>0</v>
      </c>
      <c r="J732" s="26">
        <v>0</v>
      </c>
      <c r="K732" s="26">
        <v>0</v>
      </c>
      <c r="L732" s="26">
        <v>66888.33</v>
      </c>
      <c r="M732" s="26">
        <v>-66888.33</v>
      </c>
    </row>
    <row r="733" spans="1:13">
      <c r="A733" s="24" t="s">
        <v>45</v>
      </c>
      <c r="B733" s="24" t="s">
        <v>324</v>
      </c>
      <c r="C733" s="25">
        <v>45962</v>
      </c>
      <c r="D733" s="24" t="s">
        <v>2667</v>
      </c>
      <c r="E733" s="26">
        <v>0</v>
      </c>
      <c r="F733" s="26">
        <v>0</v>
      </c>
      <c r="G733" s="26">
        <v>0</v>
      </c>
      <c r="H733" s="26">
        <v>0</v>
      </c>
      <c r="I733" s="26">
        <v>0</v>
      </c>
      <c r="J733" s="26">
        <v>0</v>
      </c>
      <c r="K733" s="26">
        <v>0</v>
      </c>
      <c r="L733" s="26">
        <v>66888.33</v>
      </c>
      <c r="M733" s="26">
        <v>-66888.33</v>
      </c>
    </row>
    <row r="734" spans="1:13">
      <c r="A734" s="24" t="s">
        <v>45</v>
      </c>
      <c r="B734" s="24" t="s">
        <v>324</v>
      </c>
      <c r="C734" s="25">
        <v>45992</v>
      </c>
      <c r="D734" s="24" t="s">
        <v>2668</v>
      </c>
      <c r="E734" s="26">
        <v>-41063.949999999997</v>
      </c>
      <c r="F734" s="26">
        <v>0</v>
      </c>
      <c r="G734" s="26">
        <v>0</v>
      </c>
      <c r="H734" s="26">
        <v>-41063.949999999997</v>
      </c>
      <c r="I734" s="26">
        <v>41063.949999999997</v>
      </c>
      <c r="J734" s="26">
        <v>0</v>
      </c>
      <c r="K734" s="26">
        <v>41063.949999999997</v>
      </c>
      <c r="L734" s="26">
        <v>25824.38</v>
      </c>
      <c r="M734" s="26">
        <v>-107952.28</v>
      </c>
    </row>
    <row r="735" spans="1:13">
      <c r="A735" s="24" t="s">
        <v>212</v>
      </c>
      <c r="B735" s="24" t="s">
        <v>329</v>
      </c>
      <c r="C735" s="25">
        <v>45658</v>
      </c>
      <c r="D735" s="24" t="s">
        <v>2657</v>
      </c>
      <c r="E735" s="26">
        <v>0</v>
      </c>
      <c r="F735" s="26">
        <v>0</v>
      </c>
      <c r="G735" s="26">
        <v>0</v>
      </c>
      <c r="H735" s="26">
        <v>0</v>
      </c>
      <c r="I735" s="26">
        <v>0</v>
      </c>
      <c r="J735" s="26">
        <v>0</v>
      </c>
      <c r="K735" s="26">
        <v>0</v>
      </c>
      <c r="L735" s="26">
        <v>0</v>
      </c>
      <c r="M735" s="26">
        <v>0</v>
      </c>
    </row>
    <row r="736" spans="1:13">
      <c r="A736" s="24" t="s">
        <v>212</v>
      </c>
      <c r="B736" s="24" t="s">
        <v>329</v>
      </c>
      <c r="C736" s="25">
        <v>45689</v>
      </c>
      <c r="D736" s="24" t="s">
        <v>2658</v>
      </c>
      <c r="E736" s="26">
        <v>0</v>
      </c>
      <c r="F736" s="26">
        <v>0</v>
      </c>
      <c r="G736" s="26">
        <v>0</v>
      </c>
      <c r="H736" s="26">
        <v>0</v>
      </c>
      <c r="I736" s="26">
        <v>0</v>
      </c>
      <c r="J736" s="26">
        <v>0</v>
      </c>
      <c r="K736" s="26">
        <v>0</v>
      </c>
      <c r="L736" s="26">
        <v>0</v>
      </c>
      <c r="M736" s="26">
        <v>0</v>
      </c>
    </row>
    <row r="737" spans="1:13">
      <c r="A737" s="24" t="s">
        <v>212</v>
      </c>
      <c r="B737" s="24" t="s">
        <v>329</v>
      </c>
      <c r="C737" s="25">
        <v>45717</v>
      </c>
      <c r="D737" s="24" t="s">
        <v>2659</v>
      </c>
      <c r="E737" s="26">
        <v>0</v>
      </c>
      <c r="F737" s="26">
        <v>0</v>
      </c>
      <c r="G737" s="26">
        <v>0</v>
      </c>
      <c r="H737" s="26">
        <v>0</v>
      </c>
      <c r="I737" s="26">
        <v>0</v>
      </c>
      <c r="J737" s="26">
        <v>0</v>
      </c>
      <c r="K737" s="26">
        <v>0</v>
      </c>
      <c r="L737" s="26">
        <v>0</v>
      </c>
      <c r="M737" s="26">
        <v>0</v>
      </c>
    </row>
    <row r="738" spans="1:13">
      <c r="A738" s="24" t="s">
        <v>212</v>
      </c>
      <c r="B738" s="24" t="s">
        <v>329</v>
      </c>
      <c r="C738" s="25">
        <v>45748</v>
      </c>
      <c r="D738" s="24" t="s">
        <v>2660</v>
      </c>
      <c r="E738" s="26">
        <v>0</v>
      </c>
      <c r="F738" s="26">
        <v>0</v>
      </c>
      <c r="G738" s="26">
        <v>0</v>
      </c>
      <c r="H738" s="26">
        <v>0</v>
      </c>
      <c r="I738" s="26">
        <v>0</v>
      </c>
      <c r="J738" s="26">
        <v>0</v>
      </c>
      <c r="K738" s="26">
        <v>0</v>
      </c>
      <c r="L738" s="26">
        <v>0</v>
      </c>
      <c r="M738" s="26">
        <v>0</v>
      </c>
    </row>
    <row r="739" spans="1:13">
      <c r="A739" s="24" t="s">
        <v>212</v>
      </c>
      <c r="B739" s="24" t="s">
        <v>329</v>
      </c>
      <c r="C739" s="25">
        <v>45778</v>
      </c>
      <c r="D739" s="24" t="s">
        <v>2661</v>
      </c>
      <c r="E739" s="26">
        <v>0</v>
      </c>
      <c r="F739" s="26">
        <v>0</v>
      </c>
      <c r="G739" s="26">
        <v>0</v>
      </c>
      <c r="H739" s="26">
        <v>0</v>
      </c>
      <c r="I739" s="26">
        <v>0</v>
      </c>
      <c r="J739" s="26">
        <v>0</v>
      </c>
      <c r="K739" s="26">
        <v>0</v>
      </c>
      <c r="L739" s="26">
        <v>0</v>
      </c>
      <c r="M739" s="26">
        <v>0</v>
      </c>
    </row>
    <row r="740" spans="1:13">
      <c r="A740" s="24" t="s">
        <v>212</v>
      </c>
      <c r="B740" s="24" t="s">
        <v>329</v>
      </c>
      <c r="C740" s="25">
        <v>45809</v>
      </c>
      <c r="D740" s="24" t="s">
        <v>2662</v>
      </c>
      <c r="E740" s="26">
        <v>0</v>
      </c>
      <c r="F740" s="26">
        <v>0</v>
      </c>
      <c r="G740" s="26">
        <v>0</v>
      </c>
      <c r="H740" s="26">
        <v>0</v>
      </c>
      <c r="I740" s="26">
        <v>0</v>
      </c>
      <c r="J740" s="26">
        <v>0</v>
      </c>
      <c r="K740" s="26">
        <v>0</v>
      </c>
      <c r="L740" s="26">
        <v>0</v>
      </c>
      <c r="M740" s="26">
        <v>0</v>
      </c>
    </row>
    <row r="741" spans="1:13">
      <c r="A741" s="24" t="s">
        <v>212</v>
      </c>
      <c r="B741" s="24" t="s">
        <v>329</v>
      </c>
      <c r="C741" s="25">
        <v>45839</v>
      </c>
      <c r="D741" s="24" t="s">
        <v>2663</v>
      </c>
      <c r="E741" s="26">
        <v>0</v>
      </c>
      <c r="F741" s="26">
        <v>0</v>
      </c>
      <c r="G741" s="26">
        <v>0</v>
      </c>
      <c r="H741" s="26">
        <v>0</v>
      </c>
      <c r="I741" s="26">
        <v>0</v>
      </c>
      <c r="J741" s="26">
        <v>0</v>
      </c>
      <c r="K741" s="26">
        <v>0</v>
      </c>
      <c r="L741" s="26">
        <v>0</v>
      </c>
      <c r="M741" s="26">
        <v>0</v>
      </c>
    </row>
    <row r="742" spans="1:13">
      <c r="A742" s="24" t="s">
        <v>212</v>
      </c>
      <c r="B742" s="24" t="s">
        <v>329</v>
      </c>
      <c r="C742" s="25">
        <v>45870</v>
      </c>
      <c r="D742" s="24" t="s">
        <v>2664</v>
      </c>
      <c r="E742" s="26">
        <v>0</v>
      </c>
      <c r="F742" s="26">
        <v>0</v>
      </c>
      <c r="G742" s="26">
        <v>0</v>
      </c>
      <c r="H742" s="26">
        <v>0</v>
      </c>
      <c r="I742" s="26">
        <v>0</v>
      </c>
      <c r="J742" s="26">
        <v>0</v>
      </c>
      <c r="K742" s="26">
        <v>0</v>
      </c>
      <c r="L742" s="26">
        <v>0</v>
      </c>
      <c r="M742" s="26">
        <v>0</v>
      </c>
    </row>
    <row r="743" spans="1:13">
      <c r="A743" s="24" t="s">
        <v>212</v>
      </c>
      <c r="B743" s="24" t="s">
        <v>329</v>
      </c>
      <c r="C743" s="25">
        <v>45901</v>
      </c>
      <c r="D743" s="24" t="s">
        <v>2665</v>
      </c>
      <c r="E743" s="26">
        <v>0</v>
      </c>
      <c r="F743" s="26">
        <v>0</v>
      </c>
      <c r="G743" s="26">
        <v>32457.35</v>
      </c>
      <c r="H743" s="26">
        <v>32457.35</v>
      </c>
      <c r="I743" s="26">
        <v>0</v>
      </c>
      <c r="J743" s="26">
        <v>0</v>
      </c>
      <c r="K743" s="26">
        <v>0</v>
      </c>
      <c r="L743" s="26">
        <v>32457.35</v>
      </c>
      <c r="M743" s="26">
        <v>0</v>
      </c>
    </row>
    <row r="744" spans="1:13">
      <c r="A744" s="24" t="s">
        <v>212</v>
      </c>
      <c r="B744" s="24" t="s">
        <v>329</v>
      </c>
      <c r="C744" s="25">
        <v>45931</v>
      </c>
      <c r="D744" s="24" t="s">
        <v>2666</v>
      </c>
      <c r="E744" s="26">
        <v>-91986.559999999998</v>
      </c>
      <c r="F744" s="26">
        <v>0</v>
      </c>
      <c r="G744" s="26">
        <v>59874.31</v>
      </c>
      <c r="H744" s="26">
        <v>-32112.25</v>
      </c>
      <c r="I744" s="26">
        <v>0</v>
      </c>
      <c r="J744" s="26">
        <v>0</v>
      </c>
      <c r="K744" s="26">
        <v>0</v>
      </c>
      <c r="L744" s="26">
        <v>-32112.25</v>
      </c>
      <c r="M744" s="26">
        <v>0</v>
      </c>
    </row>
    <row r="745" spans="1:13">
      <c r="A745" s="24" t="s">
        <v>212</v>
      </c>
      <c r="B745" s="24" t="s">
        <v>329</v>
      </c>
      <c r="C745" s="25">
        <v>45962</v>
      </c>
      <c r="D745" s="24" t="s">
        <v>2667</v>
      </c>
      <c r="E745" s="26">
        <v>-91986.559999999998</v>
      </c>
      <c r="F745" s="26">
        <v>0</v>
      </c>
      <c r="G745" s="26">
        <v>59874.31</v>
      </c>
      <c r="H745" s="26">
        <v>-32112.25</v>
      </c>
      <c r="I745" s="26">
        <v>0</v>
      </c>
      <c r="J745" s="26">
        <v>0</v>
      </c>
      <c r="K745" s="26">
        <v>0</v>
      </c>
      <c r="L745" s="26">
        <v>-32112.25</v>
      </c>
      <c r="M745" s="26">
        <v>0</v>
      </c>
    </row>
    <row r="746" spans="1:13">
      <c r="A746" s="24" t="s">
        <v>212</v>
      </c>
      <c r="B746" s="24" t="s">
        <v>329</v>
      </c>
      <c r="C746" s="25">
        <v>45992</v>
      </c>
      <c r="D746" s="24" t="s">
        <v>2668</v>
      </c>
      <c r="E746" s="26">
        <v>-200998.79</v>
      </c>
      <c r="F746" s="26">
        <v>0</v>
      </c>
      <c r="G746" s="26">
        <v>59874.31</v>
      </c>
      <c r="H746" s="26">
        <v>-141124.48000000001</v>
      </c>
      <c r="I746" s="26">
        <v>0</v>
      </c>
      <c r="J746" s="26">
        <v>89564.65</v>
      </c>
      <c r="K746" s="26">
        <v>89564.65</v>
      </c>
      <c r="L746" s="26">
        <v>-141124.48000000001</v>
      </c>
      <c r="M746" s="26">
        <v>-89564.65</v>
      </c>
    </row>
    <row r="747" spans="1:13">
      <c r="A747" s="24" t="s">
        <v>194</v>
      </c>
      <c r="B747" s="24" t="s">
        <v>318</v>
      </c>
      <c r="C747" s="25">
        <v>45658</v>
      </c>
      <c r="D747" s="24" t="s">
        <v>2657</v>
      </c>
      <c r="E747" s="26">
        <v>0</v>
      </c>
      <c r="F747" s="26">
        <v>0</v>
      </c>
      <c r="G747" s="26">
        <v>0</v>
      </c>
      <c r="H747" s="26">
        <v>0</v>
      </c>
      <c r="I747" s="26">
        <v>0</v>
      </c>
      <c r="J747" s="26">
        <v>0</v>
      </c>
      <c r="K747" s="26">
        <v>0</v>
      </c>
      <c r="L747" s="26">
        <v>0</v>
      </c>
      <c r="M747" s="26">
        <v>0</v>
      </c>
    </row>
    <row r="748" spans="1:13">
      <c r="A748" s="24" t="s">
        <v>194</v>
      </c>
      <c r="B748" s="24" t="s">
        <v>318</v>
      </c>
      <c r="C748" s="25">
        <v>45689</v>
      </c>
      <c r="D748" s="24" t="s">
        <v>2658</v>
      </c>
      <c r="E748" s="26">
        <v>0</v>
      </c>
      <c r="F748" s="26">
        <v>0</v>
      </c>
      <c r="G748" s="26">
        <v>0</v>
      </c>
      <c r="H748" s="26">
        <v>0</v>
      </c>
      <c r="I748" s="26">
        <v>0</v>
      </c>
      <c r="J748" s="26">
        <v>0</v>
      </c>
      <c r="K748" s="26">
        <v>0</v>
      </c>
      <c r="L748" s="26">
        <v>0</v>
      </c>
      <c r="M748" s="26">
        <v>0</v>
      </c>
    </row>
    <row r="749" spans="1:13">
      <c r="A749" s="24" t="s">
        <v>194</v>
      </c>
      <c r="B749" s="24" t="s">
        <v>318</v>
      </c>
      <c r="C749" s="25">
        <v>45717</v>
      </c>
      <c r="D749" s="24" t="s">
        <v>2659</v>
      </c>
      <c r="E749" s="26">
        <v>0</v>
      </c>
      <c r="F749" s="26">
        <v>0</v>
      </c>
      <c r="G749" s="26">
        <v>0</v>
      </c>
      <c r="H749" s="26">
        <v>0</v>
      </c>
      <c r="I749" s="26">
        <v>0</v>
      </c>
      <c r="J749" s="26">
        <v>0</v>
      </c>
      <c r="K749" s="26">
        <v>0</v>
      </c>
      <c r="L749" s="26">
        <v>0</v>
      </c>
      <c r="M749" s="26">
        <v>0</v>
      </c>
    </row>
    <row r="750" spans="1:13">
      <c r="A750" s="24" t="s">
        <v>194</v>
      </c>
      <c r="B750" s="24" t="s">
        <v>318</v>
      </c>
      <c r="C750" s="25">
        <v>45748</v>
      </c>
      <c r="D750" s="24" t="s">
        <v>2660</v>
      </c>
      <c r="E750" s="26">
        <v>0</v>
      </c>
      <c r="F750" s="26">
        <v>0</v>
      </c>
      <c r="G750" s="26">
        <v>0</v>
      </c>
      <c r="H750" s="26">
        <v>0</v>
      </c>
      <c r="I750" s="26">
        <v>0</v>
      </c>
      <c r="J750" s="26">
        <v>0</v>
      </c>
      <c r="K750" s="26">
        <v>0</v>
      </c>
      <c r="L750" s="26">
        <v>0</v>
      </c>
      <c r="M750" s="26">
        <v>0</v>
      </c>
    </row>
    <row r="751" spans="1:13">
      <c r="A751" s="24" t="s">
        <v>194</v>
      </c>
      <c r="B751" s="24" t="s">
        <v>318</v>
      </c>
      <c r="C751" s="25">
        <v>45778</v>
      </c>
      <c r="D751" s="24" t="s">
        <v>2661</v>
      </c>
      <c r="E751" s="26">
        <v>0</v>
      </c>
      <c r="F751" s="26">
        <v>0</v>
      </c>
      <c r="G751" s="26">
        <v>0</v>
      </c>
      <c r="H751" s="26">
        <v>0</v>
      </c>
      <c r="I751" s="26">
        <v>0</v>
      </c>
      <c r="J751" s="26">
        <v>0</v>
      </c>
      <c r="K751" s="26">
        <v>0</v>
      </c>
      <c r="L751" s="26">
        <v>0</v>
      </c>
      <c r="M751" s="26">
        <v>0</v>
      </c>
    </row>
    <row r="752" spans="1:13">
      <c r="A752" s="24" t="s">
        <v>194</v>
      </c>
      <c r="B752" s="24" t="s">
        <v>318</v>
      </c>
      <c r="C752" s="25">
        <v>45809</v>
      </c>
      <c r="D752" s="24" t="s">
        <v>2662</v>
      </c>
      <c r="E752" s="26">
        <v>0</v>
      </c>
      <c r="F752" s="26">
        <v>0</v>
      </c>
      <c r="G752" s="26">
        <v>0</v>
      </c>
      <c r="H752" s="26">
        <v>0</v>
      </c>
      <c r="I752" s="26">
        <v>0</v>
      </c>
      <c r="J752" s="26">
        <v>0</v>
      </c>
      <c r="K752" s="26">
        <v>0</v>
      </c>
      <c r="L752" s="26">
        <v>0</v>
      </c>
      <c r="M752" s="26">
        <v>0</v>
      </c>
    </row>
    <row r="753" spans="1:13">
      <c r="A753" s="24" t="s">
        <v>194</v>
      </c>
      <c r="B753" s="24" t="s">
        <v>318</v>
      </c>
      <c r="C753" s="25">
        <v>45839</v>
      </c>
      <c r="D753" s="24" t="s">
        <v>2663</v>
      </c>
      <c r="E753" s="26">
        <v>-38985.699999999997</v>
      </c>
      <c r="F753" s="26">
        <v>0</v>
      </c>
      <c r="G753" s="26">
        <v>0</v>
      </c>
      <c r="H753" s="26">
        <v>-38985.699999999997</v>
      </c>
      <c r="I753" s="26">
        <v>38985.699999999997</v>
      </c>
      <c r="J753" s="26">
        <v>0</v>
      </c>
      <c r="K753" s="26">
        <v>38985.699999999997</v>
      </c>
      <c r="L753" s="26">
        <v>-38985.699999999997</v>
      </c>
      <c r="M753" s="26">
        <v>-38985.699999999997</v>
      </c>
    </row>
    <row r="754" spans="1:13">
      <c r="A754" s="24" t="s">
        <v>194</v>
      </c>
      <c r="B754" s="24" t="s">
        <v>318</v>
      </c>
      <c r="C754" s="25">
        <v>45870</v>
      </c>
      <c r="D754" s="24" t="s">
        <v>2664</v>
      </c>
      <c r="E754" s="26">
        <v>81792.650000000009</v>
      </c>
      <c r="F754" s="26">
        <v>0</v>
      </c>
      <c r="G754" s="26">
        <v>0</v>
      </c>
      <c r="H754" s="26">
        <v>81792.650000000009</v>
      </c>
      <c r="I754" s="26">
        <v>38985.699999999997</v>
      </c>
      <c r="J754" s="26">
        <v>0</v>
      </c>
      <c r="K754" s="26">
        <v>38985.699999999997</v>
      </c>
      <c r="L754" s="26">
        <v>14867.22</v>
      </c>
      <c r="M754" s="26">
        <v>27939.73000000001</v>
      </c>
    </row>
    <row r="755" spans="1:13">
      <c r="A755" s="24" t="s">
        <v>194</v>
      </c>
      <c r="B755" s="24" t="s">
        <v>318</v>
      </c>
      <c r="C755" s="25">
        <v>45901</v>
      </c>
      <c r="D755" s="24" t="s">
        <v>2665</v>
      </c>
      <c r="E755" s="26">
        <v>81792.650000000009</v>
      </c>
      <c r="F755" s="26">
        <v>0</v>
      </c>
      <c r="G755" s="26">
        <v>0</v>
      </c>
      <c r="H755" s="26">
        <v>81792.650000000009</v>
      </c>
      <c r="I755" s="26">
        <v>38985.699999999997</v>
      </c>
      <c r="J755" s="26">
        <v>0</v>
      </c>
      <c r="K755" s="26">
        <v>38985.699999999997</v>
      </c>
      <c r="L755" s="26">
        <v>53248.99</v>
      </c>
      <c r="M755" s="26">
        <v>-10442.03999999999</v>
      </c>
    </row>
    <row r="756" spans="1:13">
      <c r="A756" s="24" t="s">
        <v>194</v>
      </c>
      <c r="B756" s="24" t="s">
        <v>318</v>
      </c>
      <c r="C756" s="25">
        <v>45931</v>
      </c>
      <c r="D756" s="24" t="s">
        <v>2666</v>
      </c>
      <c r="E756" s="26">
        <v>24452.290000000012</v>
      </c>
      <c r="F756" s="26">
        <v>0</v>
      </c>
      <c r="G756" s="26">
        <v>0</v>
      </c>
      <c r="H756" s="26">
        <v>24452.290000000012</v>
      </c>
      <c r="I756" s="26">
        <v>38985.699999999997</v>
      </c>
      <c r="J756" s="26">
        <v>0</v>
      </c>
      <c r="K756" s="26">
        <v>38985.699999999997</v>
      </c>
      <c r="L756" s="26">
        <v>-4091.3700000000031</v>
      </c>
      <c r="M756" s="26">
        <v>-10442.03999999999</v>
      </c>
    </row>
    <row r="757" spans="1:13">
      <c r="A757" s="24" t="s">
        <v>194</v>
      </c>
      <c r="B757" s="24" t="s">
        <v>318</v>
      </c>
      <c r="C757" s="25">
        <v>45962</v>
      </c>
      <c r="D757" s="24" t="s">
        <v>2667</v>
      </c>
      <c r="E757" s="26">
        <v>24452.290000000012</v>
      </c>
      <c r="F757" s="26">
        <v>0</v>
      </c>
      <c r="G757" s="26">
        <v>0</v>
      </c>
      <c r="H757" s="26">
        <v>24452.290000000012</v>
      </c>
      <c r="I757" s="26">
        <v>38985.699999999997</v>
      </c>
      <c r="J757" s="26">
        <v>0</v>
      </c>
      <c r="K757" s="26">
        <v>38985.699999999997</v>
      </c>
      <c r="L757" s="26">
        <v>53084.69</v>
      </c>
      <c r="M757" s="26">
        <v>-67618.099999999977</v>
      </c>
    </row>
    <row r="758" spans="1:13">
      <c r="A758" s="24" t="s">
        <v>194</v>
      </c>
      <c r="B758" s="24" t="s">
        <v>318</v>
      </c>
      <c r="C758" s="25">
        <v>45992</v>
      </c>
      <c r="D758" s="24" t="s">
        <v>2668</v>
      </c>
      <c r="E758" s="26">
        <v>24452.290000000012</v>
      </c>
      <c r="F758" s="26">
        <v>0</v>
      </c>
      <c r="G758" s="26">
        <v>0</v>
      </c>
      <c r="H758" s="26">
        <v>24452.290000000012</v>
      </c>
      <c r="I758" s="26">
        <v>38985.699999999997</v>
      </c>
      <c r="J758" s="26">
        <v>0</v>
      </c>
      <c r="K758" s="26">
        <v>38985.699999999997</v>
      </c>
      <c r="L758" s="26">
        <v>53084.69</v>
      </c>
      <c r="M758" s="26">
        <v>-67618.099999999977</v>
      </c>
    </row>
    <row r="759" spans="1:13">
      <c r="A759" s="24" t="s">
        <v>87</v>
      </c>
      <c r="B759" s="24" t="s">
        <v>337</v>
      </c>
      <c r="C759" s="25">
        <v>45658</v>
      </c>
      <c r="D759" s="24" t="s">
        <v>2657</v>
      </c>
      <c r="E759" s="26">
        <v>0</v>
      </c>
      <c r="F759" s="26">
        <v>0</v>
      </c>
      <c r="G759" s="26">
        <v>0</v>
      </c>
      <c r="H759" s="26">
        <v>0</v>
      </c>
      <c r="I759" s="26">
        <v>0</v>
      </c>
      <c r="J759" s="26">
        <v>0</v>
      </c>
      <c r="K759" s="26">
        <v>0</v>
      </c>
      <c r="L759" s="26">
        <v>0</v>
      </c>
      <c r="M759" s="26">
        <v>0</v>
      </c>
    </row>
    <row r="760" spans="1:13">
      <c r="A760" s="24" t="s">
        <v>87</v>
      </c>
      <c r="B760" s="24" t="s">
        <v>337</v>
      </c>
      <c r="C760" s="25">
        <v>45689</v>
      </c>
      <c r="D760" s="24" t="s">
        <v>2658</v>
      </c>
      <c r="E760" s="26">
        <v>0</v>
      </c>
      <c r="F760" s="26">
        <v>0</v>
      </c>
      <c r="G760" s="26">
        <v>0</v>
      </c>
      <c r="H760" s="26">
        <v>0</v>
      </c>
      <c r="I760" s="26">
        <v>0</v>
      </c>
      <c r="J760" s="26">
        <v>0</v>
      </c>
      <c r="K760" s="26">
        <v>0</v>
      </c>
      <c r="L760" s="26">
        <v>0</v>
      </c>
      <c r="M760" s="26">
        <v>0</v>
      </c>
    </row>
    <row r="761" spans="1:13">
      <c r="A761" s="24" t="s">
        <v>87</v>
      </c>
      <c r="B761" s="24" t="s">
        <v>337</v>
      </c>
      <c r="C761" s="25">
        <v>45717</v>
      </c>
      <c r="D761" s="24" t="s">
        <v>2659</v>
      </c>
      <c r="E761" s="26">
        <v>0</v>
      </c>
      <c r="F761" s="26">
        <v>0</v>
      </c>
      <c r="G761" s="26">
        <v>0</v>
      </c>
      <c r="H761" s="26">
        <v>0</v>
      </c>
      <c r="I761" s="26">
        <v>0</v>
      </c>
      <c r="J761" s="26">
        <v>0</v>
      </c>
      <c r="K761" s="26">
        <v>0</v>
      </c>
      <c r="L761" s="26">
        <v>0</v>
      </c>
      <c r="M761" s="26">
        <v>0</v>
      </c>
    </row>
    <row r="762" spans="1:13">
      <c r="A762" s="24" t="s">
        <v>87</v>
      </c>
      <c r="B762" s="24" t="s">
        <v>337</v>
      </c>
      <c r="C762" s="25">
        <v>45748</v>
      </c>
      <c r="D762" s="24" t="s">
        <v>2660</v>
      </c>
      <c r="E762" s="26">
        <v>0</v>
      </c>
      <c r="F762" s="26">
        <v>0</v>
      </c>
      <c r="G762" s="26">
        <v>0</v>
      </c>
      <c r="H762" s="26">
        <v>0</v>
      </c>
      <c r="I762" s="26">
        <v>0</v>
      </c>
      <c r="J762" s="26">
        <v>0</v>
      </c>
      <c r="K762" s="26">
        <v>0</v>
      </c>
      <c r="L762" s="26">
        <v>0</v>
      </c>
      <c r="M762" s="26">
        <v>0</v>
      </c>
    </row>
    <row r="763" spans="1:13">
      <c r="A763" s="24" t="s">
        <v>87</v>
      </c>
      <c r="B763" s="24" t="s">
        <v>337</v>
      </c>
      <c r="C763" s="25">
        <v>45778</v>
      </c>
      <c r="D763" s="24" t="s">
        <v>2661</v>
      </c>
      <c r="E763" s="26">
        <v>0</v>
      </c>
      <c r="F763" s="26">
        <v>0</v>
      </c>
      <c r="G763" s="26">
        <v>0</v>
      </c>
      <c r="H763" s="26">
        <v>0</v>
      </c>
      <c r="I763" s="26">
        <v>0</v>
      </c>
      <c r="J763" s="26">
        <v>0</v>
      </c>
      <c r="K763" s="26">
        <v>0</v>
      </c>
      <c r="L763" s="26">
        <v>0</v>
      </c>
      <c r="M763" s="26">
        <v>0</v>
      </c>
    </row>
    <row r="764" spans="1:13">
      <c r="A764" s="24" t="s">
        <v>87</v>
      </c>
      <c r="B764" s="24" t="s">
        <v>337</v>
      </c>
      <c r="C764" s="25">
        <v>45809</v>
      </c>
      <c r="D764" s="24" t="s">
        <v>2662</v>
      </c>
      <c r="E764" s="26">
        <v>0</v>
      </c>
      <c r="F764" s="26">
        <v>0</v>
      </c>
      <c r="G764" s="26">
        <v>0</v>
      </c>
      <c r="H764" s="26">
        <v>0</v>
      </c>
      <c r="I764" s="26">
        <v>0</v>
      </c>
      <c r="J764" s="26">
        <v>0</v>
      </c>
      <c r="K764" s="26">
        <v>0</v>
      </c>
      <c r="L764" s="26">
        <v>0</v>
      </c>
      <c r="M764" s="26">
        <v>0</v>
      </c>
    </row>
    <row r="765" spans="1:13">
      <c r="A765" s="24" t="s">
        <v>87</v>
      </c>
      <c r="B765" s="24" t="s">
        <v>337</v>
      </c>
      <c r="C765" s="25">
        <v>45839</v>
      </c>
      <c r="D765" s="24" t="s">
        <v>2663</v>
      </c>
      <c r="E765" s="26">
        <v>0</v>
      </c>
      <c r="F765" s="26">
        <v>0</v>
      </c>
      <c r="G765" s="26">
        <v>0</v>
      </c>
      <c r="H765" s="26">
        <v>0</v>
      </c>
      <c r="I765" s="26">
        <v>0</v>
      </c>
      <c r="J765" s="26">
        <v>0</v>
      </c>
      <c r="K765" s="26">
        <v>0</v>
      </c>
      <c r="L765" s="26">
        <v>0</v>
      </c>
      <c r="M765" s="26">
        <v>0</v>
      </c>
    </row>
    <row r="766" spans="1:13">
      <c r="A766" s="24" t="s">
        <v>87</v>
      </c>
      <c r="B766" s="24" t="s">
        <v>337</v>
      </c>
      <c r="C766" s="25">
        <v>45870</v>
      </c>
      <c r="D766" s="24" t="s">
        <v>2664</v>
      </c>
      <c r="E766" s="26">
        <v>30811.06</v>
      </c>
      <c r="F766" s="26">
        <v>0</v>
      </c>
      <c r="G766" s="26">
        <v>0</v>
      </c>
      <c r="H766" s="26">
        <v>30811.06</v>
      </c>
      <c r="I766" s="26">
        <v>0</v>
      </c>
      <c r="J766" s="26">
        <v>0</v>
      </c>
      <c r="K766" s="26">
        <v>0</v>
      </c>
      <c r="L766" s="26">
        <v>0</v>
      </c>
      <c r="M766" s="26">
        <v>30811.06</v>
      </c>
    </row>
    <row r="767" spans="1:13">
      <c r="A767" s="24" t="s">
        <v>87</v>
      </c>
      <c r="B767" s="24" t="s">
        <v>337</v>
      </c>
      <c r="C767" s="25">
        <v>45901</v>
      </c>
      <c r="D767" s="24" t="s">
        <v>2665</v>
      </c>
      <c r="E767" s="26">
        <v>109827.55</v>
      </c>
      <c r="F767" s="26">
        <v>0</v>
      </c>
      <c r="G767" s="26">
        <v>0</v>
      </c>
      <c r="H767" s="26">
        <v>109827.55</v>
      </c>
      <c r="I767" s="26">
        <v>0</v>
      </c>
      <c r="J767" s="26">
        <v>0</v>
      </c>
      <c r="K767" s="26">
        <v>0</v>
      </c>
      <c r="L767" s="26">
        <v>0</v>
      </c>
      <c r="M767" s="26">
        <v>109827.55</v>
      </c>
    </row>
    <row r="768" spans="1:13">
      <c r="A768" s="24" t="s">
        <v>87</v>
      </c>
      <c r="B768" s="24" t="s">
        <v>337</v>
      </c>
      <c r="C768" s="25">
        <v>45931</v>
      </c>
      <c r="D768" s="24" t="s">
        <v>2666</v>
      </c>
      <c r="E768" s="26">
        <v>28048.430000000011</v>
      </c>
      <c r="F768" s="26">
        <v>0</v>
      </c>
      <c r="G768" s="26">
        <v>0</v>
      </c>
      <c r="H768" s="26">
        <v>28048.430000000011</v>
      </c>
      <c r="I768" s="26">
        <v>6265.5</v>
      </c>
      <c r="J768" s="26">
        <v>0</v>
      </c>
      <c r="K768" s="26">
        <v>6265.5</v>
      </c>
      <c r="L768" s="26">
        <v>-81779.12</v>
      </c>
      <c r="M768" s="26">
        <v>103562.05</v>
      </c>
    </row>
    <row r="769" spans="1:13">
      <c r="A769" s="24" t="s">
        <v>87</v>
      </c>
      <c r="B769" s="24" t="s">
        <v>337</v>
      </c>
      <c r="C769" s="25">
        <v>45962</v>
      </c>
      <c r="D769" s="24" t="s">
        <v>2667</v>
      </c>
      <c r="E769" s="26">
        <v>-72108.079999999987</v>
      </c>
      <c r="F769" s="26">
        <v>0</v>
      </c>
      <c r="G769" s="26">
        <v>0</v>
      </c>
      <c r="H769" s="26">
        <v>-72108.079999999987</v>
      </c>
      <c r="I769" s="26">
        <v>106422.01</v>
      </c>
      <c r="J769" s="26">
        <v>133140.34</v>
      </c>
      <c r="K769" s="26">
        <v>239562.35</v>
      </c>
      <c r="L769" s="26">
        <v>-181935.63</v>
      </c>
      <c r="M769" s="26">
        <v>-129734.7999999999</v>
      </c>
    </row>
    <row r="770" spans="1:13">
      <c r="A770" s="24" t="s">
        <v>87</v>
      </c>
      <c r="B770" s="24" t="s">
        <v>337</v>
      </c>
      <c r="C770" s="25">
        <v>45992</v>
      </c>
      <c r="D770" s="24" t="s">
        <v>2668</v>
      </c>
      <c r="E770" s="26">
        <v>-72108.079999999987</v>
      </c>
      <c r="F770" s="26">
        <v>0</v>
      </c>
      <c r="G770" s="26">
        <v>0</v>
      </c>
      <c r="H770" s="26">
        <v>-72108.079999999987</v>
      </c>
      <c r="I770" s="26">
        <v>106422.01</v>
      </c>
      <c r="J770" s="26">
        <v>133140.34</v>
      </c>
      <c r="K770" s="26">
        <v>239562.35</v>
      </c>
      <c r="L770" s="26">
        <v>-181935.63</v>
      </c>
      <c r="M770" s="26">
        <v>-129734.7999999999</v>
      </c>
    </row>
    <row r="771" spans="1:13">
      <c r="A771" s="24" t="s">
        <v>25</v>
      </c>
      <c r="B771" s="24" t="s">
        <v>345</v>
      </c>
      <c r="C771" s="25">
        <v>45658</v>
      </c>
      <c r="D771" s="24" t="s">
        <v>2657</v>
      </c>
      <c r="E771" s="26">
        <v>0</v>
      </c>
      <c r="F771" s="26">
        <v>0</v>
      </c>
      <c r="G771" s="26">
        <v>0</v>
      </c>
      <c r="H771" s="26">
        <v>0</v>
      </c>
      <c r="I771" s="26">
        <v>0</v>
      </c>
      <c r="J771" s="26">
        <v>0</v>
      </c>
      <c r="K771" s="26">
        <v>0</v>
      </c>
      <c r="L771" s="26">
        <v>0</v>
      </c>
      <c r="M771" s="26">
        <v>0</v>
      </c>
    </row>
    <row r="772" spans="1:13">
      <c r="A772" s="24" t="s">
        <v>25</v>
      </c>
      <c r="B772" s="24" t="s">
        <v>345</v>
      </c>
      <c r="C772" s="25">
        <v>45689</v>
      </c>
      <c r="D772" s="24" t="s">
        <v>2658</v>
      </c>
      <c r="E772" s="26">
        <v>0</v>
      </c>
      <c r="F772" s="26">
        <v>0</v>
      </c>
      <c r="G772" s="26">
        <v>0</v>
      </c>
      <c r="H772" s="26">
        <v>0</v>
      </c>
      <c r="I772" s="26">
        <v>0</v>
      </c>
      <c r="J772" s="26">
        <v>0</v>
      </c>
      <c r="K772" s="26">
        <v>0</v>
      </c>
      <c r="L772" s="26">
        <v>0</v>
      </c>
      <c r="M772" s="26">
        <v>0</v>
      </c>
    </row>
    <row r="773" spans="1:13">
      <c r="A773" s="24" t="s">
        <v>25</v>
      </c>
      <c r="B773" s="24" t="s">
        <v>345</v>
      </c>
      <c r="C773" s="25">
        <v>45717</v>
      </c>
      <c r="D773" s="24" t="s">
        <v>2659</v>
      </c>
      <c r="E773" s="26">
        <v>0</v>
      </c>
      <c r="F773" s="26">
        <v>0</v>
      </c>
      <c r="G773" s="26">
        <v>0</v>
      </c>
      <c r="H773" s="26">
        <v>0</v>
      </c>
      <c r="I773" s="26">
        <v>0</v>
      </c>
      <c r="J773" s="26">
        <v>0</v>
      </c>
      <c r="K773" s="26">
        <v>0</v>
      </c>
      <c r="L773" s="26">
        <v>0</v>
      </c>
      <c r="M773" s="26">
        <v>0</v>
      </c>
    </row>
    <row r="774" spans="1:13">
      <c r="A774" s="24" t="s">
        <v>25</v>
      </c>
      <c r="B774" s="24" t="s">
        <v>345</v>
      </c>
      <c r="C774" s="25">
        <v>45748</v>
      </c>
      <c r="D774" s="24" t="s">
        <v>2660</v>
      </c>
      <c r="E774" s="26">
        <v>0</v>
      </c>
      <c r="F774" s="26">
        <v>0</v>
      </c>
      <c r="G774" s="26">
        <v>0</v>
      </c>
      <c r="H774" s="26">
        <v>0</v>
      </c>
      <c r="I774" s="26">
        <v>0</v>
      </c>
      <c r="J774" s="26">
        <v>0</v>
      </c>
      <c r="K774" s="26">
        <v>0</v>
      </c>
      <c r="L774" s="26">
        <v>0</v>
      </c>
      <c r="M774" s="26">
        <v>0</v>
      </c>
    </row>
    <row r="775" spans="1:13">
      <c r="A775" s="24" t="s">
        <v>25</v>
      </c>
      <c r="B775" s="24" t="s">
        <v>345</v>
      </c>
      <c r="C775" s="25">
        <v>45778</v>
      </c>
      <c r="D775" s="24" t="s">
        <v>2661</v>
      </c>
      <c r="E775" s="26">
        <v>0</v>
      </c>
      <c r="F775" s="26">
        <v>0</v>
      </c>
      <c r="G775" s="26">
        <v>0</v>
      </c>
      <c r="H775" s="26">
        <v>0</v>
      </c>
      <c r="I775" s="26">
        <v>0</v>
      </c>
      <c r="J775" s="26">
        <v>0</v>
      </c>
      <c r="K775" s="26">
        <v>0</v>
      </c>
      <c r="L775" s="26">
        <v>0</v>
      </c>
      <c r="M775" s="26">
        <v>0</v>
      </c>
    </row>
    <row r="776" spans="1:13">
      <c r="A776" s="24" t="s">
        <v>25</v>
      </c>
      <c r="B776" s="24" t="s">
        <v>345</v>
      </c>
      <c r="C776" s="25">
        <v>45809</v>
      </c>
      <c r="D776" s="24" t="s">
        <v>2662</v>
      </c>
      <c r="E776" s="26">
        <v>0</v>
      </c>
      <c r="F776" s="26">
        <v>0</v>
      </c>
      <c r="G776" s="26">
        <v>0</v>
      </c>
      <c r="H776" s="26">
        <v>0</v>
      </c>
      <c r="I776" s="26">
        <v>0</v>
      </c>
      <c r="J776" s="26">
        <v>0</v>
      </c>
      <c r="K776" s="26">
        <v>0</v>
      </c>
      <c r="L776" s="26">
        <v>0</v>
      </c>
      <c r="M776" s="26">
        <v>0</v>
      </c>
    </row>
    <row r="777" spans="1:13">
      <c r="A777" s="24" t="s">
        <v>25</v>
      </c>
      <c r="B777" s="24" t="s">
        <v>345</v>
      </c>
      <c r="C777" s="25">
        <v>45839</v>
      </c>
      <c r="D777" s="24" t="s">
        <v>2663</v>
      </c>
      <c r="E777" s="26">
        <v>0</v>
      </c>
      <c r="F777" s="26">
        <v>0</v>
      </c>
      <c r="G777" s="26">
        <v>0</v>
      </c>
      <c r="H777" s="26">
        <v>0</v>
      </c>
      <c r="I777" s="26">
        <v>0</v>
      </c>
      <c r="J777" s="26">
        <v>0</v>
      </c>
      <c r="K777" s="26">
        <v>0</v>
      </c>
      <c r="L777" s="26">
        <v>0</v>
      </c>
      <c r="M777" s="26">
        <v>0</v>
      </c>
    </row>
    <row r="778" spans="1:13">
      <c r="A778" s="24" t="s">
        <v>25</v>
      </c>
      <c r="B778" s="24" t="s">
        <v>345</v>
      </c>
      <c r="C778" s="25">
        <v>45870</v>
      </c>
      <c r="D778" s="24" t="s">
        <v>2664</v>
      </c>
      <c r="E778" s="26">
        <v>0</v>
      </c>
      <c r="F778" s="26">
        <v>0</v>
      </c>
      <c r="G778" s="26">
        <v>0</v>
      </c>
      <c r="H778" s="26">
        <v>0</v>
      </c>
      <c r="I778" s="26">
        <v>0</v>
      </c>
      <c r="J778" s="26">
        <v>394926.53</v>
      </c>
      <c r="K778" s="26">
        <v>394926.53</v>
      </c>
      <c r="L778" s="26">
        <v>0</v>
      </c>
      <c r="M778" s="26">
        <v>-394926.53</v>
      </c>
    </row>
    <row r="779" spans="1:13">
      <c r="A779" s="24" t="s">
        <v>25</v>
      </c>
      <c r="B779" s="24" t="s">
        <v>345</v>
      </c>
      <c r="C779" s="25">
        <v>45901</v>
      </c>
      <c r="D779" s="24" t="s">
        <v>2665</v>
      </c>
      <c r="E779" s="26">
        <v>54384.640000000007</v>
      </c>
      <c r="F779" s="26">
        <v>0</v>
      </c>
      <c r="G779" s="26">
        <v>0</v>
      </c>
      <c r="H779" s="26">
        <v>54384.640000000007</v>
      </c>
      <c r="I779" s="26">
        <v>0</v>
      </c>
      <c r="J779" s="26">
        <v>641062.84000000008</v>
      </c>
      <c r="K779" s="26">
        <v>641062.84000000008</v>
      </c>
      <c r="L779" s="26">
        <v>-96638.75</v>
      </c>
      <c r="M779" s="26">
        <v>-490039.45000000013</v>
      </c>
    </row>
    <row r="780" spans="1:13">
      <c r="A780" s="24" t="s">
        <v>25</v>
      </c>
      <c r="B780" s="24" t="s">
        <v>345</v>
      </c>
      <c r="C780" s="25">
        <v>45931</v>
      </c>
      <c r="D780" s="24" t="s">
        <v>2666</v>
      </c>
      <c r="E780" s="26">
        <v>-609.21999999998661</v>
      </c>
      <c r="F780" s="26">
        <v>0</v>
      </c>
      <c r="G780" s="26">
        <v>0</v>
      </c>
      <c r="H780" s="26">
        <v>-609.21999999998661</v>
      </c>
      <c r="I780" s="26">
        <v>0</v>
      </c>
      <c r="J780" s="26">
        <v>641062.84000000008</v>
      </c>
      <c r="K780" s="26">
        <v>641062.84000000008</v>
      </c>
      <c r="L780" s="26">
        <v>-151632.60999999999</v>
      </c>
      <c r="M780" s="26">
        <v>-490039.45000000013</v>
      </c>
    </row>
    <row r="781" spans="1:13">
      <c r="A781" s="24" t="s">
        <v>25</v>
      </c>
      <c r="B781" s="24" t="s">
        <v>345</v>
      </c>
      <c r="C781" s="25">
        <v>45962</v>
      </c>
      <c r="D781" s="24" t="s">
        <v>2667</v>
      </c>
      <c r="E781" s="26">
        <v>-46107.919999999976</v>
      </c>
      <c r="F781" s="26">
        <v>0</v>
      </c>
      <c r="G781" s="26">
        <v>0</v>
      </c>
      <c r="H781" s="26">
        <v>-46107.919999999976</v>
      </c>
      <c r="I781" s="26">
        <v>0</v>
      </c>
      <c r="J781" s="26">
        <v>566175.38000000012</v>
      </c>
      <c r="K781" s="26">
        <v>566175.38000000012</v>
      </c>
      <c r="L781" s="26">
        <v>-122243.85</v>
      </c>
      <c r="M781" s="26">
        <v>-490039.45000000013</v>
      </c>
    </row>
    <row r="782" spans="1:13">
      <c r="A782" s="24" t="s">
        <v>25</v>
      </c>
      <c r="B782" s="24" t="s">
        <v>345</v>
      </c>
      <c r="C782" s="25">
        <v>45992</v>
      </c>
      <c r="D782" s="24" t="s">
        <v>2668</v>
      </c>
      <c r="E782" s="26">
        <v>-46107.919999999976</v>
      </c>
      <c r="F782" s="26">
        <v>0</v>
      </c>
      <c r="G782" s="26">
        <v>9372.2699999999895</v>
      </c>
      <c r="H782" s="26">
        <v>-36735.649999999987</v>
      </c>
      <c r="I782" s="26">
        <v>0</v>
      </c>
      <c r="J782" s="26">
        <v>480667.18000000011</v>
      </c>
      <c r="K782" s="26">
        <v>480667.18000000011</v>
      </c>
      <c r="L782" s="26">
        <v>-36735.64999999998</v>
      </c>
      <c r="M782" s="26">
        <v>-480667.18000000011</v>
      </c>
    </row>
    <row r="783" spans="1:13">
      <c r="A783" s="24" t="s">
        <v>193</v>
      </c>
      <c r="B783" s="24" t="s">
        <v>345</v>
      </c>
      <c r="C783" s="25">
        <v>45658</v>
      </c>
      <c r="D783" s="24" t="s">
        <v>2657</v>
      </c>
      <c r="E783" s="26">
        <v>0</v>
      </c>
      <c r="F783" s="26">
        <v>0</v>
      </c>
      <c r="G783" s="26">
        <v>0</v>
      </c>
      <c r="H783" s="26">
        <v>0</v>
      </c>
      <c r="I783" s="26">
        <v>0</v>
      </c>
      <c r="J783" s="26">
        <v>0</v>
      </c>
      <c r="K783" s="26">
        <v>0</v>
      </c>
      <c r="L783" s="26">
        <v>0</v>
      </c>
      <c r="M783" s="26">
        <v>0</v>
      </c>
    </row>
    <row r="784" spans="1:13">
      <c r="A784" s="24" t="s">
        <v>193</v>
      </c>
      <c r="B784" s="24" t="s">
        <v>345</v>
      </c>
      <c r="C784" s="25">
        <v>45689</v>
      </c>
      <c r="D784" s="24" t="s">
        <v>2658</v>
      </c>
      <c r="E784" s="26">
        <v>0</v>
      </c>
      <c r="F784" s="26">
        <v>0</v>
      </c>
      <c r="G784" s="26">
        <v>0</v>
      </c>
      <c r="H784" s="26">
        <v>0</v>
      </c>
      <c r="I784" s="26">
        <v>0</v>
      </c>
      <c r="J784" s="26">
        <v>0</v>
      </c>
      <c r="K784" s="26">
        <v>0</v>
      </c>
      <c r="L784" s="26">
        <v>0</v>
      </c>
      <c r="M784" s="26">
        <v>0</v>
      </c>
    </row>
    <row r="785" spans="1:13">
      <c r="A785" s="24" t="s">
        <v>193</v>
      </c>
      <c r="B785" s="24" t="s">
        <v>345</v>
      </c>
      <c r="C785" s="25">
        <v>45717</v>
      </c>
      <c r="D785" s="24" t="s">
        <v>2659</v>
      </c>
      <c r="E785" s="26">
        <v>0</v>
      </c>
      <c r="F785" s="26">
        <v>0</v>
      </c>
      <c r="G785" s="26">
        <v>0</v>
      </c>
      <c r="H785" s="26">
        <v>0</v>
      </c>
      <c r="I785" s="26">
        <v>0</v>
      </c>
      <c r="J785" s="26">
        <v>0</v>
      </c>
      <c r="K785" s="26">
        <v>0</v>
      </c>
      <c r="L785" s="26">
        <v>0</v>
      </c>
      <c r="M785" s="26">
        <v>0</v>
      </c>
    </row>
    <row r="786" spans="1:13">
      <c r="A786" s="24" t="s">
        <v>193</v>
      </c>
      <c r="B786" s="24" t="s">
        <v>345</v>
      </c>
      <c r="C786" s="25">
        <v>45748</v>
      </c>
      <c r="D786" s="24" t="s">
        <v>2660</v>
      </c>
      <c r="E786" s="26">
        <v>0</v>
      </c>
      <c r="F786" s="26">
        <v>0</v>
      </c>
      <c r="G786" s="26">
        <v>0</v>
      </c>
      <c r="H786" s="26">
        <v>0</v>
      </c>
      <c r="I786" s="26">
        <v>0</v>
      </c>
      <c r="J786" s="26">
        <v>0</v>
      </c>
      <c r="K786" s="26">
        <v>0</v>
      </c>
      <c r="L786" s="26">
        <v>0</v>
      </c>
      <c r="M786" s="26">
        <v>0</v>
      </c>
    </row>
    <row r="787" spans="1:13">
      <c r="A787" s="24" t="s">
        <v>193</v>
      </c>
      <c r="B787" s="24" t="s">
        <v>345</v>
      </c>
      <c r="C787" s="25">
        <v>45778</v>
      </c>
      <c r="D787" s="24" t="s">
        <v>2661</v>
      </c>
      <c r="E787" s="26">
        <v>0</v>
      </c>
      <c r="F787" s="26">
        <v>0</v>
      </c>
      <c r="G787" s="26">
        <v>0</v>
      </c>
      <c r="H787" s="26">
        <v>0</v>
      </c>
      <c r="I787" s="26">
        <v>0</v>
      </c>
      <c r="J787" s="26">
        <v>0</v>
      </c>
      <c r="K787" s="26">
        <v>0</v>
      </c>
      <c r="L787" s="26">
        <v>0</v>
      </c>
      <c r="M787" s="26">
        <v>0</v>
      </c>
    </row>
    <row r="788" spans="1:13">
      <c r="A788" s="24" t="s">
        <v>193</v>
      </c>
      <c r="B788" s="24" t="s">
        <v>345</v>
      </c>
      <c r="C788" s="25">
        <v>45809</v>
      </c>
      <c r="D788" s="24" t="s">
        <v>2662</v>
      </c>
      <c r="E788" s="26">
        <v>0</v>
      </c>
      <c r="F788" s="26">
        <v>0</v>
      </c>
      <c r="G788" s="26">
        <v>0</v>
      </c>
      <c r="H788" s="26">
        <v>0</v>
      </c>
      <c r="I788" s="26">
        <v>0</v>
      </c>
      <c r="J788" s="26">
        <v>0</v>
      </c>
      <c r="K788" s="26">
        <v>0</v>
      </c>
      <c r="L788" s="26">
        <v>0</v>
      </c>
      <c r="M788" s="26">
        <v>0</v>
      </c>
    </row>
    <row r="789" spans="1:13">
      <c r="A789" s="24" t="s">
        <v>193</v>
      </c>
      <c r="B789" s="24" t="s">
        <v>345</v>
      </c>
      <c r="C789" s="25">
        <v>45839</v>
      </c>
      <c r="D789" s="24" t="s">
        <v>2663</v>
      </c>
      <c r="E789" s="26">
        <v>0</v>
      </c>
      <c r="F789" s="26">
        <v>0</v>
      </c>
      <c r="G789" s="26">
        <v>0</v>
      </c>
      <c r="H789" s="26">
        <v>0</v>
      </c>
      <c r="I789" s="26">
        <v>0</v>
      </c>
      <c r="J789" s="26">
        <v>0</v>
      </c>
      <c r="K789" s="26">
        <v>0</v>
      </c>
      <c r="L789" s="26">
        <v>0</v>
      </c>
      <c r="M789" s="26">
        <v>0</v>
      </c>
    </row>
    <row r="790" spans="1:13">
      <c r="A790" s="24" t="s">
        <v>193</v>
      </c>
      <c r="B790" s="24" t="s">
        <v>345</v>
      </c>
      <c r="C790" s="25">
        <v>45870</v>
      </c>
      <c r="D790" s="24" t="s">
        <v>2664</v>
      </c>
      <c r="E790" s="26">
        <v>-41194.959999999999</v>
      </c>
      <c r="F790" s="26">
        <v>0</v>
      </c>
      <c r="G790" s="26">
        <v>34882.46</v>
      </c>
      <c r="H790" s="26">
        <v>-6312.5</v>
      </c>
      <c r="I790" s="26">
        <v>0</v>
      </c>
      <c r="J790" s="26">
        <v>0</v>
      </c>
      <c r="K790" s="26">
        <v>0</v>
      </c>
      <c r="L790" s="26">
        <v>-6312.5</v>
      </c>
      <c r="M790" s="26">
        <v>0</v>
      </c>
    </row>
    <row r="791" spans="1:13">
      <c r="A791" s="24" t="s">
        <v>193</v>
      </c>
      <c r="B791" s="24" t="s">
        <v>345</v>
      </c>
      <c r="C791" s="25">
        <v>45901</v>
      </c>
      <c r="D791" s="24" t="s">
        <v>2665</v>
      </c>
      <c r="E791" s="26">
        <v>-41194.959999999999</v>
      </c>
      <c r="F791" s="26">
        <v>0</v>
      </c>
      <c r="G791" s="26">
        <v>34882.46</v>
      </c>
      <c r="H791" s="26">
        <v>-6312.5</v>
      </c>
      <c r="I791" s="26">
        <v>0</v>
      </c>
      <c r="J791" s="26">
        <v>0</v>
      </c>
      <c r="K791" s="26">
        <v>0</v>
      </c>
      <c r="L791" s="26">
        <v>-6312.5</v>
      </c>
      <c r="M791" s="26">
        <v>0</v>
      </c>
    </row>
    <row r="792" spans="1:13">
      <c r="A792" s="24" t="s">
        <v>193</v>
      </c>
      <c r="B792" s="24" t="s">
        <v>345</v>
      </c>
      <c r="C792" s="25">
        <v>45931</v>
      </c>
      <c r="D792" s="24" t="s">
        <v>2666</v>
      </c>
      <c r="E792" s="26">
        <v>-41194.959999999999</v>
      </c>
      <c r="F792" s="26">
        <v>52961.75</v>
      </c>
      <c r="G792" s="26">
        <v>9451.14</v>
      </c>
      <c r="H792" s="26">
        <v>21217.93</v>
      </c>
      <c r="I792" s="26">
        <v>0</v>
      </c>
      <c r="J792" s="26">
        <v>0</v>
      </c>
      <c r="K792" s="26">
        <v>0</v>
      </c>
      <c r="L792" s="26">
        <v>21217.93</v>
      </c>
      <c r="M792" s="26">
        <v>0</v>
      </c>
    </row>
    <row r="793" spans="1:13">
      <c r="A793" s="24" t="s">
        <v>193</v>
      </c>
      <c r="B793" s="24" t="s">
        <v>345</v>
      </c>
      <c r="C793" s="25">
        <v>45962</v>
      </c>
      <c r="D793" s="24" t="s">
        <v>2667</v>
      </c>
      <c r="E793" s="26">
        <v>-41194.959999999999</v>
      </c>
      <c r="F793" s="26">
        <v>52961.75</v>
      </c>
      <c r="G793" s="26">
        <v>38787.429999999993</v>
      </c>
      <c r="H793" s="26">
        <v>50554.219999999987</v>
      </c>
      <c r="I793" s="26">
        <v>0</v>
      </c>
      <c r="J793" s="26">
        <v>0</v>
      </c>
      <c r="K793" s="26">
        <v>0</v>
      </c>
      <c r="L793" s="26">
        <v>50554.22</v>
      </c>
      <c r="M793" s="26">
        <v>-7.2759576141834259E-12</v>
      </c>
    </row>
    <row r="794" spans="1:13">
      <c r="A794" s="24" t="s">
        <v>193</v>
      </c>
      <c r="B794" s="24" t="s">
        <v>345</v>
      </c>
      <c r="C794" s="25">
        <v>45992</v>
      </c>
      <c r="D794" s="24" t="s">
        <v>2668</v>
      </c>
      <c r="E794" s="26">
        <v>-155415.81</v>
      </c>
      <c r="F794" s="26">
        <v>52961.75</v>
      </c>
      <c r="G794" s="26">
        <v>75666.799999999988</v>
      </c>
      <c r="H794" s="26">
        <v>-26787.260000000009</v>
      </c>
      <c r="I794" s="26">
        <v>114220.85</v>
      </c>
      <c r="J794" s="26">
        <v>0</v>
      </c>
      <c r="K794" s="26">
        <v>114220.85</v>
      </c>
      <c r="L794" s="26">
        <v>-26787.260000000009</v>
      </c>
      <c r="M794" s="26">
        <v>-114220.85</v>
      </c>
    </row>
    <row r="795" spans="1:13">
      <c r="A795" s="24" t="s">
        <v>248</v>
      </c>
      <c r="B795" s="24" t="s">
        <v>337</v>
      </c>
      <c r="C795" s="25">
        <v>45658</v>
      </c>
      <c r="D795" s="24" t="s">
        <v>2657</v>
      </c>
      <c r="E795" s="26">
        <v>0</v>
      </c>
      <c r="F795" s="26">
        <v>0</v>
      </c>
      <c r="G795" s="26">
        <v>0</v>
      </c>
      <c r="H795" s="26">
        <v>0</v>
      </c>
      <c r="I795" s="26">
        <v>0</v>
      </c>
      <c r="J795" s="26">
        <v>0</v>
      </c>
      <c r="K795" s="26">
        <v>0</v>
      </c>
      <c r="L795" s="26">
        <v>0</v>
      </c>
      <c r="M795" s="26">
        <v>0</v>
      </c>
    </row>
    <row r="796" spans="1:13">
      <c r="A796" s="24" t="s">
        <v>248</v>
      </c>
      <c r="B796" s="24" t="s">
        <v>337</v>
      </c>
      <c r="C796" s="25">
        <v>45689</v>
      </c>
      <c r="D796" s="24" t="s">
        <v>2658</v>
      </c>
      <c r="E796" s="26">
        <v>0</v>
      </c>
      <c r="F796" s="26">
        <v>0</v>
      </c>
      <c r="G796" s="26">
        <v>0</v>
      </c>
      <c r="H796" s="26">
        <v>0</v>
      </c>
      <c r="I796" s="26">
        <v>0</v>
      </c>
      <c r="J796" s="26">
        <v>0</v>
      </c>
      <c r="K796" s="26">
        <v>0</v>
      </c>
      <c r="L796" s="26">
        <v>0</v>
      </c>
      <c r="M796" s="26">
        <v>0</v>
      </c>
    </row>
    <row r="797" spans="1:13">
      <c r="A797" s="24" t="s">
        <v>248</v>
      </c>
      <c r="B797" s="24" t="s">
        <v>337</v>
      </c>
      <c r="C797" s="25">
        <v>45717</v>
      </c>
      <c r="D797" s="24" t="s">
        <v>2659</v>
      </c>
      <c r="E797" s="26">
        <v>0</v>
      </c>
      <c r="F797" s="26">
        <v>0</v>
      </c>
      <c r="G797" s="26">
        <v>0</v>
      </c>
      <c r="H797" s="26">
        <v>0</v>
      </c>
      <c r="I797" s="26">
        <v>0</v>
      </c>
      <c r="J797" s="26">
        <v>0</v>
      </c>
      <c r="K797" s="26">
        <v>0</v>
      </c>
      <c r="L797" s="26">
        <v>0</v>
      </c>
      <c r="M797" s="26">
        <v>0</v>
      </c>
    </row>
    <row r="798" spans="1:13">
      <c r="A798" s="24" t="s">
        <v>248</v>
      </c>
      <c r="B798" s="24" t="s">
        <v>337</v>
      </c>
      <c r="C798" s="25">
        <v>45748</v>
      </c>
      <c r="D798" s="24" t="s">
        <v>2660</v>
      </c>
      <c r="E798" s="26">
        <v>0</v>
      </c>
      <c r="F798" s="26">
        <v>0</v>
      </c>
      <c r="G798" s="26">
        <v>0</v>
      </c>
      <c r="H798" s="26">
        <v>0</v>
      </c>
      <c r="I798" s="26">
        <v>0</v>
      </c>
      <c r="J798" s="26">
        <v>0</v>
      </c>
      <c r="K798" s="26">
        <v>0</v>
      </c>
      <c r="L798" s="26">
        <v>0</v>
      </c>
      <c r="M798" s="26">
        <v>0</v>
      </c>
    </row>
    <row r="799" spans="1:13">
      <c r="A799" s="24" t="s">
        <v>248</v>
      </c>
      <c r="B799" s="24" t="s">
        <v>337</v>
      </c>
      <c r="C799" s="25">
        <v>45778</v>
      </c>
      <c r="D799" s="24" t="s">
        <v>2661</v>
      </c>
      <c r="E799" s="26">
        <v>0</v>
      </c>
      <c r="F799" s="26">
        <v>0</v>
      </c>
      <c r="G799" s="26">
        <v>0</v>
      </c>
      <c r="H799" s="26">
        <v>0</v>
      </c>
      <c r="I799" s="26">
        <v>0</v>
      </c>
      <c r="J799" s="26">
        <v>0</v>
      </c>
      <c r="K799" s="26">
        <v>0</v>
      </c>
      <c r="L799" s="26">
        <v>0</v>
      </c>
      <c r="M799" s="26">
        <v>0</v>
      </c>
    </row>
    <row r="800" spans="1:13">
      <c r="A800" s="24" t="s">
        <v>248</v>
      </c>
      <c r="B800" s="24" t="s">
        <v>337</v>
      </c>
      <c r="C800" s="25">
        <v>45809</v>
      </c>
      <c r="D800" s="24" t="s">
        <v>2662</v>
      </c>
      <c r="E800" s="26">
        <v>0</v>
      </c>
      <c r="F800" s="26">
        <v>0</v>
      </c>
      <c r="G800" s="26">
        <v>0</v>
      </c>
      <c r="H800" s="26">
        <v>0</v>
      </c>
      <c r="I800" s="26">
        <v>0</v>
      </c>
      <c r="J800" s="26">
        <v>0</v>
      </c>
      <c r="K800" s="26">
        <v>0</v>
      </c>
      <c r="L800" s="26">
        <v>0</v>
      </c>
      <c r="M800" s="26">
        <v>0</v>
      </c>
    </row>
    <row r="801" spans="1:13">
      <c r="A801" s="24" t="s">
        <v>248</v>
      </c>
      <c r="B801" s="24" t="s">
        <v>337</v>
      </c>
      <c r="C801" s="25">
        <v>45839</v>
      </c>
      <c r="D801" s="24" t="s">
        <v>2663</v>
      </c>
      <c r="E801" s="26">
        <v>-169730.75</v>
      </c>
      <c r="F801" s="26">
        <v>0</v>
      </c>
      <c r="G801" s="26">
        <v>51157.95</v>
      </c>
      <c r="H801" s="26">
        <v>-118572.8</v>
      </c>
      <c r="I801" s="26">
        <v>56805.88</v>
      </c>
      <c r="J801" s="26">
        <v>0</v>
      </c>
      <c r="K801" s="26">
        <v>56805.88</v>
      </c>
      <c r="L801" s="26">
        <v>-118572.8</v>
      </c>
      <c r="M801" s="26">
        <v>-56805.87999999999</v>
      </c>
    </row>
    <row r="802" spans="1:13">
      <c r="A802" s="24" t="s">
        <v>248</v>
      </c>
      <c r="B802" s="24" t="s">
        <v>337</v>
      </c>
      <c r="C802" s="25">
        <v>45870</v>
      </c>
      <c r="D802" s="24" t="s">
        <v>2664</v>
      </c>
      <c r="E802" s="26">
        <v>-169730.75</v>
      </c>
      <c r="F802" s="26">
        <v>0</v>
      </c>
      <c r="G802" s="26">
        <v>0</v>
      </c>
      <c r="H802" s="26">
        <v>-169730.75</v>
      </c>
      <c r="I802" s="26">
        <v>56805.88</v>
      </c>
      <c r="J802" s="26">
        <v>0</v>
      </c>
      <c r="K802" s="26">
        <v>56805.88</v>
      </c>
      <c r="L802" s="26">
        <v>-118572.8</v>
      </c>
      <c r="M802" s="26">
        <v>-107963.83</v>
      </c>
    </row>
    <row r="803" spans="1:13">
      <c r="A803" s="24" t="s">
        <v>248</v>
      </c>
      <c r="B803" s="24" t="s">
        <v>337</v>
      </c>
      <c r="C803" s="25">
        <v>45901</v>
      </c>
      <c r="D803" s="24" t="s">
        <v>2665</v>
      </c>
      <c r="E803" s="26">
        <v>-181270.93</v>
      </c>
      <c r="F803" s="26">
        <v>0</v>
      </c>
      <c r="G803" s="26">
        <v>0</v>
      </c>
      <c r="H803" s="26">
        <v>-181270.93</v>
      </c>
      <c r="I803" s="26">
        <v>56805.88</v>
      </c>
      <c r="J803" s="26">
        <v>0</v>
      </c>
      <c r="K803" s="26">
        <v>56805.88</v>
      </c>
      <c r="L803" s="26">
        <v>-130112.98</v>
      </c>
      <c r="M803" s="26">
        <v>-107963.83</v>
      </c>
    </row>
    <row r="804" spans="1:13">
      <c r="A804" s="24" t="s">
        <v>248</v>
      </c>
      <c r="B804" s="24" t="s">
        <v>337</v>
      </c>
      <c r="C804" s="25">
        <v>45931</v>
      </c>
      <c r="D804" s="24" t="s">
        <v>2666</v>
      </c>
      <c r="E804" s="26">
        <v>-181270.93</v>
      </c>
      <c r="F804" s="26">
        <v>0</v>
      </c>
      <c r="G804" s="26">
        <v>0</v>
      </c>
      <c r="H804" s="26">
        <v>-181270.93</v>
      </c>
      <c r="I804" s="26">
        <v>56805.88</v>
      </c>
      <c r="J804" s="26">
        <v>0</v>
      </c>
      <c r="K804" s="26">
        <v>56805.88</v>
      </c>
      <c r="L804" s="26">
        <v>-100954.7</v>
      </c>
      <c r="M804" s="26">
        <v>-137122.10999999999</v>
      </c>
    </row>
    <row r="805" spans="1:13">
      <c r="A805" s="24" t="s">
        <v>248</v>
      </c>
      <c r="B805" s="24" t="s">
        <v>337</v>
      </c>
      <c r="C805" s="25">
        <v>45962</v>
      </c>
      <c r="D805" s="24" t="s">
        <v>2667</v>
      </c>
      <c r="E805" s="26">
        <v>-181270.93</v>
      </c>
      <c r="F805" s="26">
        <v>0</v>
      </c>
      <c r="G805" s="26">
        <v>0</v>
      </c>
      <c r="H805" s="26">
        <v>-181270.93</v>
      </c>
      <c r="I805" s="26">
        <v>56805.88</v>
      </c>
      <c r="J805" s="26">
        <v>0</v>
      </c>
      <c r="K805" s="26">
        <v>56805.88</v>
      </c>
      <c r="L805" s="26">
        <v>-100954.7</v>
      </c>
      <c r="M805" s="26">
        <v>-137122.10999999999</v>
      </c>
    </row>
    <row r="806" spans="1:13">
      <c r="A806" s="24" t="s">
        <v>248</v>
      </c>
      <c r="B806" s="24" t="s">
        <v>337</v>
      </c>
      <c r="C806" s="25">
        <v>45992</v>
      </c>
      <c r="D806" s="24" t="s">
        <v>2668</v>
      </c>
      <c r="E806" s="26">
        <v>-181270.93</v>
      </c>
      <c r="F806" s="26">
        <v>0</v>
      </c>
      <c r="G806" s="26">
        <v>8836.6699999999983</v>
      </c>
      <c r="H806" s="26">
        <v>-172434.26</v>
      </c>
      <c r="I806" s="26">
        <v>56805.88</v>
      </c>
      <c r="J806" s="26">
        <v>0</v>
      </c>
      <c r="K806" s="26">
        <v>56805.88</v>
      </c>
      <c r="L806" s="26">
        <v>-55285.98000000001</v>
      </c>
      <c r="M806" s="26">
        <v>-173954.16</v>
      </c>
    </row>
    <row r="807" spans="1:13">
      <c r="A807" s="24" t="s">
        <v>84</v>
      </c>
      <c r="B807" s="24" t="s">
        <v>345</v>
      </c>
      <c r="C807" s="25">
        <v>45658</v>
      </c>
      <c r="D807" s="24" t="s">
        <v>2657</v>
      </c>
      <c r="E807" s="26">
        <v>0</v>
      </c>
      <c r="F807" s="26">
        <v>0</v>
      </c>
      <c r="G807" s="26">
        <v>0</v>
      </c>
      <c r="H807" s="26">
        <v>0</v>
      </c>
      <c r="I807" s="26">
        <v>0</v>
      </c>
      <c r="J807" s="26">
        <v>0</v>
      </c>
      <c r="K807" s="26">
        <v>0</v>
      </c>
      <c r="L807" s="26">
        <v>0</v>
      </c>
      <c r="M807" s="26">
        <v>0</v>
      </c>
    </row>
    <row r="808" spans="1:13">
      <c r="A808" s="24" t="s">
        <v>84</v>
      </c>
      <c r="B808" s="24" t="s">
        <v>345</v>
      </c>
      <c r="C808" s="25">
        <v>45689</v>
      </c>
      <c r="D808" s="24" t="s">
        <v>2658</v>
      </c>
      <c r="E808" s="26">
        <v>0</v>
      </c>
      <c r="F808" s="26">
        <v>0</v>
      </c>
      <c r="G808" s="26">
        <v>0</v>
      </c>
      <c r="H808" s="26">
        <v>0</v>
      </c>
      <c r="I808" s="26">
        <v>0</v>
      </c>
      <c r="J808" s="26">
        <v>0</v>
      </c>
      <c r="K808" s="26">
        <v>0</v>
      </c>
      <c r="L808" s="26">
        <v>0</v>
      </c>
      <c r="M808" s="26">
        <v>0</v>
      </c>
    </row>
    <row r="809" spans="1:13">
      <c r="A809" s="24" t="s">
        <v>84</v>
      </c>
      <c r="B809" s="24" t="s">
        <v>345</v>
      </c>
      <c r="C809" s="25">
        <v>45717</v>
      </c>
      <c r="D809" s="24" t="s">
        <v>2659</v>
      </c>
      <c r="E809" s="26">
        <v>0</v>
      </c>
      <c r="F809" s="26">
        <v>0</v>
      </c>
      <c r="G809" s="26">
        <v>0</v>
      </c>
      <c r="H809" s="26">
        <v>0</v>
      </c>
      <c r="I809" s="26">
        <v>0</v>
      </c>
      <c r="J809" s="26">
        <v>0</v>
      </c>
      <c r="K809" s="26">
        <v>0</v>
      </c>
      <c r="L809" s="26">
        <v>0</v>
      </c>
      <c r="M809" s="26">
        <v>0</v>
      </c>
    </row>
    <row r="810" spans="1:13">
      <c r="A810" s="24" t="s">
        <v>84</v>
      </c>
      <c r="B810" s="24" t="s">
        <v>345</v>
      </c>
      <c r="C810" s="25">
        <v>45748</v>
      </c>
      <c r="D810" s="24" t="s">
        <v>2660</v>
      </c>
      <c r="E810" s="26">
        <v>0</v>
      </c>
      <c r="F810" s="26">
        <v>0</v>
      </c>
      <c r="G810" s="26">
        <v>0</v>
      </c>
      <c r="H810" s="26">
        <v>0</v>
      </c>
      <c r="I810" s="26">
        <v>0</v>
      </c>
      <c r="J810" s="26">
        <v>0</v>
      </c>
      <c r="K810" s="26">
        <v>0</v>
      </c>
      <c r="L810" s="26">
        <v>0</v>
      </c>
      <c r="M810" s="26">
        <v>0</v>
      </c>
    </row>
    <row r="811" spans="1:13">
      <c r="A811" s="24" t="s">
        <v>84</v>
      </c>
      <c r="B811" s="24" t="s">
        <v>345</v>
      </c>
      <c r="C811" s="25">
        <v>45778</v>
      </c>
      <c r="D811" s="24" t="s">
        <v>2661</v>
      </c>
      <c r="E811" s="26">
        <v>0</v>
      </c>
      <c r="F811" s="26">
        <v>0</v>
      </c>
      <c r="G811" s="26">
        <v>0</v>
      </c>
      <c r="H811" s="26">
        <v>0</v>
      </c>
      <c r="I811" s="26">
        <v>0</v>
      </c>
      <c r="J811" s="26">
        <v>0</v>
      </c>
      <c r="K811" s="26">
        <v>0</v>
      </c>
      <c r="L811" s="26">
        <v>0</v>
      </c>
      <c r="M811" s="26">
        <v>0</v>
      </c>
    </row>
    <row r="812" spans="1:13">
      <c r="A812" s="24" t="s">
        <v>84</v>
      </c>
      <c r="B812" s="24" t="s">
        <v>345</v>
      </c>
      <c r="C812" s="25">
        <v>45809</v>
      </c>
      <c r="D812" s="24" t="s">
        <v>2662</v>
      </c>
      <c r="E812" s="26">
        <v>0</v>
      </c>
      <c r="F812" s="26">
        <v>0</v>
      </c>
      <c r="G812" s="26">
        <v>0</v>
      </c>
      <c r="H812" s="26">
        <v>0</v>
      </c>
      <c r="I812" s="26">
        <v>0</v>
      </c>
      <c r="J812" s="26">
        <v>0</v>
      </c>
      <c r="K812" s="26">
        <v>0</v>
      </c>
      <c r="L812" s="26">
        <v>0</v>
      </c>
      <c r="M812" s="26">
        <v>0</v>
      </c>
    </row>
    <row r="813" spans="1:13">
      <c r="A813" s="24" t="s">
        <v>84</v>
      </c>
      <c r="B813" s="24" t="s">
        <v>345</v>
      </c>
      <c r="C813" s="25">
        <v>45839</v>
      </c>
      <c r="D813" s="24" t="s">
        <v>2663</v>
      </c>
      <c r="E813" s="26">
        <v>0</v>
      </c>
      <c r="F813" s="26">
        <v>0</v>
      </c>
      <c r="G813" s="26">
        <v>29618.17</v>
      </c>
      <c r="H813" s="26">
        <v>29618.17</v>
      </c>
      <c r="I813" s="26">
        <v>0</v>
      </c>
      <c r="J813" s="26">
        <v>0</v>
      </c>
      <c r="K813" s="26">
        <v>0</v>
      </c>
      <c r="L813" s="26">
        <v>29618.17</v>
      </c>
      <c r="M813" s="26">
        <v>0</v>
      </c>
    </row>
    <row r="814" spans="1:13">
      <c r="A814" s="24" t="s">
        <v>84</v>
      </c>
      <c r="B814" s="24" t="s">
        <v>345</v>
      </c>
      <c r="C814" s="25">
        <v>45870</v>
      </c>
      <c r="D814" s="24" t="s">
        <v>2664</v>
      </c>
      <c r="E814" s="26">
        <v>-129492.38</v>
      </c>
      <c r="F814" s="26">
        <v>0</v>
      </c>
      <c r="G814" s="26">
        <v>59674.06</v>
      </c>
      <c r="H814" s="26">
        <v>-69818.320000000007</v>
      </c>
      <c r="I814" s="26">
        <v>23381.39</v>
      </c>
      <c r="J814" s="26">
        <v>0</v>
      </c>
      <c r="K814" s="26">
        <v>23381.39</v>
      </c>
      <c r="L814" s="26">
        <v>-69818.320000000007</v>
      </c>
      <c r="M814" s="26">
        <v>-23381.39</v>
      </c>
    </row>
    <row r="815" spans="1:13">
      <c r="A815" s="24" t="s">
        <v>84</v>
      </c>
      <c r="B815" s="24" t="s">
        <v>345</v>
      </c>
      <c r="C815" s="25">
        <v>45901</v>
      </c>
      <c r="D815" s="24" t="s">
        <v>2665</v>
      </c>
      <c r="E815" s="26">
        <v>-222319.69</v>
      </c>
      <c r="F815" s="26">
        <v>0</v>
      </c>
      <c r="G815" s="26">
        <v>59674.06</v>
      </c>
      <c r="H815" s="26">
        <v>-162645.63</v>
      </c>
      <c r="I815" s="26">
        <v>23381.39</v>
      </c>
      <c r="J815" s="26">
        <v>0</v>
      </c>
      <c r="K815" s="26">
        <v>23381.39</v>
      </c>
      <c r="L815" s="26">
        <v>-162645.63</v>
      </c>
      <c r="M815" s="26">
        <v>-23381.39000000001</v>
      </c>
    </row>
    <row r="816" spans="1:13">
      <c r="A816" s="24" t="s">
        <v>84</v>
      </c>
      <c r="B816" s="24" t="s">
        <v>345</v>
      </c>
      <c r="C816" s="25">
        <v>45931</v>
      </c>
      <c r="D816" s="24" t="s">
        <v>2666</v>
      </c>
      <c r="E816" s="26">
        <v>-222319.69</v>
      </c>
      <c r="F816" s="26">
        <v>0</v>
      </c>
      <c r="G816" s="26">
        <v>0</v>
      </c>
      <c r="H816" s="26">
        <v>-222319.69</v>
      </c>
      <c r="I816" s="26">
        <v>23381.39</v>
      </c>
      <c r="J816" s="26">
        <v>0</v>
      </c>
      <c r="K816" s="26">
        <v>23381.39</v>
      </c>
      <c r="L816" s="26">
        <v>-121688.34</v>
      </c>
      <c r="M816" s="26">
        <v>-124012.74</v>
      </c>
    </row>
    <row r="817" spans="1:13">
      <c r="A817" s="24" t="s">
        <v>84</v>
      </c>
      <c r="B817" s="24" t="s">
        <v>345</v>
      </c>
      <c r="C817" s="25">
        <v>45962</v>
      </c>
      <c r="D817" s="24" t="s">
        <v>2667</v>
      </c>
      <c r="E817" s="26">
        <v>-222319.69</v>
      </c>
      <c r="F817" s="26">
        <v>0</v>
      </c>
      <c r="G817" s="26">
        <v>0</v>
      </c>
      <c r="H817" s="26">
        <v>-222319.69</v>
      </c>
      <c r="I817" s="26">
        <v>23381.39</v>
      </c>
      <c r="J817" s="26">
        <v>271236.98</v>
      </c>
      <c r="K817" s="26">
        <v>294618.37</v>
      </c>
      <c r="L817" s="26">
        <v>-73177.19</v>
      </c>
      <c r="M817" s="26">
        <v>-443760.87</v>
      </c>
    </row>
    <row r="818" spans="1:13">
      <c r="A818" s="24" t="s">
        <v>84</v>
      </c>
      <c r="B818" s="24" t="s">
        <v>345</v>
      </c>
      <c r="C818" s="25">
        <v>45992</v>
      </c>
      <c r="D818" s="24" t="s">
        <v>2668</v>
      </c>
      <c r="E818" s="26">
        <v>-366392.62</v>
      </c>
      <c r="F818" s="26">
        <v>0</v>
      </c>
      <c r="G818" s="26">
        <v>16328.710000000019</v>
      </c>
      <c r="H818" s="26">
        <v>-350063.91</v>
      </c>
      <c r="I818" s="26">
        <v>23381.39</v>
      </c>
      <c r="J818" s="26">
        <v>236640.15</v>
      </c>
      <c r="K818" s="26">
        <v>260021.54</v>
      </c>
      <c r="L818" s="26">
        <v>-182653.29</v>
      </c>
      <c r="M818" s="26">
        <v>-427432.16</v>
      </c>
    </row>
    <row r="819" spans="1:13">
      <c r="A819" s="24" t="s">
        <v>59</v>
      </c>
      <c r="B819" s="24" t="s">
        <v>318</v>
      </c>
      <c r="C819" s="25">
        <v>45658</v>
      </c>
      <c r="D819" s="24" t="s">
        <v>2657</v>
      </c>
      <c r="E819" s="26">
        <v>0</v>
      </c>
      <c r="F819" s="26">
        <v>0</v>
      </c>
      <c r="G819" s="26">
        <v>0</v>
      </c>
      <c r="H819" s="26">
        <v>0</v>
      </c>
      <c r="I819" s="26">
        <v>0</v>
      </c>
      <c r="J819" s="26">
        <v>0</v>
      </c>
      <c r="K819" s="26">
        <v>0</v>
      </c>
      <c r="L819" s="26">
        <v>0</v>
      </c>
      <c r="M819" s="26">
        <v>0</v>
      </c>
    </row>
    <row r="820" spans="1:13">
      <c r="A820" s="24" t="s">
        <v>59</v>
      </c>
      <c r="B820" s="24" t="s">
        <v>318</v>
      </c>
      <c r="C820" s="25">
        <v>45689</v>
      </c>
      <c r="D820" s="24" t="s">
        <v>2658</v>
      </c>
      <c r="E820" s="26">
        <v>0</v>
      </c>
      <c r="F820" s="26">
        <v>0</v>
      </c>
      <c r="G820" s="26">
        <v>0</v>
      </c>
      <c r="H820" s="26">
        <v>0</v>
      </c>
      <c r="I820" s="26">
        <v>0</v>
      </c>
      <c r="J820" s="26">
        <v>0</v>
      </c>
      <c r="K820" s="26">
        <v>0</v>
      </c>
      <c r="L820" s="26">
        <v>0</v>
      </c>
      <c r="M820" s="26">
        <v>0</v>
      </c>
    </row>
    <row r="821" spans="1:13">
      <c r="A821" s="24" t="s">
        <v>59</v>
      </c>
      <c r="B821" s="24" t="s">
        <v>318</v>
      </c>
      <c r="C821" s="25">
        <v>45717</v>
      </c>
      <c r="D821" s="24" t="s">
        <v>2659</v>
      </c>
      <c r="E821" s="26">
        <v>0</v>
      </c>
      <c r="F821" s="26">
        <v>0</v>
      </c>
      <c r="G821" s="26">
        <v>0</v>
      </c>
      <c r="H821" s="26">
        <v>0</v>
      </c>
      <c r="I821" s="26">
        <v>0</v>
      </c>
      <c r="J821" s="26">
        <v>0</v>
      </c>
      <c r="K821" s="26">
        <v>0</v>
      </c>
      <c r="L821" s="26">
        <v>0</v>
      </c>
      <c r="M821" s="26">
        <v>0</v>
      </c>
    </row>
    <row r="822" spans="1:13">
      <c r="A822" s="24" t="s">
        <v>59</v>
      </c>
      <c r="B822" s="24" t="s">
        <v>318</v>
      </c>
      <c r="C822" s="25">
        <v>45748</v>
      </c>
      <c r="D822" s="24" t="s">
        <v>2660</v>
      </c>
      <c r="E822" s="26">
        <v>0</v>
      </c>
      <c r="F822" s="26">
        <v>0</v>
      </c>
      <c r="G822" s="26">
        <v>0</v>
      </c>
      <c r="H822" s="26">
        <v>0</v>
      </c>
      <c r="I822" s="26">
        <v>0</v>
      </c>
      <c r="J822" s="26">
        <v>0</v>
      </c>
      <c r="K822" s="26">
        <v>0</v>
      </c>
      <c r="L822" s="26">
        <v>0</v>
      </c>
      <c r="M822" s="26">
        <v>0</v>
      </c>
    </row>
    <row r="823" spans="1:13">
      <c r="A823" s="24" t="s">
        <v>59</v>
      </c>
      <c r="B823" s="24" t="s">
        <v>318</v>
      </c>
      <c r="C823" s="25">
        <v>45778</v>
      </c>
      <c r="D823" s="24" t="s">
        <v>2661</v>
      </c>
      <c r="E823" s="26">
        <v>0</v>
      </c>
      <c r="F823" s="26">
        <v>0</v>
      </c>
      <c r="G823" s="26">
        <v>0</v>
      </c>
      <c r="H823" s="26">
        <v>0</v>
      </c>
      <c r="I823" s="26">
        <v>0</v>
      </c>
      <c r="J823" s="26">
        <v>0</v>
      </c>
      <c r="K823" s="26">
        <v>0</v>
      </c>
      <c r="L823" s="26">
        <v>0</v>
      </c>
      <c r="M823" s="26">
        <v>0</v>
      </c>
    </row>
    <row r="824" spans="1:13">
      <c r="A824" s="24" t="s">
        <v>59</v>
      </c>
      <c r="B824" s="24" t="s">
        <v>318</v>
      </c>
      <c r="C824" s="25">
        <v>45809</v>
      </c>
      <c r="D824" s="24" t="s">
        <v>2662</v>
      </c>
      <c r="E824" s="26">
        <v>0</v>
      </c>
      <c r="F824" s="26">
        <v>0</v>
      </c>
      <c r="G824" s="26">
        <v>0</v>
      </c>
      <c r="H824" s="26">
        <v>0</v>
      </c>
      <c r="I824" s="26">
        <v>0</v>
      </c>
      <c r="J824" s="26">
        <v>0</v>
      </c>
      <c r="K824" s="26">
        <v>0</v>
      </c>
      <c r="L824" s="26">
        <v>0</v>
      </c>
      <c r="M824" s="26">
        <v>0</v>
      </c>
    </row>
    <row r="825" spans="1:13">
      <c r="A825" s="24" t="s">
        <v>59</v>
      </c>
      <c r="B825" s="24" t="s">
        <v>318</v>
      </c>
      <c r="C825" s="25">
        <v>45839</v>
      </c>
      <c r="D825" s="24" t="s">
        <v>2663</v>
      </c>
      <c r="E825" s="26">
        <v>0</v>
      </c>
      <c r="F825" s="26">
        <v>0</v>
      </c>
      <c r="G825" s="26">
        <v>0</v>
      </c>
      <c r="H825" s="26">
        <v>0</v>
      </c>
      <c r="I825" s="26">
        <v>0</v>
      </c>
      <c r="J825" s="26">
        <v>0</v>
      </c>
      <c r="K825" s="26">
        <v>0</v>
      </c>
      <c r="L825" s="26">
        <v>0</v>
      </c>
      <c r="M825" s="26">
        <v>0</v>
      </c>
    </row>
    <row r="826" spans="1:13">
      <c r="A826" s="24" t="s">
        <v>59</v>
      </c>
      <c r="B826" s="24" t="s">
        <v>318</v>
      </c>
      <c r="C826" s="25">
        <v>45870</v>
      </c>
      <c r="D826" s="24" t="s">
        <v>2664</v>
      </c>
      <c r="E826" s="26">
        <v>-16000.5</v>
      </c>
      <c r="F826" s="26">
        <v>0</v>
      </c>
      <c r="G826" s="26">
        <v>52415.5</v>
      </c>
      <c r="H826" s="26">
        <v>36415</v>
      </c>
      <c r="I826" s="26">
        <v>16000.5</v>
      </c>
      <c r="J826" s="26">
        <v>0</v>
      </c>
      <c r="K826" s="26">
        <v>16000.5</v>
      </c>
      <c r="L826" s="26">
        <v>36415</v>
      </c>
      <c r="M826" s="26">
        <v>-16000.5</v>
      </c>
    </row>
    <row r="827" spans="1:13">
      <c r="A827" s="24" t="s">
        <v>59</v>
      </c>
      <c r="B827" s="24" t="s">
        <v>318</v>
      </c>
      <c r="C827" s="25">
        <v>45901</v>
      </c>
      <c r="D827" s="24" t="s">
        <v>2665</v>
      </c>
      <c r="E827" s="26">
        <v>-16000.5</v>
      </c>
      <c r="F827" s="26">
        <v>0</v>
      </c>
      <c r="G827" s="26">
        <v>52415.5</v>
      </c>
      <c r="H827" s="26">
        <v>36415</v>
      </c>
      <c r="I827" s="26">
        <v>16000.5</v>
      </c>
      <c r="J827" s="26">
        <v>0</v>
      </c>
      <c r="K827" s="26">
        <v>16000.5</v>
      </c>
      <c r="L827" s="26">
        <v>36415</v>
      </c>
      <c r="M827" s="26">
        <v>-16000.5</v>
      </c>
    </row>
    <row r="828" spans="1:13">
      <c r="A828" s="24" t="s">
        <v>59</v>
      </c>
      <c r="B828" s="24" t="s">
        <v>318</v>
      </c>
      <c r="C828" s="25">
        <v>45931</v>
      </c>
      <c r="D828" s="24" t="s">
        <v>2666</v>
      </c>
      <c r="E828" s="26">
        <v>-16000.5</v>
      </c>
      <c r="F828" s="26">
        <v>0</v>
      </c>
      <c r="G828" s="26">
        <v>52415.5</v>
      </c>
      <c r="H828" s="26">
        <v>36415</v>
      </c>
      <c r="I828" s="26">
        <v>16000.5</v>
      </c>
      <c r="J828" s="26">
        <v>0</v>
      </c>
      <c r="K828" s="26">
        <v>16000.5</v>
      </c>
      <c r="L828" s="26">
        <v>36415</v>
      </c>
      <c r="M828" s="26">
        <v>-16000.5</v>
      </c>
    </row>
    <row r="829" spans="1:13">
      <c r="A829" s="24" t="s">
        <v>59</v>
      </c>
      <c r="B829" s="24" t="s">
        <v>318</v>
      </c>
      <c r="C829" s="25">
        <v>45962</v>
      </c>
      <c r="D829" s="24" t="s">
        <v>2667</v>
      </c>
      <c r="E829" s="26">
        <v>-16000.5</v>
      </c>
      <c r="F829" s="26">
        <v>0</v>
      </c>
      <c r="G829" s="26">
        <v>118593.60000000001</v>
      </c>
      <c r="H829" s="26">
        <v>102593.1</v>
      </c>
      <c r="I829" s="26">
        <v>16000.5</v>
      </c>
      <c r="J829" s="26">
        <v>0</v>
      </c>
      <c r="K829" s="26">
        <v>16000.5</v>
      </c>
      <c r="L829" s="26">
        <v>102593.1</v>
      </c>
      <c r="M829" s="26">
        <v>-16000.5</v>
      </c>
    </row>
    <row r="830" spans="1:13">
      <c r="A830" s="24" t="s">
        <v>59</v>
      </c>
      <c r="B830" s="24" t="s">
        <v>318</v>
      </c>
      <c r="C830" s="25">
        <v>45992</v>
      </c>
      <c r="D830" s="24" t="s">
        <v>2668</v>
      </c>
      <c r="E830" s="26">
        <v>-16000.5</v>
      </c>
      <c r="F830" s="26">
        <v>0</v>
      </c>
      <c r="G830" s="26">
        <v>172256.1</v>
      </c>
      <c r="H830" s="26">
        <v>156255.6</v>
      </c>
      <c r="I830" s="26">
        <v>16000.5</v>
      </c>
      <c r="J830" s="26">
        <v>0</v>
      </c>
      <c r="K830" s="26">
        <v>16000.5</v>
      </c>
      <c r="L830" s="26">
        <v>156255.6</v>
      </c>
      <c r="M830" s="26">
        <v>-16000.5</v>
      </c>
    </row>
    <row r="831" spans="1:13">
      <c r="A831" s="24" t="s">
        <v>76</v>
      </c>
      <c r="B831" s="24" t="s">
        <v>318</v>
      </c>
      <c r="C831" s="25">
        <v>45658</v>
      </c>
      <c r="D831" s="24" t="s">
        <v>2657</v>
      </c>
      <c r="E831" s="26">
        <v>0</v>
      </c>
      <c r="F831" s="26">
        <v>0</v>
      </c>
      <c r="G831" s="26">
        <v>0</v>
      </c>
      <c r="H831" s="26">
        <v>0</v>
      </c>
      <c r="I831" s="26">
        <v>0</v>
      </c>
      <c r="J831" s="26">
        <v>0</v>
      </c>
      <c r="K831" s="26">
        <v>0</v>
      </c>
      <c r="L831" s="26">
        <v>0</v>
      </c>
      <c r="M831" s="26">
        <v>0</v>
      </c>
    </row>
    <row r="832" spans="1:13">
      <c r="A832" s="24" t="s">
        <v>76</v>
      </c>
      <c r="B832" s="24" t="s">
        <v>318</v>
      </c>
      <c r="C832" s="25">
        <v>45689</v>
      </c>
      <c r="D832" s="24" t="s">
        <v>2658</v>
      </c>
      <c r="E832" s="26">
        <v>0</v>
      </c>
      <c r="F832" s="26">
        <v>0</v>
      </c>
      <c r="G832" s="26">
        <v>0</v>
      </c>
      <c r="H832" s="26">
        <v>0</v>
      </c>
      <c r="I832" s="26">
        <v>0</v>
      </c>
      <c r="J832" s="26">
        <v>0</v>
      </c>
      <c r="K832" s="26">
        <v>0</v>
      </c>
      <c r="L832" s="26">
        <v>0</v>
      </c>
      <c r="M832" s="26">
        <v>0</v>
      </c>
    </row>
    <row r="833" spans="1:13">
      <c r="A833" s="24" t="s">
        <v>76</v>
      </c>
      <c r="B833" s="24" t="s">
        <v>318</v>
      </c>
      <c r="C833" s="25">
        <v>45717</v>
      </c>
      <c r="D833" s="24" t="s">
        <v>2659</v>
      </c>
      <c r="E833" s="26">
        <v>0</v>
      </c>
      <c r="F833" s="26">
        <v>0</v>
      </c>
      <c r="G833" s="26">
        <v>0</v>
      </c>
      <c r="H833" s="26">
        <v>0</v>
      </c>
      <c r="I833" s="26">
        <v>0</v>
      </c>
      <c r="J833" s="26">
        <v>0</v>
      </c>
      <c r="K833" s="26">
        <v>0</v>
      </c>
      <c r="L833" s="26">
        <v>0</v>
      </c>
      <c r="M833" s="26">
        <v>0</v>
      </c>
    </row>
    <row r="834" spans="1:13">
      <c r="A834" s="24" t="s">
        <v>76</v>
      </c>
      <c r="B834" s="24" t="s">
        <v>318</v>
      </c>
      <c r="C834" s="25">
        <v>45748</v>
      </c>
      <c r="D834" s="24" t="s">
        <v>2660</v>
      </c>
      <c r="E834" s="26">
        <v>0</v>
      </c>
      <c r="F834" s="26">
        <v>0</v>
      </c>
      <c r="G834" s="26">
        <v>0</v>
      </c>
      <c r="H834" s="26">
        <v>0</v>
      </c>
      <c r="I834" s="26">
        <v>0</v>
      </c>
      <c r="J834" s="26">
        <v>0</v>
      </c>
      <c r="K834" s="26">
        <v>0</v>
      </c>
      <c r="L834" s="26">
        <v>0</v>
      </c>
      <c r="M834" s="26">
        <v>0</v>
      </c>
    </row>
    <row r="835" spans="1:13">
      <c r="A835" s="24" t="s">
        <v>76</v>
      </c>
      <c r="B835" s="24" t="s">
        <v>318</v>
      </c>
      <c r="C835" s="25">
        <v>45778</v>
      </c>
      <c r="D835" s="24" t="s">
        <v>2661</v>
      </c>
      <c r="E835" s="26">
        <v>0</v>
      </c>
      <c r="F835" s="26">
        <v>0</v>
      </c>
      <c r="G835" s="26">
        <v>0</v>
      </c>
      <c r="H835" s="26">
        <v>0</v>
      </c>
      <c r="I835" s="26">
        <v>0</v>
      </c>
      <c r="J835" s="26">
        <v>0</v>
      </c>
      <c r="K835" s="26">
        <v>0</v>
      </c>
      <c r="L835" s="26">
        <v>0</v>
      </c>
      <c r="M835" s="26">
        <v>0</v>
      </c>
    </row>
    <row r="836" spans="1:13">
      <c r="A836" s="24" t="s">
        <v>76</v>
      </c>
      <c r="B836" s="24" t="s">
        <v>318</v>
      </c>
      <c r="C836" s="25">
        <v>45809</v>
      </c>
      <c r="D836" s="24" t="s">
        <v>2662</v>
      </c>
      <c r="E836" s="26">
        <v>0</v>
      </c>
      <c r="F836" s="26">
        <v>0</v>
      </c>
      <c r="G836" s="26">
        <v>0</v>
      </c>
      <c r="H836" s="26">
        <v>0</v>
      </c>
      <c r="I836" s="26">
        <v>0</v>
      </c>
      <c r="J836" s="26">
        <v>0</v>
      </c>
      <c r="K836" s="26">
        <v>0</v>
      </c>
      <c r="L836" s="26">
        <v>0</v>
      </c>
      <c r="M836" s="26">
        <v>0</v>
      </c>
    </row>
    <row r="837" spans="1:13">
      <c r="A837" s="24" t="s">
        <v>76</v>
      </c>
      <c r="B837" s="24" t="s">
        <v>318</v>
      </c>
      <c r="C837" s="25">
        <v>45839</v>
      </c>
      <c r="D837" s="24" t="s">
        <v>2663</v>
      </c>
      <c r="E837" s="26">
        <v>0</v>
      </c>
      <c r="F837" s="26">
        <v>0</v>
      </c>
      <c r="G837" s="26">
        <v>80632.52</v>
      </c>
      <c r="H837" s="26">
        <v>80632.52</v>
      </c>
      <c r="I837" s="26">
        <v>0</v>
      </c>
      <c r="J837" s="26">
        <v>222672.18</v>
      </c>
      <c r="K837" s="26">
        <v>222672.18</v>
      </c>
      <c r="L837" s="26">
        <v>80632.52</v>
      </c>
      <c r="M837" s="26">
        <v>-222672.18</v>
      </c>
    </row>
    <row r="838" spans="1:13">
      <c r="A838" s="24" t="s">
        <v>76</v>
      </c>
      <c r="B838" s="24" t="s">
        <v>318</v>
      </c>
      <c r="C838" s="25">
        <v>45870</v>
      </c>
      <c r="D838" s="24" t="s">
        <v>2664</v>
      </c>
      <c r="E838" s="26">
        <v>0</v>
      </c>
      <c r="F838" s="26">
        <v>0</v>
      </c>
      <c r="G838" s="26">
        <v>141635.13</v>
      </c>
      <c r="H838" s="26">
        <v>141635.13</v>
      </c>
      <c r="I838" s="26">
        <v>0</v>
      </c>
      <c r="J838" s="26">
        <v>161669.57</v>
      </c>
      <c r="K838" s="26">
        <v>161669.57</v>
      </c>
      <c r="L838" s="26">
        <v>141635.13</v>
      </c>
      <c r="M838" s="26">
        <v>-161669.57</v>
      </c>
    </row>
    <row r="839" spans="1:13">
      <c r="A839" s="24" t="s">
        <v>76</v>
      </c>
      <c r="B839" s="24" t="s">
        <v>318</v>
      </c>
      <c r="C839" s="25">
        <v>45901</v>
      </c>
      <c r="D839" s="24" t="s">
        <v>2665</v>
      </c>
      <c r="E839" s="26">
        <v>0</v>
      </c>
      <c r="F839" s="26">
        <v>0</v>
      </c>
      <c r="G839" s="26">
        <v>177018.14</v>
      </c>
      <c r="H839" s="26">
        <v>177018.14</v>
      </c>
      <c r="I839" s="26">
        <v>0</v>
      </c>
      <c r="J839" s="26">
        <v>126286.56</v>
      </c>
      <c r="K839" s="26">
        <v>126286.56</v>
      </c>
      <c r="L839" s="26">
        <v>177018.14</v>
      </c>
      <c r="M839" s="26">
        <v>-126286.56</v>
      </c>
    </row>
    <row r="840" spans="1:13">
      <c r="A840" s="24" t="s">
        <v>76</v>
      </c>
      <c r="B840" s="24" t="s">
        <v>318</v>
      </c>
      <c r="C840" s="25">
        <v>45931</v>
      </c>
      <c r="D840" s="24" t="s">
        <v>2666</v>
      </c>
      <c r="E840" s="26">
        <v>0</v>
      </c>
      <c r="F840" s="26">
        <v>0</v>
      </c>
      <c r="G840" s="26">
        <v>210925.96</v>
      </c>
      <c r="H840" s="26">
        <v>210925.96</v>
      </c>
      <c r="I840" s="26">
        <v>0</v>
      </c>
      <c r="J840" s="26">
        <v>92378.739999999991</v>
      </c>
      <c r="K840" s="26">
        <v>92378.739999999991</v>
      </c>
      <c r="L840" s="26">
        <v>210925.96</v>
      </c>
      <c r="M840" s="26">
        <v>-92378.739999999991</v>
      </c>
    </row>
    <row r="841" spans="1:13">
      <c r="A841" s="24" t="s">
        <v>76</v>
      </c>
      <c r="B841" s="24" t="s">
        <v>318</v>
      </c>
      <c r="C841" s="25">
        <v>45962</v>
      </c>
      <c r="D841" s="24" t="s">
        <v>2667</v>
      </c>
      <c r="E841" s="26">
        <v>0</v>
      </c>
      <c r="F841" s="26">
        <v>0</v>
      </c>
      <c r="G841" s="26">
        <v>288864.63</v>
      </c>
      <c r="H841" s="26">
        <v>288864.63</v>
      </c>
      <c r="I841" s="26">
        <v>0</v>
      </c>
      <c r="J841" s="26">
        <v>14440.070000000011</v>
      </c>
      <c r="K841" s="26">
        <v>14440.070000000011</v>
      </c>
      <c r="L841" s="26">
        <v>288864.63</v>
      </c>
      <c r="M841" s="26">
        <v>-14440.070000000011</v>
      </c>
    </row>
    <row r="842" spans="1:13">
      <c r="A842" s="24" t="s">
        <v>76</v>
      </c>
      <c r="B842" s="24" t="s">
        <v>318</v>
      </c>
      <c r="C842" s="25">
        <v>45992</v>
      </c>
      <c r="D842" s="24" t="s">
        <v>2668</v>
      </c>
      <c r="E842" s="26">
        <v>0</v>
      </c>
      <c r="F842" s="26">
        <v>0</v>
      </c>
      <c r="G842" s="26">
        <v>374255.7</v>
      </c>
      <c r="H842" s="26">
        <v>374255.7</v>
      </c>
      <c r="I842" s="26">
        <v>0</v>
      </c>
      <c r="J842" s="26">
        <v>0</v>
      </c>
      <c r="K842" s="26">
        <v>0</v>
      </c>
      <c r="L842" s="26">
        <v>374255.7</v>
      </c>
      <c r="M842" s="26">
        <v>0</v>
      </c>
    </row>
    <row r="843" spans="1:13">
      <c r="A843" s="24" t="s">
        <v>180</v>
      </c>
      <c r="B843" s="24" t="s">
        <v>337</v>
      </c>
      <c r="C843" s="25">
        <v>45658</v>
      </c>
      <c r="D843" s="24" t="s">
        <v>2657</v>
      </c>
      <c r="E843" s="26">
        <v>0</v>
      </c>
      <c r="F843" s="26">
        <v>0</v>
      </c>
      <c r="G843" s="26">
        <v>0</v>
      </c>
      <c r="H843" s="26">
        <v>0</v>
      </c>
      <c r="I843" s="26">
        <v>0</v>
      </c>
      <c r="J843" s="26">
        <v>0</v>
      </c>
      <c r="K843" s="26">
        <v>0</v>
      </c>
      <c r="L843" s="26">
        <v>0</v>
      </c>
      <c r="M843" s="26">
        <v>0</v>
      </c>
    </row>
    <row r="844" spans="1:13">
      <c r="A844" s="24" t="s">
        <v>180</v>
      </c>
      <c r="B844" s="24" t="s">
        <v>337</v>
      </c>
      <c r="C844" s="25">
        <v>45689</v>
      </c>
      <c r="D844" s="24" t="s">
        <v>2658</v>
      </c>
      <c r="E844" s="26">
        <v>0</v>
      </c>
      <c r="F844" s="26">
        <v>0</v>
      </c>
      <c r="G844" s="26">
        <v>0</v>
      </c>
      <c r="H844" s="26">
        <v>0</v>
      </c>
      <c r="I844" s="26">
        <v>0</v>
      </c>
      <c r="J844" s="26">
        <v>0</v>
      </c>
      <c r="K844" s="26">
        <v>0</v>
      </c>
      <c r="L844" s="26">
        <v>0</v>
      </c>
      <c r="M844" s="26">
        <v>0</v>
      </c>
    </row>
    <row r="845" spans="1:13">
      <c r="A845" s="24" t="s">
        <v>180</v>
      </c>
      <c r="B845" s="24" t="s">
        <v>337</v>
      </c>
      <c r="C845" s="25">
        <v>45717</v>
      </c>
      <c r="D845" s="24" t="s">
        <v>2659</v>
      </c>
      <c r="E845" s="26">
        <v>0</v>
      </c>
      <c r="F845" s="26">
        <v>0</v>
      </c>
      <c r="G845" s="26">
        <v>0</v>
      </c>
      <c r="H845" s="26">
        <v>0</v>
      </c>
      <c r="I845" s="26">
        <v>0</v>
      </c>
      <c r="J845" s="26">
        <v>0</v>
      </c>
      <c r="K845" s="26">
        <v>0</v>
      </c>
      <c r="L845" s="26">
        <v>0</v>
      </c>
      <c r="M845" s="26">
        <v>0</v>
      </c>
    </row>
    <row r="846" spans="1:13">
      <c r="A846" s="24" t="s">
        <v>180</v>
      </c>
      <c r="B846" s="24" t="s">
        <v>337</v>
      </c>
      <c r="C846" s="25">
        <v>45748</v>
      </c>
      <c r="D846" s="24" t="s">
        <v>2660</v>
      </c>
      <c r="E846" s="26">
        <v>0</v>
      </c>
      <c r="F846" s="26">
        <v>0</v>
      </c>
      <c r="G846" s="26">
        <v>0</v>
      </c>
      <c r="H846" s="26">
        <v>0</v>
      </c>
      <c r="I846" s="26">
        <v>0</v>
      </c>
      <c r="J846" s="26">
        <v>0</v>
      </c>
      <c r="K846" s="26">
        <v>0</v>
      </c>
      <c r="L846" s="26">
        <v>0</v>
      </c>
      <c r="M846" s="26">
        <v>0</v>
      </c>
    </row>
    <row r="847" spans="1:13">
      <c r="A847" s="24" t="s">
        <v>180</v>
      </c>
      <c r="B847" s="24" t="s">
        <v>337</v>
      </c>
      <c r="C847" s="25">
        <v>45778</v>
      </c>
      <c r="D847" s="24" t="s">
        <v>2661</v>
      </c>
      <c r="E847" s="26">
        <v>0</v>
      </c>
      <c r="F847" s="26">
        <v>0</v>
      </c>
      <c r="G847" s="26">
        <v>0</v>
      </c>
      <c r="H847" s="26">
        <v>0</v>
      </c>
      <c r="I847" s="26">
        <v>0</v>
      </c>
      <c r="J847" s="26">
        <v>0</v>
      </c>
      <c r="K847" s="26">
        <v>0</v>
      </c>
      <c r="L847" s="26">
        <v>0</v>
      </c>
      <c r="M847" s="26">
        <v>0</v>
      </c>
    </row>
    <row r="848" spans="1:13">
      <c r="A848" s="24" t="s">
        <v>180</v>
      </c>
      <c r="B848" s="24" t="s">
        <v>337</v>
      </c>
      <c r="C848" s="25">
        <v>45809</v>
      </c>
      <c r="D848" s="24" t="s">
        <v>2662</v>
      </c>
      <c r="E848" s="26">
        <v>0</v>
      </c>
      <c r="F848" s="26">
        <v>0</v>
      </c>
      <c r="G848" s="26">
        <v>0</v>
      </c>
      <c r="H848" s="26">
        <v>0</v>
      </c>
      <c r="I848" s="26">
        <v>0</v>
      </c>
      <c r="J848" s="26">
        <v>0</v>
      </c>
      <c r="K848" s="26">
        <v>0</v>
      </c>
      <c r="L848" s="26">
        <v>0</v>
      </c>
      <c r="M848" s="26">
        <v>0</v>
      </c>
    </row>
    <row r="849" spans="1:13">
      <c r="A849" s="24" t="s">
        <v>180</v>
      </c>
      <c r="B849" s="24" t="s">
        <v>337</v>
      </c>
      <c r="C849" s="25">
        <v>45839</v>
      </c>
      <c r="D849" s="24" t="s">
        <v>2663</v>
      </c>
      <c r="E849" s="26">
        <v>0</v>
      </c>
      <c r="F849" s="26">
        <v>0</v>
      </c>
      <c r="G849" s="26">
        <v>0</v>
      </c>
      <c r="H849" s="26">
        <v>0</v>
      </c>
      <c r="I849" s="26">
        <v>0</v>
      </c>
      <c r="J849" s="26">
        <v>0</v>
      </c>
      <c r="K849" s="26">
        <v>0</v>
      </c>
      <c r="L849" s="26">
        <v>0</v>
      </c>
      <c r="M849" s="26">
        <v>0</v>
      </c>
    </row>
    <row r="850" spans="1:13">
      <c r="A850" s="24" t="s">
        <v>180</v>
      </c>
      <c r="B850" s="24" t="s">
        <v>337</v>
      </c>
      <c r="C850" s="25">
        <v>45870</v>
      </c>
      <c r="D850" s="24" t="s">
        <v>2664</v>
      </c>
      <c r="E850" s="26">
        <v>0</v>
      </c>
      <c r="F850" s="26">
        <v>0</v>
      </c>
      <c r="G850" s="26">
        <v>55211.76</v>
      </c>
      <c r="H850" s="26">
        <v>55211.76</v>
      </c>
      <c r="I850" s="26">
        <v>0</v>
      </c>
      <c r="J850" s="26">
        <v>0</v>
      </c>
      <c r="K850" s="26">
        <v>0</v>
      </c>
      <c r="L850" s="26">
        <v>55211.76</v>
      </c>
      <c r="M850" s="26">
        <v>0</v>
      </c>
    </row>
    <row r="851" spans="1:13">
      <c r="A851" s="24" t="s">
        <v>180</v>
      </c>
      <c r="B851" s="24" t="s">
        <v>337</v>
      </c>
      <c r="C851" s="25">
        <v>45901</v>
      </c>
      <c r="D851" s="24" t="s">
        <v>2665</v>
      </c>
      <c r="E851" s="26">
        <v>0</v>
      </c>
      <c r="F851" s="26">
        <v>0</v>
      </c>
      <c r="G851" s="26">
        <v>55211.76</v>
      </c>
      <c r="H851" s="26">
        <v>55211.76</v>
      </c>
      <c r="I851" s="26">
        <v>0</v>
      </c>
      <c r="J851" s="26">
        <v>0</v>
      </c>
      <c r="K851" s="26">
        <v>0</v>
      </c>
      <c r="L851" s="26">
        <v>55211.76</v>
      </c>
      <c r="M851" s="26">
        <v>0</v>
      </c>
    </row>
    <row r="852" spans="1:13">
      <c r="A852" s="24" t="s">
        <v>180</v>
      </c>
      <c r="B852" s="24" t="s">
        <v>337</v>
      </c>
      <c r="C852" s="25">
        <v>45931</v>
      </c>
      <c r="D852" s="24" t="s">
        <v>2666</v>
      </c>
      <c r="E852" s="26">
        <v>0</v>
      </c>
      <c r="F852" s="26">
        <v>0</v>
      </c>
      <c r="G852" s="26">
        <v>96045.83</v>
      </c>
      <c r="H852" s="26">
        <v>96045.83</v>
      </c>
      <c r="I852" s="26">
        <v>0</v>
      </c>
      <c r="J852" s="26">
        <v>0</v>
      </c>
      <c r="K852" s="26">
        <v>0</v>
      </c>
      <c r="L852" s="26">
        <v>96045.83</v>
      </c>
      <c r="M852" s="26">
        <v>0</v>
      </c>
    </row>
    <row r="853" spans="1:13">
      <c r="A853" s="24" t="s">
        <v>180</v>
      </c>
      <c r="B853" s="24" t="s">
        <v>337</v>
      </c>
      <c r="C853" s="25">
        <v>45962</v>
      </c>
      <c r="D853" s="24" t="s">
        <v>2667</v>
      </c>
      <c r="E853" s="26">
        <v>0</v>
      </c>
      <c r="F853" s="26">
        <v>0</v>
      </c>
      <c r="G853" s="26">
        <v>0</v>
      </c>
      <c r="H853" s="26">
        <v>0</v>
      </c>
      <c r="I853" s="26">
        <v>0</v>
      </c>
      <c r="J853" s="26">
        <v>0</v>
      </c>
      <c r="K853" s="26">
        <v>0</v>
      </c>
      <c r="L853" s="26">
        <v>96045.83</v>
      </c>
      <c r="M853" s="26">
        <v>-96045.83</v>
      </c>
    </row>
    <row r="854" spans="1:13">
      <c r="A854" s="24" t="s">
        <v>180</v>
      </c>
      <c r="B854" s="24" t="s">
        <v>337</v>
      </c>
      <c r="C854" s="25">
        <v>45992</v>
      </c>
      <c r="D854" s="24" t="s">
        <v>2668</v>
      </c>
      <c r="E854" s="26">
        <v>0</v>
      </c>
      <c r="F854" s="26">
        <v>0</v>
      </c>
      <c r="G854" s="26">
        <v>0</v>
      </c>
      <c r="H854" s="26">
        <v>0</v>
      </c>
      <c r="I854" s="26">
        <v>0</v>
      </c>
      <c r="J854" s="26">
        <v>0</v>
      </c>
      <c r="K854" s="26">
        <v>0</v>
      </c>
      <c r="L854" s="26">
        <v>146636.16</v>
      </c>
      <c r="M854" s="26">
        <v>-146636.16</v>
      </c>
    </row>
    <row r="855" spans="1:13">
      <c r="A855" s="24" t="s">
        <v>162</v>
      </c>
      <c r="B855" s="24" t="s">
        <v>329</v>
      </c>
      <c r="C855" s="25">
        <v>45658</v>
      </c>
      <c r="D855" s="24" t="s">
        <v>2657</v>
      </c>
      <c r="E855" s="26">
        <v>0</v>
      </c>
      <c r="F855" s="26">
        <v>0</v>
      </c>
      <c r="G855" s="26">
        <v>0</v>
      </c>
      <c r="H855" s="26">
        <v>0</v>
      </c>
      <c r="I855" s="26">
        <v>0</v>
      </c>
      <c r="J855" s="26">
        <v>0</v>
      </c>
      <c r="K855" s="26">
        <v>0</v>
      </c>
      <c r="L855" s="26">
        <v>0</v>
      </c>
      <c r="M855" s="26">
        <v>0</v>
      </c>
    </row>
    <row r="856" spans="1:13">
      <c r="A856" s="24" t="s">
        <v>162</v>
      </c>
      <c r="B856" s="24" t="s">
        <v>329</v>
      </c>
      <c r="C856" s="25">
        <v>45689</v>
      </c>
      <c r="D856" s="24" t="s">
        <v>2658</v>
      </c>
      <c r="E856" s="26">
        <v>0</v>
      </c>
      <c r="F856" s="26">
        <v>0</v>
      </c>
      <c r="G856" s="26">
        <v>0</v>
      </c>
      <c r="H856" s="26">
        <v>0</v>
      </c>
      <c r="I856" s="26">
        <v>0</v>
      </c>
      <c r="J856" s="26">
        <v>0</v>
      </c>
      <c r="K856" s="26">
        <v>0</v>
      </c>
      <c r="L856" s="26">
        <v>0</v>
      </c>
      <c r="M856" s="26">
        <v>0</v>
      </c>
    </row>
    <row r="857" spans="1:13">
      <c r="A857" s="24" t="s">
        <v>162</v>
      </c>
      <c r="B857" s="24" t="s">
        <v>329</v>
      </c>
      <c r="C857" s="25">
        <v>45717</v>
      </c>
      <c r="D857" s="24" t="s">
        <v>2659</v>
      </c>
      <c r="E857" s="26">
        <v>0</v>
      </c>
      <c r="F857" s="26">
        <v>0</v>
      </c>
      <c r="G857" s="26">
        <v>0</v>
      </c>
      <c r="H857" s="26">
        <v>0</v>
      </c>
      <c r="I857" s="26">
        <v>0</v>
      </c>
      <c r="J857" s="26">
        <v>0</v>
      </c>
      <c r="K857" s="26">
        <v>0</v>
      </c>
      <c r="L857" s="26">
        <v>0</v>
      </c>
      <c r="M857" s="26">
        <v>0</v>
      </c>
    </row>
    <row r="858" spans="1:13">
      <c r="A858" s="24" t="s">
        <v>162</v>
      </c>
      <c r="B858" s="24" t="s">
        <v>329</v>
      </c>
      <c r="C858" s="25">
        <v>45748</v>
      </c>
      <c r="D858" s="24" t="s">
        <v>2660</v>
      </c>
      <c r="E858" s="26">
        <v>0</v>
      </c>
      <c r="F858" s="26">
        <v>0</v>
      </c>
      <c r="G858" s="26">
        <v>0</v>
      </c>
      <c r="H858" s="26">
        <v>0</v>
      </c>
      <c r="I858" s="26">
        <v>0</v>
      </c>
      <c r="J858" s="26">
        <v>0</v>
      </c>
      <c r="K858" s="26">
        <v>0</v>
      </c>
      <c r="L858" s="26">
        <v>0</v>
      </c>
      <c r="M858" s="26">
        <v>0</v>
      </c>
    </row>
    <row r="859" spans="1:13">
      <c r="A859" s="24" t="s">
        <v>162</v>
      </c>
      <c r="B859" s="24" t="s">
        <v>329</v>
      </c>
      <c r="C859" s="25">
        <v>45778</v>
      </c>
      <c r="D859" s="24" t="s">
        <v>2661</v>
      </c>
      <c r="E859" s="26">
        <v>0</v>
      </c>
      <c r="F859" s="26">
        <v>0</v>
      </c>
      <c r="G859" s="26">
        <v>0</v>
      </c>
      <c r="H859" s="26">
        <v>0</v>
      </c>
      <c r="I859" s="26">
        <v>0</v>
      </c>
      <c r="J859" s="26">
        <v>0</v>
      </c>
      <c r="K859" s="26">
        <v>0</v>
      </c>
      <c r="L859" s="26">
        <v>0</v>
      </c>
      <c r="M859" s="26">
        <v>0</v>
      </c>
    </row>
    <row r="860" spans="1:13">
      <c r="A860" s="24" t="s">
        <v>162</v>
      </c>
      <c r="B860" s="24" t="s">
        <v>329</v>
      </c>
      <c r="C860" s="25">
        <v>45809</v>
      </c>
      <c r="D860" s="24" t="s">
        <v>2662</v>
      </c>
      <c r="E860" s="26">
        <v>0</v>
      </c>
      <c r="F860" s="26">
        <v>0</v>
      </c>
      <c r="G860" s="26">
        <v>0</v>
      </c>
      <c r="H860" s="26">
        <v>0</v>
      </c>
      <c r="I860" s="26">
        <v>0</v>
      </c>
      <c r="J860" s="26">
        <v>0</v>
      </c>
      <c r="K860" s="26">
        <v>0</v>
      </c>
      <c r="L860" s="26">
        <v>0</v>
      </c>
      <c r="M860" s="26">
        <v>0</v>
      </c>
    </row>
    <row r="861" spans="1:13">
      <c r="A861" s="24" t="s">
        <v>162</v>
      </c>
      <c r="B861" s="24" t="s">
        <v>329</v>
      </c>
      <c r="C861" s="25">
        <v>45839</v>
      </c>
      <c r="D861" s="24" t="s">
        <v>2663</v>
      </c>
      <c r="E861" s="26">
        <v>0</v>
      </c>
      <c r="F861" s="26">
        <v>0</v>
      </c>
      <c r="G861" s="26">
        <v>0</v>
      </c>
      <c r="H861" s="26">
        <v>0</v>
      </c>
      <c r="I861" s="26">
        <v>0</v>
      </c>
      <c r="J861" s="26">
        <v>0</v>
      </c>
      <c r="K861" s="26">
        <v>0</v>
      </c>
      <c r="L861" s="26">
        <v>0</v>
      </c>
      <c r="M861" s="26">
        <v>0</v>
      </c>
    </row>
    <row r="862" spans="1:13">
      <c r="A862" s="24" t="s">
        <v>162</v>
      </c>
      <c r="B862" s="24" t="s">
        <v>329</v>
      </c>
      <c r="C862" s="25">
        <v>45870</v>
      </c>
      <c r="D862" s="24" t="s">
        <v>2664</v>
      </c>
      <c r="E862" s="26">
        <v>-53153.08</v>
      </c>
      <c r="F862" s="26">
        <v>0</v>
      </c>
      <c r="G862" s="26">
        <v>0</v>
      </c>
      <c r="H862" s="26">
        <v>-53153.08</v>
      </c>
      <c r="I862" s="26">
        <v>53153.08</v>
      </c>
      <c r="J862" s="26">
        <v>38052.14</v>
      </c>
      <c r="K862" s="26">
        <v>91205.22</v>
      </c>
      <c r="L862" s="26">
        <v>-53153.08</v>
      </c>
      <c r="M862" s="26">
        <v>-91205.219999999987</v>
      </c>
    </row>
    <row r="863" spans="1:13">
      <c r="A863" s="24" t="s">
        <v>162</v>
      </c>
      <c r="B863" s="24" t="s">
        <v>329</v>
      </c>
      <c r="C863" s="25">
        <v>45901</v>
      </c>
      <c r="D863" s="24" t="s">
        <v>2665</v>
      </c>
      <c r="E863" s="26">
        <v>-127137.05</v>
      </c>
      <c r="F863" s="26">
        <v>0</v>
      </c>
      <c r="G863" s="26">
        <v>0</v>
      </c>
      <c r="H863" s="26">
        <v>-127137.05</v>
      </c>
      <c r="I863" s="26">
        <v>53153.08</v>
      </c>
      <c r="J863" s="26">
        <v>38052.14</v>
      </c>
      <c r="K863" s="26">
        <v>91205.22</v>
      </c>
      <c r="L863" s="26">
        <v>-127137.05</v>
      </c>
      <c r="M863" s="26">
        <v>-91205.220000000016</v>
      </c>
    </row>
    <row r="864" spans="1:13">
      <c r="A864" s="24" t="s">
        <v>162</v>
      </c>
      <c r="B864" s="24" t="s">
        <v>329</v>
      </c>
      <c r="C864" s="25">
        <v>45931</v>
      </c>
      <c r="D864" s="24" t="s">
        <v>2666</v>
      </c>
      <c r="E864" s="26">
        <v>-170911.44</v>
      </c>
      <c r="F864" s="26">
        <v>0</v>
      </c>
      <c r="G864" s="26">
        <v>0</v>
      </c>
      <c r="H864" s="26">
        <v>-170911.44</v>
      </c>
      <c r="I864" s="26">
        <v>96927.47</v>
      </c>
      <c r="J864" s="26">
        <v>38052.14</v>
      </c>
      <c r="K864" s="26">
        <v>134979.60999999999</v>
      </c>
      <c r="L864" s="26">
        <v>-170911.44</v>
      </c>
      <c r="M864" s="26">
        <v>-134979.60999999999</v>
      </c>
    </row>
    <row r="865" spans="1:13">
      <c r="A865" s="24" t="s">
        <v>162</v>
      </c>
      <c r="B865" s="24" t="s">
        <v>329</v>
      </c>
      <c r="C865" s="25">
        <v>45962</v>
      </c>
      <c r="D865" s="24" t="s">
        <v>2667</v>
      </c>
      <c r="E865" s="26">
        <v>-170911.44</v>
      </c>
      <c r="F865" s="26">
        <v>0</v>
      </c>
      <c r="G865" s="26">
        <v>0</v>
      </c>
      <c r="H865" s="26">
        <v>-170911.44</v>
      </c>
      <c r="I865" s="26">
        <v>96927.47</v>
      </c>
      <c r="J865" s="26">
        <v>38052.14</v>
      </c>
      <c r="K865" s="26">
        <v>134979.60999999999</v>
      </c>
      <c r="L865" s="26">
        <v>-170911.44</v>
      </c>
      <c r="M865" s="26">
        <v>-134979.60999999999</v>
      </c>
    </row>
    <row r="866" spans="1:13">
      <c r="A866" s="24" t="s">
        <v>162</v>
      </c>
      <c r="B866" s="24" t="s">
        <v>329</v>
      </c>
      <c r="C866" s="25">
        <v>45992</v>
      </c>
      <c r="D866" s="24" t="s">
        <v>2668</v>
      </c>
      <c r="E866" s="26">
        <v>-151179.32</v>
      </c>
      <c r="F866" s="26">
        <v>20986.12</v>
      </c>
      <c r="G866" s="26">
        <v>0</v>
      </c>
      <c r="H866" s="26">
        <v>-130193.2</v>
      </c>
      <c r="I866" s="26">
        <v>96927.47</v>
      </c>
      <c r="J866" s="26">
        <v>38052.14</v>
      </c>
      <c r="K866" s="26">
        <v>134979.60999999999</v>
      </c>
      <c r="L866" s="26">
        <v>-170911.44</v>
      </c>
      <c r="M866" s="26">
        <v>-94261.37</v>
      </c>
    </row>
    <row r="867" spans="1:13">
      <c r="A867" s="24" t="s">
        <v>71</v>
      </c>
      <c r="B867" s="24" t="s">
        <v>318</v>
      </c>
      <c r="C867" s="25">
        <v>45658</v>
      </c>
      <c r="D867" s="24" t="s">
        <v>2657</v>
      </c>
      <c r="E867" s="26">
        <v>0</v>
      </c>
      <c r="F867" s="26">
        <v>0</v>
      </c>
      <c r="G867" s="26">
        <v>0</v>
      </c>
      <c r="H867" s="26">
        <v>0</v>
      </c>
      <c r="I867" s="26">
        <v>0</v>
      </c>
      <c r="J867" s="26">
        <v>0</v>
      </c>
      <c r="K867" s="26">
        <v>0</v>
      </c>
      <c r="L867" s="26">
        <v>0</v>
      </c>
      <c r="M867" s="26">
        <v>0</v>
      </c>
    </row>
    <row r="868" spans="1:13">
      <c r="A868" s="24" t="s">
        <v>71</v>
      </c>
      <c r="B868" s="24" t="s">
        <v>318</v>
      </c>
      <c r="C868" s="25">
        <v>45689</v>
      </c>
      <c r="D868" s="24" t="s">
        <v>2658</v>
      </c>
      <c r="E868" s="26">
        <v>0</v>
      </c>
      <c r="F868" s="26">
        <v>0</v>
      </c>
      <c r="G868" s="26">
        <v>0</v>
      </c>
      <c r="H868" s="26">
        <v>0</v>
      </c>
      <c r="I868" s="26">
        <v>0</v>
      </c>
      <c r="J868" s="26">
        <v>0</v>
      </c>
      <c r="K868" s="26">
        <v>0</v>
      </c>
      <c r="L868" s="26">
        <v>0</v>
      </c>
      <c r="M868" s="26">
        <v>0</v>
      </c>
    </row>
    <row r="869" spans="1:13">
      <c r="A869" s="24" t="s">
        <v>71</v>
      </c>
      <c r="B869" s="24" t="s">
        <v>318</v>
      </c>
      <c r="C869" s="25">
        <v>45717</v>
      </c>
      <c r="D869" s="24" t="s">
        <v>2659</v>
      </c>
      <c r="E869" s="26">
        <v>0</v>
      </c>
      <c r="F869" s="26">
        <v>0</v>
      </c>
      <c r="G869" s="26">
        <v>0</v>
      </c>
      <c r="H869" s="26">
        <v>0</v>
      </c>
      <c r="I869" s="26">
        <v>0</v>
      </c>
      <c r="J869" s="26">
        <v>0</v>
      </c>
      <c r="K869" s="26">
        <v>0</v>
      </c>
      <c r="L869" s="26">
        <v>0</v>
      </c>
      <c r="M869" s="26">
        <v>0</v>
      </c>
    </row>
    <row r="870" spans="1:13">
      <c r="A870" s="24" t="s">
        <v>71</v>
      </c>
      <c r="B870" s="24" t="s">
        <v>318</v>
      </c>
      <c r="C870" s="25">
        <v>45748</v>
      </c>
      <c r="D870" s="24" t="s">
        <v>2660</v>
      </c>
      <c r="E870" s="26">
        <v>0</v>
      </c>
      <c r="F870" s="26">
        <v>0</v>
      </c>
      <c r="G870" s="26">
        <v>0</v>
      </c>
      <c r="H870" s="26">
        <v>0</v>
      </c>
      <c r="I870" s="26">
        <v>0</v>
      </c>
      <c r="J870" s="26">
        <v>0</v>
      </c>
      <c r="K870" s="26">
        <v>0</v>
      </c>
      <c r="L870" s="26">
        <v>0</v>
      </c>
      <c r="M870" s="26">
        <v>0</v>
      </c>
    </row>
    <row r="871" spans="1:13">
      <c r="A871" s="24" t="s">
        <v>71</v>
      </c>
      <c r="B871" s="24" t="s">
        <v>318</v>
      </c>
      <c r="C871" s="25">
        <v>45778</v>
      </c>
      <c r="D871" s="24" t="s">
        <v>2661</v>
      </c>
      <c r="E871" s="26">
        <v>0</v>
      </c>
      <c r="F871" s="26">
        <v>0</v>
      </c>
      <c r="G871" s="26">
        <v>0</v>
      </c>
      <c r="H871" s="26">
        <v>0</v>
      </c>
      <c r="I871" s="26">
        <v>0</v>
      </c>
      <c r="J871" s="26">
        <v>0</v>
      </c>
      <c r="K871" s="26">
        <v>0</v>
      </c>
      <c r="L871" s="26">
        <v>0</v>
      </c>
      <c r="M871" s="26">
        <v>0</v>
      </c>
    </row>
    <row r="872" spans="1:13">
      <c r="A872" s="24" t="s">
        <v>71</v>
      </c>
      <c r="B872" s="24" t="s">
        <v>318</v>
      </c>
      <c r="C872" s="25">
        <v>45809</v>
      </c>
      <c r="D872" s="24" t="s">
        <v>2662</v>
      </c>
      <c r="E872" s="26">
        <v>0</v>
      </c>
      <c r="F872" s="26">
        <v>0</v>
      </c>
      <c r="G872" s="26">
        <v>0</v>
      </c>
      <c r="H872" s="26">
        <v>0</v>
      </c>
      <c r="I872" s="26">
        <v>0</v>
      </c>
      <c r="J872" s="26">
        <v>0</v>
      </c>
      <c r="K872" s="26">
        <v>0</v>
      </c>
      <c r="L872" s="26">
        <v>0</v>
      </c>
      <c r="M872" s="26">
        <v>0</v>
      </c>
    </row>
    <row r="873" spans="1:13">
      <c r="A873" s="24" t="s">
        <v>71</v>
      </c>
      <c r="B873" s="24" t="s">
        <v>318</v>
      </c>
      <c r="C873" s="25">
        <v>45839</v>
      </c>
      <c r="D873" s="24" t="s">
        <v>2663</v>
      </c>
      <c r="E873" s="26">
        <v>0</v>
      </c>
      <c r="F873" s="26">
        <v>0</v>
      </c>
      <c r="G873" s="26">
        <v>3810.26</v>
      </c>
      <c r="H873" s="26">
        <v>3810.26</v>
      </c>
      <c r="I873" s="26">
        <v>0</v>
      </c>
      <c r="J873" s="26">
        <v>30093.87</v>
      </c>
      <c r="K873" s="26">
        <v>30093.87</v>
      </c>
      <c r="L873" s="26">
        <v>3810.26</v>
      </c>
      <c r="M873" s="26">
        <v>-30093.87</v>
      </c>
    </row>
    <row r="874" spans="1:13">
      <c r="A874" s="24" t="s">
        <v>71</v>
      </c>
      <c r="B874" s="24" t="s">
        <v>318</v>
      </c>
      <c r="C874" s="25">
        <v>45870</v>
      </c>
      <c r="D874" s="24" t="s">
        <v>2664</v>
      </c>
      <c r="E874" s="26">
        <v>0</v>
      </c>
      <c r="F874" s="26">
        <v>0</v>
      </c>
      <c r="G874" s="26">
        <v>3810.26</v>
      </c>
      <c r="H874" s="26">
        <v>3810.26</v>
      </c>
      <c r="I874" s="26">
        <v>0</v>
      </c>
      <c r="J874" s="26">
        <v>52569.63</v>
      </c>
      <c r="K874" s="26">
        <v>52569.63</v>
      </c>
      <c r="L874" s="26">
        <v>3810.26</v>
      </c>
      <c r="M874" s="26">
        <v>-52569.63</v>
      </c>
    </row>
    <row r="875" spans="1:13">
      <c r="A875" s="24" t="s">
        <v>71</v>
      </c>
      <c r="B875" s="24" t="s">
        <v>318</v>
      </c>
      <c r="C875" s="25">
        <v>45901</v>
      </c>
      <c r="D875" s="24" t="s">
        <v>2665</v>
      </c>
      <c r="E875" s="26">
        <v>-93952.42</v>
      </c>
      <c r="F875" s="26">
        <v>0</v>
      </c>
      <c r="G875" s="26">
        <v>9593.98</v>
      </c>
      <c r="H875" s="26">
        <v>-84358.44</v>
      </c>
      <c r="I875" s="26">
        <v>93952.42</v>
      </c>
      <c r="J875" s="26">
        <v>46785.91</v>
      </c>
      <c r="K875" s="26">
        <v>140738.32999999999</v>
      </c>
      <c r="L875" s="26">
        <v>-84358.44</v>
      </c>
      <c r="M875" s="26">
        <v>-140738.32999999999</v>
      </c>
    </row>
    <row r="876" spans="1:13">
      <c r="A876" s="24" t="s">
        <v>71</v>
      </c>
      <c r="B876" s="24" t="s">
        <v>318</v>
      </c>
      <c r="C876" s="25">
        <v>45931</v>
      </c>
      <c r="D876" s="24" t="s">
        <v>2666</v>
      </c>
      <c r="E876" s="26">
        <v>-96832.36</v>
      </c>
      <c r="F876" s="26">
        <v>0</v>
      </c>
      <c r="G876" s="26">
        <v>12981.9</v>
      </c>
      <c r="H876" s="26">
        <v>-83850.460000000006</v>
      </c>
      <c r="I876" s="26">
        <v>93952.42</v>
      </c>
      <c r="J876" s="26">
        <v>43397.99</v>
      </c>
      <c r="K876" s="26">
        <v>137350.41</v>
      </c>
      <c r="L876" s="26">
        <v>-83850.460000000006</v>
      </c>
      <c r="M876" s="26">
        <v>-137350.41</v>
      </c>
    </row>
    <row r="877" spans="1:13">
      <c r="A877" s="24" t="s">
        <v>71</v>
      </c>
      <c r="B877" s="24" t="s">
        <v>318</v>
      </c>
      <c r="C877" s="25">
        <v>45962</v>
      </c>
      <c r="D877" s="24" t="s">
        <v>2667</v>
      </c>
      <c r="E877" s="26">
        <v>-168569.31</v>
      </c>
      <c r="F877" s="26">
        <v>0</v>
      </c>
      <c r="G877" s="26">
        <v>19283.64</v>
      </c>
      <c r="H877" s="26">
        <v>-149285.67000000001</v>
      </c>
      <c r="I877" s="26">
        <v>93952.42</v>
      </c>
      <c r="J877" s="26">
        <v>37096.25</v>
      </c>
      <c r="K877" s="26">
        <v>131048.67</v>
      </c>
      <c r="L877" s="26">
        <v>-149285.67000000001</v>
      </c>
      <c r="M877" s="26">
        <v>-131048.67</v>
      </c>
    </row>
    <row r="878" spans="1:13">
      <c r="A878" s="24" t="s">
        <v>71</v>
      </c>
      <c r="B878" s="24" t="s">
        <v>318</v>
      </c>
      <c r="C878" s="25">
        <v>45992</v>
      </c>
      <c r="D878" s="24" t="s">
        <v>2668</v>
      </c>
      <c r="E878" s="26">
        <v>-226128.21</v>
      </c>
      <c r="F878" s="26">
        <v>0</v>
      </c>
      <c r="G878" s="26">
        <v>19283.64</v>
      </c>
      <c r="H878" s="26">
        <v>-206844.57</v>
      </c>
      <c r="I878" s="26">
        <v>93952.42</v>
      </c>
      <c r="J878" s="26">
        <v>37096.25</v>
      </c>
      <c r="K878" s="26">
        <v>131048.67</v>
      </c>
      <c r="L878" s="26">
        <v>-206844.57</v>
      </c>
      <c r="M878" s="26">
        <v>-131048.67</v>
      </c>
    </row>
    <row r="879" spans="1:13">
      <c r="A879" s="24" t="s">
        <v>66</v>
      </c>
      <c r="B879" s="24" t="s">
        <v>337</v>
      </c>
      <c r="C879" s="25">
        <v>45658</v>
      </c>
      <c r="D879" s="24" t="s">
        <v>2657</v>
      </c>
      <c r="E879" s="26">
        <v>0</v>
      </c>
      <c r="F879" s="26">
        <v>0</v>
      </c>
      <c r="G879" s="26">
        <v>0</v>
      </c>
      <c r="H879" s="26">
        <v>0</v>
      </c>
      <c r="I879" s="26">
        <v>0</v>
      </c>
      <c r="J879" s="26">
        <v>0</v>
      </c>
      <c r="K879" s="26">
        <v>0</v>
      </c>
      <c r="L879" s="26">
        <v>0</v>
      </c>
      <c r="M879" s="26">
        <v>0</v>
      </c>
    </row>
    <row r="880" spans="1:13">
      <c r="A880" s="24" t="s">
        <v>66</v>
      </c>
      <c r="B880" s="24" t="s">
        <v>337</v>
      </c>
      <c r="C880" s="25">
        <v>45689</v>
      </c>
      <c r="D880" s="24" t="s">
        <v>2658</v>
      </c>
      <c r="E880" s="26">
        <v>0</v>
      </c>
      <c r="F880" s="26">
        <v>0</v>
      </c>
      <c r="G880" s="26">
        <v>0</v>
      </c>
      <c r="H880" s="26">
        <v>0</v>
      </c>
      <c r="I880" s="26">
        <v>0</v>
      </c>
      <c r="J880" s="26">
        <v>0</v>
      </c>
      <c r="K880" s="26">
        <v>0</v>
      </c>
      <c r="L880" s="26">
        <v>0</v>
      </c>
      <c r="M880" s="26">
        <v>0</v>
      </c>
    </row>
    <row r="881" spans="1:13">
      <c r="A881" s="24" t="s">
        <v>66</v>
      </c>
      <c r="B881" s="24" t="s">
        <v>337</v>
      </c>
      <c r="C881" s="25">
        <v>45717</v>
      </c>
      <c r="D881" s="24" t="s">
        <v>2659</v>
      </c>
      <c r="E881" s="26">
        <v>0</v>
      </c>
      <c r="F881" s="26">
        <v>0</v>
      </c>
      <c r="G881" s="26">
        <v>0</v>
      </c>
      <c r="H881" s="26">
        <v>0</v>
      </c>
      <c r="I881" s="26">
        <v>0</v>
      </c>
      <c r="J881" s="26">
        <v>0</v>
      </c>
      <c r="K881" s="26">
        <v>0</v>
      </c>
      <c r="L881" s="26">
        <v>0</v>
      </c>
      <c r="M881" s="26">
        <v>0</v>
      </c>
    </row>
    <row r="882" spans="1:13">
      <c r="A882" s="24" t="s">
        <v>66</v>
      </c>
      <c r="B882" s="24" t="s">
        <v>337</v>
      </c>
      <c r="C882" s="25">
        <v>45748</v>
      </c>
      <c r="D882" s="24" t="s">
        <v>2660</v>
      </c>
      <c r="E882" s="26">
        <v>0</v>
      </c>
      <c r="F882" s="26">
        <v>0</v>
      </c>
      <c r="G882" s="26">
        <v>0</v>
      </c>
      <c r="H882" s="26">
        <v>0</v>
      </c>
      <c r="I882" s="26">
        <v>0</v>
      </c>
      <c r="J882" s="26">
        <v>0</v>
      </c>
      <c r="K882" s="26">
        <v>0</v>
      </c>
      <c r="L882" s="26">
        <v>0</v>
      </c>
      <c r="M882" s="26">
        <v>0</v>
      </c>
    </row>
    <row r="883" spans="1:13">
      <c r="A883" s="24" t="s">
        <v>66</v>
      </c>
      <c r="B883" s="24" t="s">
        <v>337</v>
      </c>
      <c r="C883" s="25">
        <v>45778</v>
      </c>
      <c r="D883" s="24" t="s">
        <v>2661</v>
      </c>
      <c r="E883" s="26">
        <v>0</v>
      </c>
      <c r="F883" s="26">
        <v>0</v>
      </c>
      <c r="G883" s="26">
        <v>0</v>
      </c>
      <c r="H883" s="26">
        <v>0</v>
      </c>
      <c r="I883" s="26">
        <v>0</v>
      </c>
      <c r="J883" s="26">
        <v>0</v>
      </c>
      <c r="K883" s="26">
        <v>0</v>
      </c>
      <c r="L883" s="26">
        <v>0</v>
      </c>
      <c r="M883" s="26">
        <v>0</v>
      </c>
    </row>
    <row r="884" spans="1:13">
      <c r="A884" s="24" t="s">
        <v>66</v>
      </c>
      <c r="B884" s="24" t="s">
        <v>337</v>
      </c>
      <c r="C884" s="25">
        <v>45809</v>
      </c>
      <c r="D884" s="24" t="s">
        <v>2662</v>
      </c>
      <c r="E884" s="26">
        <v>0</v>
      </c>
      <c r="F884" s="26">
        <v>0</v>
      </c>
      <c r="G884" s="26">
        <v>0</v>
      </c>
      <c r="H884" s="26">
        <v>0</v>
      </c>
      <c r="I884" s="26">
        <v>0</v>
      </c>
      <c r="J884" s="26">
        <v>0</v>
      </c>
      <c r="K884" s="26">
        <v>0</v>
      </c>
      <c r="L884" s="26">
        <v>0</v>
      </c>
      <c r="M884" s="26">
        <v>0</v>
      </c>
    </row>
    <row r="885" spans="1:13">
      <c r="A885" s="24" t="s">
        <v>66</v>
      </c>
      <c r="B885" s="24" t="s">
        <v>337</v>
      </c>
      <c r="C885" s="25">
        <v>45839</v>
      </c>
      <c r="D885" s="24" t="s">
        <v>2663</v>
      </c>
      <c r="E885" s="26">
        <v>-54667.32</v>
      </c>
      <c r="F885" s="26">
        <v>0</v>
      </c>
      <c r="G885" s="26">
        <v>0</v>
      </c>
      <c r="H885" s="26">
        <v>-54667.32</v>
      </c>
      <c r="I885" s="26">
        <v>54667.32</v>
      </c>
      <c r="J885" s="26">
        <v>0</v>
      </c>
      <c r="K885" s="26">
        <v>54667.32</v>
      </c>
      <c r="L885" s="26">
        <v>-54667.32</v>
      </c>
      <c r="M885" s="26">
        <v>-54667.32</v>
      </c>
    </row>
    <row r="886" spans="1:13">
      <c r="A886" s="24" t="s">
        <v>66</v>
      </c>
      <c r="B886" s="24" t="s">
        <v>337</v>
      </c>
      <c r="C886" s="25">
        <v>45870</v>
      </c>
      <c r="D886" s="24" t="s">
        <v>2664</v>
      </c>
      <c r="E886" s="26">
        <v>-54667.32</v>
      </c>
      <c r="F886" s="26">
        <v>0</v>
      </c>
      <c r="G886" s="26">
        <v>53621.81</v>
      </c>
      <c r="H886" s="26">
        <v>-1045.510000000002</v>
      </c>
      <c r="I886" s="26">
        <v>54667.32</v>
      </c>
      <c r="J886" s="26">
        <v>0</v>
      </c>
      <c r="K886" s="26">
        <v>54667.32</v>
      </c>
      <c r="L886" s="26">
        <v>-1045.510000000002</v>
      </c>
      <c r="M886" s="26">
        <v>-54667.32</v>
      </c>
    </row>
    <row r="887" spans="1:13">
      <c r="A887" s="24" t="s">
        <v>66</v>
      </c>
      <c r="B887" s="24" t="s">
        <v>337</v>
      </c>
      <c r="C887" s="25">
        <v>45901</v>
      </c>
      <c r="D887" s="24" t="s">
        <v>2665</v>
      </c>
      <c r="E887" s="26">
        <v>-54667.32</v>
      </c>
      <c r="F887" s="26">
        <v>0</v>
      </c>
      <c r="G887" s="26">
        <v>145088.82999999999</v>
      </c>
      <c r="H887" s="26">
        <v>90421.510000000009</v>
      </c>
      <c r="I887" s="26">
        <v>54667.32</v>
      </c>
      <c r="J887" s="26">
        <v>1655318.94</v>
      </c>
      <c r="K887" s="26">
        <v>1709986.26</v>
      </c>
      <c r="L887" s="26">
        <v>90421.510000000009</v>
      </c>
      <c r="M887" s="26">
        <v>-1709986.26</v>
      </c>
    </row>
    <row r="888" spans="1:13">
      <c r="A888" s="24" t="s">
        <v>66</v>
      </c>
      <c r="B888" s="24" t="s">
        <v>337</v>
      </c>
      <c r="C888" s="25">
        <v>45931</v>
      </c>
      <c r="D888" s="24" t="s">
        <v>2666</v>
      </c>
      <c r="E888" s="26">
        <v>-389502.59</v>
      </c>
      <c r="F888" s="26">
        <v>0</v>
      </c>
      <c r="G888" s="26">
        <v>145088.82999999999</v>
      </c>
      <c r="H888" s="26">
        <v>-244413.76</v>
      </c>
      <c r="I888" s="26">
        <v>54667.32</v>
      </c>
      <c r="J888" s="26">
        <v>1655318.94</v>
      </c>
      <c r="K888" s="26">
        <v>1709986.26</v>
      </c>
      <c r="L888" s="26">
        <v>-244413.76</v>
      </c>
      <c r="M888" s="26">
        <v>-1709986.26</v>
      </c>
    </row>
    <row r="889" spans="1:13">
      <c r="A889" s="24" t="s">
        <v>66</v>
      </c>
      <c r="B889" s="24" t="s">
        <v>337</v>
      </c>
      <c r="C889" s="25">
        <v>45962</v>
      </c>
      <c r="D889" s="24" t="s">
        <v>2667</v>
      </c>
      <c r="E889" s="26">
        <v>-474456.02</v>
      </c>
      <c r="F889" s="26">
        <v>0</v>
      </c>
      <c r="G889" s="26">
        <v>145088.82999999999</v>
      </c>
      <c r="H889" s="26">
        <v>-329367.19</v>
      </c>
      <c r="I889" s="26">
        <v>54667.32</v>
      </c>
      <c r="J889" s="26">
        <v>1655318.94</v>
      </c>
      <c r="K889" s="26">
        <v>1709986.26</v>
      </c>
      <c r="L889" s="26">
        <v>-329367.19</v>
      </c>
      <c r="M889" s="26">
        <v>-1709986.26</v>
      </c>
    </row>
    <row r="890" spans="1:13">
      <c r="A890" s="24" t="s">
        <v>66</v>
      </c>
      <c r="B890" s="24" t="s">
        <v>337</v>
      </c>
      <c r="C890" s="25">
        <v>45992</v>
      </c>
      <c r="D890" s="24" t="s">
        <v>2668</v>
      </c>
      <c r="E890" s="26">
        <v>-474456.02</v>
      </c>
      <c r="F890" s="26">
        <v>0</v>
      </c>
      <c r="G890" s="26">
        <v>145088.82999999999</v>
      </c>
      <c r="H890" s="26">
        <v>-329367.19</v>
      </c>
      <c r="I890" s="26">
        <v>54667.32</v>
      </c>
      <c r="J890" s="26">
        <v>1655318.94</v>
      </c>
      <c r="K890" s="26">
        <v>1709986.26</v>
      </c>
      <c r="L890" s="26">
        <v>-329367.19</v>
      </c>
      <c r="M890" s="26">
        <v>-1709986.26</v>
      </c>
    </row>
    <row r="891" spans="1:13">
      <c r="A891" s="24" t="s">
        <v>163</v>
      </c>
      <c r="B891" s="24" t="s">
        <v>324</v>
      </c>
      <c r="C891" s="25">
        <v>45658</v>
      </c>
      <c r="D891" s="24" t="s">
        <v>2657</v>
      </c>
      <c r="E891" s="26">
        <v>0</v>
      </c>
      <c r="F891" s="26">
        <v>0</v>
      </c>
      <c r="G891" s="26">
        <v>0</v>
      </c>
      <c r="H891" s="26">
        <v>0</v>
      </c>
      <c r="I891" s="26">
        <v>0</v>
      </c>
      <c r="J891" s="26">
        <v>0</v>
      </c>
      <c r="K891" s="26">
        <v>0</v>
      </c>
      <c r="L891" s="26">
        <v>0</v>
      </c>
      <c r="M891" s="26">
        <v>0</v>
      </c>
    </row>
    <row r="892" spans="1:13">
      <c r="A892" s="24" t="s">
        <v>163</v>
      </c>
      <c r="B892" s="24" t="s">
        <v>324</v>
      </c>
      <c r="C892" s="25">
        <v>45689</v>
      </c>
      <c r="D892" s="24" t="s">
        <v>2658</v>
      </c>
      <c r="E892" s="26">
        <v>0</v>
      </c>
      <c r="F892" s="26">
        <v>0</v>
      </c>
      <c r="G892" s="26">
        <v>0</v>
      </c>
      <c r="H892" s="26">
        <v>0</v>
      </c>
      <c r="I892" s="26">
        <v>0</v>
      </c>
      <c r="J892" s="26">
        <v>0</v>
      </c>
      <c r="K892" s="26">
        <v>0</v>
      </c>
      <c r="L892" s="26">
        <v>0</v>
      </c>
      <c r="M892" s="26">
        <v>0</v>
      </c>
    </row>
    <row r="893" spans="1:13">
      <c r="A893" s="24" t="s">
        <v>163</v>
      </c>
      <c r="B893" s="24" t="s">
        <v>324</v>
      </c>
      <c r="C893" s="25">
        <v>45717</v>
      </c>
      <c r="D893" s="24" t="s">
        <v>2659</v>
      </c>
      <c r="E893" s="26">
        <v>0</v>
      </c>
      <c r="F893" s="26">
        <v>0</v>
      </c>
      <c r="G893" s="26">
        <v>0</v>
      </c>
      <c r="H893" s="26">
        <v>0</v>
      </c>
      <c r="I893" s="26">
        <v>0</v>
      </c>
      <c r="J893" s="26">
        <v>0</v>
      </c>
      <c r="K893" s="26">
        <v>0</v>
      </c>
      <c r="L893" s="26">
        <v>0</v>
      </c>
      <c r="M893" s="26">
        <v>0</v>
      </c>
    </row>
    <row r="894" spans="1:13">
      <c r="A894" s="24" t="s">
        <v>163</v>
      </c>
      <c r="B894" s="24" t="s">
        <v>324</v>
      </c>
      <c r="C894" s="25">
        <v>45748</v>
      </c>
      <c r="D894" s="24" t="s">
        <v>2660</v>
      </c>
      <c r="E894" s="26">
        <v>0</v>
      </c>
      <c r="F894" s="26">
        <v>0</v>
      </c>
      <c r="G894" s="26">
        <v>0</v>
      </c>
      <c r="H894" s="26">
        <v>0</v>
      </c>
      <c r="I894" s="26">
        <v>0</v>
      </c>
      <c r="J894" s="26">
        <v>0</v>
      </c>
      <c r="K894" s="26">
        <v>0</v>
      </c>
      <c r="L894" s="26">
        <v>0</v>
      </c>
      <c r="M894" s="26">
        <v>0</v>
      </c>
    </row>
    <row r="895" spans="1:13">
      <c r="A895" s="24" t="s">
        <v>163</v>
      </c>
      <c r="B895" s="24" t="s">
        <v>324</v>
      </c>
      <c r="C895" s="25">
        <v>45778</v>
      </c>
      <c r="D895" s="24" t="s">
        <v>2661</v>
      </c>
      <c r="E895" s="26">
        <v>0</v>
      </c>
      <c r="F895" s="26">
        <v>0</v>
      </c>
      <c r="G895" s="26">
        <v>0</v>
      </c>
      <c r="H895" s="26">
        <v>0</v>
      </c>
      <c r="I895" s="26">
        <v>0</v>
      </c>
      <c r="J895" s="26">
        <v>0</v>
      </c>
      <c r="K895" s="26">
        <v>0</v>
      </c>
      <c r="L895" s="26">
        <v>0</v>
      </c>
      <c r="M895" s="26">
        <v>0</v>
      </c>
    </row>
    <row r="896" spans="1:13">
      <c r="A896" s="24" t="s">
        <v>163</v>
      </c>
      <c r="B896" s="24" t="s">
        <v>324</v>
      </c>
      <c r="C896" s="25">
        <v>45809</v>
      </c>
      <c r="D896" s="24" t="s">
        <v>2662</v>
      </c>
      <c r="E896" s="26">
        <v>0</v>
      </c>
      <c r="F896" s="26">
        <v>0</v>
      </c>
      <c r="G896" s="26">
        <v>0</v>
      </c>
      <c r="H896" s="26">
        <v>0</v>
      </c>
      <c r="I896" s="26">
        <v>0</v>
      </c>
      <c r="J896" s="26">
        <v>0</v>
      </c>
      <c r="K896" s="26">
        <v>0</v>
      </c>
      <c r="L896" s="26">
        <v>0</v>
      </c>
      <c r="M896" s="26">
        <v>0</v>
      </c>
    </row>
    <row r="897" spans="1:13">
      <c r="A897" s="24" t="s">
        <v>163</v>
      </c>
      <c r="B897" s="24" t="s">
        <v>324</v>
      </c>
      <c r="C897" s="25">
        <v>45839</v>
      </c>
      <c r="D897" s="24" t="s">
        <v>2663</v>
      </c>
      <c r="E897" s="26">
        <v>0</v>
      </c>
      <c r="F897" s="26">
        <v>0</v>
      </c>
      <c r="G897" s="26">
        <v>0</v>
      </c>
      <c r="H897" s="26">
        <v>0</v>
      </c>
      <c r="I897" s="26">
        <v>0</v>
      </c>
      <c r="J897" s="26">
        <v>0</v>
      </c>
      <c r="K897" s="26">
        <v>0</v>
      </c>
      <c r="L897" s="26">
        <v>0</v>
      </c>
      <c r="M897" s="26">
        <v>0</v>
      </c>
    </row>
    <row r="898" spans="1:13">
      <c r="A898" s="24" t="s">
        <v>163</v>
      </c>
      <c r="B898" s="24" t="s">
        <v>324</v>
      </c>
      <c r="C898" s="25">
        <v>45870</v>
      </c>
      <c r="D898" s="24" t="s">
        <v>2664</v>
      </c>
      <c r="E898" s="26">
        <v>0</v>
      </c>
      <c r="F898" s="26">
        <v>0</v>
      </c>
      <c r="G898" s="26">
        <v>0</v>
      </c>
      <c r="H898" s="26">
        <v>0</v>
      </c>
      <c r="I898" s="26">
        <v>0</v>
      </c>
      <c r="J898" s="26">
        <v>0</v>
      </c>
      <c r="K898" s="26">
        <v>0</v>
      </c>
      <c r="L898" s="26">
        <v>0</v>
      </c>
      <c r="M898" s="26">
        <v>0</v>
      </c>
    </row>
    <row r="899" spans="1:13">
      <c r="A899" s="24" t="s">
        <v>163</v>
      </c>
      <c r="B899" s="24" t="s">
        <v>324</v>
      </c>
      <c r="C899" s="25">
        <v>45901</v>
      </c>
      <c r="D899" s="24" t="s">
        <v>2665</v>
      </c>
      <c r="E899" s="26">
        <v>38505.19</v>
      </c>
      <c r="F899" s="26">
        <v>0</v>
      </c>
      <c r="G899" s="26">
        <v>0</v>
      </c>
      <c r="H899" s="26">
        <v>38505.19</v>
      </c>
      <c r="I899" s="26">
        <v>0</v>
      </c>
      <c r="J899" s="26">
        <v>277448.63</v>
      </c>
      <c r="K899" s="26">
        <v>277448.63</v>
      </c>
      <c r="L899" s="26">
        <v>0</v>
      </c>
      <c r="M899" s="26">
        <v>-238943.44</v>
      </c>
    </row>
    <row r="900" spans="1:13">
      <c r="A900" s="24" t="s">
        <v>163</v>
      </c>
      <c r="B900" s="24" t="s">
        <v>324</v>
      </c>
      <c r="C900" s="25">
        <v>45931</v>
      </c>
      <c r="D900" s="24" t="s">
        <v>2666</v>
      </c>
      <c r="E900" s="26">
        <v>14142.71</v>
      </c>
      <c r="F900" s="26">
        <v>0</v>
      </c>
      <c r="G900" s="26">
        <v>0</v>
      </c>
      <c r="H900" s="26">
        <v>14142.71</v>
      </c>
      <c r="I900" s="26">
        <v>0</v>
      </c>
      <c r="J900" s="26">
        <v>277448.63</v>
      </c>
      <c r="K900" s="26">
        <v>277448.63</v>
      </c>
      <c r="L900" s="26">
        <v>-24362.48</v>
      </c>
      <c r="M900" s="26">
        <v>-238943.44</v>
      </c>
    </row>
    <row r="901" spans="1:13">
      <c r="A901" s="24" t="s">
        <v>163</v>
      </c>
      <c r="B901" s="24" t="s">
        <v>324</v>
      </c>
      <c r="C901" s="25">
        <v>45962</v>
      </c>
      <c r="D901" s="24" t="s">
        <v>2667</v>
      </c>
      <c r="E901" s="26">
        <v>14142.71</v>
      </c>
      <c r="F901" s="26">
        <v>0</v>
      </c>
      <c r="G901" s="26">
        <v>0</v>
      </c>
      <c r="H901" s="26">
        <v>14142.71</v>
      </c>
      <c r="I901" s="26">
        <v>0</v>
      </c>
      <c r="J901" s="26">
        <v>277448.63</v>
      </c>
      <c r="K901" s="26">
        <v>277448.63</v>
      </c>
      <c r="L901" s="26">
        <v>-24362.48</v>
      </c>
      <c r="M901" s="26">
        <v>-238943.44</v>
      </c>
    </row>
    <row r="902" spans="1:13">
      <c r="A902" s="24" t="s">
        <v>163</v>
      </c>
      <c r="B902" s="24" t="s">
        <v>324</v>
      </c>
      <c r="C902" s="25">
        <v>45992</v>
      </c>
      <c r="D902" s="24" t="s">
        <v>2668</v>
      </c>
      <c r="E902" s="26">
        <v>14142.71</v>
      </c>
      <c r="F902" s="26">
        <v>0</v>
      </c>
      <c r="G902" s="26">
        <v>0</v>
      </c>
      <c r="H902" s="26">
        <v>14142.71</v>
      </c>
      <c r="I902" s="26">
        <v>0</v>
      </c>
      <c r="J902" s="26">
        <v>277448.63</v>
      </c>
      <c r="K902" s="26">
        <v>277448.63</v>
      </c>
      <c r="L902" s="26">
        <v>-24362.48</v>
      </c>
      <c r="M902" s="26">
        <v>-238943.44</v>
      </c>
    </row>
    <row r="903" spans="1:13">
      <c r="A903" s="24" t="s">
        <v>168</v>
      </c>
      <c r="B903" s="24" t="s">
        <v>318</v>
      </c>
      <c r="C903" s="25">
        <v>45658</v>
      </c>
      <c r="D903" s="24" t="s">
        <v>2657</v>
      </c>
      <c r="E903" s="26">
        <v>0</v>
      </c>
      <c r="F903" s="26">
        <v>0</v>
      </c>
      <c r="G903" s="26">
        <v>0</v>
      </c>
      <c r="H903" s="26">
        <v>0</v>
      </c>
      <c r="I903" s="26">
        <v>0</v>
      </c>
      <c r="J903" s="26">
        <v>0</v>
      </c>
      <c r="K903" s="26">
        <v>0</v>
      </c>
      <c r="L903" s="26">
        <v>0</v>
      </c>
      <c r="M903" s="26">
        <v>0</v>
      </c>
    </row>
    <row r="904" spans="1:13">
      <c r="A904" s="24" t="s">
        <v>168</v>
      </c>
      <c r="B904" s="24" t="s">
        <v>318</v>
      </c>
      <c r="C904" s="25">
        <v>45689</v>
      </c>
      <c r="D904" s="24" t="s">
        <v>2658</v>
      </c>
      <c r="E904" s="26">
        <v>0</v>
      </c>
      <c r="F904" s="26">
        <v>0</v>
      </c>
      <c r="G904" s="26">
        <v>0</v>
      </c>
      <c r="H904" s="26">
        <v>0</v>
      </c>
      <c r="I904" s="26">
        <v>0</v>
      </c>
      <c r="J904" s="26">
        <v>0</v>
      </c>
      <c r="K904" s="26">
        <v>0</v>
      </c>
      <c r="L904" s="26">
        <v>0</v>
      </c>
      <c r="M904" s="26">
        <v>0</v>
      </c>
    </row>
    <row r="905" spans="1:13">
      <c r="A905" s="24" t="s">
        <v>168</v>
      </c>
      <c r="B905" s="24" t="s">
        <v>318</v>
      </c>
      <c r="C905" s="25">
        <v>45717</v>
      </c>
      <c r="D905" s="24" t="s">
        <v>2659</v>
      </c>
      <c r="E905" s="26">
        <v>0</v>
      </c>
      <c r="F905" s="26">
        <v>0</v>
      </c>
      <c r="G905" s="26">
        <v>0</v>
      </c>
      <c r="H905" s="26">
        <v>0</v>
      </c>
      <c r="I905" s="26">
        <v>0</v>
      </c>
      <c r="J905" s="26">
        <v>0</v>
      </c>
      <c r="K905" s="26">
        <v>0</v>
      </c>
      <c r="L905" s="26">
        <v>0</v>
      </c>
      <c r="M905" s="26">
        <v>0</v>
      </c>
    </row>
    <row r="906" spans="1:13">
      <c r="A906" s="24" t="s">
        <v>168</v>
      </c>
      <c r="B906" s="24" t="s">
        <v>318</v>
      </c>
      <c r="C906" s="25">
        <v>45748</v>
      </c>
      <c r="D906" s="24" t="s">
        <v>2660</v>
      </c>
      <c r="E906" s="26">
        <v>0</v>
      </c>
      <c r="F906" s="26">
        <v>0</v>
      </c>
      <c r="G906" s="26">
        <v>0</v>
      </c>
      <c r="H906" s="26">
        <v>0</v>
      </c>
      <c r="I906" s="26">
        <v>0</v>
      </c>
      <c r="J906" s="26">
        <v>0</v>
      </c>
      <c r="K906" s="26">
        <v>0</v>
      </c>
      <c r="L906" s="26">
        <v>0</v>
      </c>
      <c r="M906" s="26">
        <v>0</v>
      </c>
    </row>
    <row r="907" spans="1:13">
      <c r="A907" s="24" t="s">
        <v>168</v>
      </c>
      <c r="B907" s="24" t="s">
        <v>318</v>
      </c>
      <c r="C907" s="25">
        <v>45778</v>
      </c>
      <c r="D907" s="24" t="s">
        <v>2661</v>
      </c>
      <c r="E907" s="26">
        <v>0</v>
      </c>
      <c r="F907" s="26">
        <v>0</v>
      </c>
      <c r="G907" s="26">
        <v>0</v>
      </c>
      <c r="H907" s="26">
        <v>0</v>
      </c>
      <c r="I907" s="26">
        <v>0</v>
      </c>
      <c r="J907" s="26">
        <v>0</v>
      </c>
      <c r="K907" s="26">
        <v>0</v>
      </c>
      <c r="L907" s="26">
        <v>0</v>
      </c>
      <c r="M907" s="26">
        <v>0</v>
      </c>
    </row>
    <row r="908" spans="1:13">
      <c r="A908" s="24" t="s">
        <v>168</v>
      </c>
      <c r="B908" s="24" t="s">
        <v>318</v>
      </c>
      <c r="C908" s="25">
        <v>45809</v>
      </c>
      <c r="D908" s="24" t="s">
        <v>2662</v>
      </c>
      <c r="E908" s="26">
        <v>0</v>
      </c>
      <c r="F908" s="26">
        <v>0</v>
      </c>
      <c r="G908" s="26">
        <v>0</v>
      </c>
      <c r="H908" s="26">
        <v>0</v>
      </c>
      <c r="I908" s="26">
        <v>0</v>
      </c>
      <c r="J908" s="26">
        <v>0</v>
      </c>
      <c r="K908" s="26">
        <v>0</v>
      </c>
      <c r="L908" s="26">
        <v>0</v>
      </c>
      <c r="M908" s="26">
        <v>0</v>
      </c>
    </row>
    <row r="909" spans="1:13">
      <c r="A909" s="24" t="s">
        <v>168</v>
      </c>
      <c r="B909" s="24" t="s">
        <v>318</v>
      </c>
      <c r="C909" s="25">
        <v>45839</v>
      </c>
      <c r="D909" s="24" t="s">
        <v>2663</v>
      </c>
      <c r="E909" s="26">
        <v>0</v>
      </c>
      <c r="F909" s="26">
        <v>0</v>
      </c>
      <c r="G909" s="26">
        <v>0</v>
      </c>
      <c r="H909" s="26">
        <v>0</v>
      </c>
      <c r="I909" s="26">
        <v>0</v>
      </c>
      <c r="J909" s="26">
        <v>0</v>
      </c>
      <c r="K909" s="26">
        <v>0</v>
      </c>
      <c r="L909" s="26">
        <v>0</v>
      </c>
      <c r="M909" s="26">
        <v>0</v>
      </c>
    </row>
    <row r="910" spans="1:13">
      <c r="A910" s="24" t="s">
        <v>168</v>
      </c>
      <c r="B910" s="24" t="s">
        <v>318</v>
      </c>
      <c r="C910" s="25">
        <v>45870</v>
      </c>
      <c r="D910" s="24" t="s">
        <v>2664</v>
      </c>
      <c r="E910" s="26">
        <v>-69499.44</v>
      </c>
      <c r="F910" s="26">
        <v>14346.01</v>
      </c>
      <c r="G910" s="26">
        <v>0</v>
      </c>
      <c r="H910" s="26">
        <v>-55153.43</v>
      </c>
      <c r="I910" s="26">
        <v>69499.44</v>
      </c>
      <c r="J910" s="26">
        <v>0</v>
      </c>
      <c r="K910" s="26">
        <v>69499.44</v>
      </c>
      <c r="L910" s="26">
        <v>-69499.44</v>
      </c>
      <c r="M910" s="26">
        <v>-55153.429999999993</v>
      </c>
    </row>
    <row r="911" spans="1:13">
      <c r="A911" s="24" t="s">
        <v>168</v>
      </c>
      <c r="B911" s="24" t="s">
        <v>318</v>
      </c>
      <c r="C911" s="25">
        <v>45901</v>
      </c>
      <c r="D911" s="24" t="s">
        <v>2665</v>
      </c>
      <c r="E911" s="26">
        <v>-69499.44</v>
      </c>
      <c r="F911" s="26">
        <v>14346.01</v>
      </c>
      <c r="G911" s="26">
        <v>0</v>
      </c>
      <c r="H911" s="26">
        <v>-55153.43</v>
      </c>
      <c r="I911" s="26">
        <v>69499.44</v>
      </c>
      <c r="J911" s="26">
        <v>0</v>
      </c>
      <c r="K911" s="26">
        <v>69499.44</v>
      </c>
      <c r="L911" s="26">
        <v>-69499.44</v>
      </c>
      <c r="M911" s="26">
        <v>-55153.429999999993</v>
      </c>
    </row>
    <row r="912" spans="1:13">
      <c r="A912" s="24" t="s">
        <v>168</v>
      </c>
      <c r="B912" s="24" t="s">
        <v>318</v>
      </c>
      <c r="C912" s="25">
        <v>45931</v>
      </c>
      <c r="D912" s="24" t="s">
        <v>2666</v>
      </c>
      <c r="E912" s="26">
        <v>-69499.44</v>
      </c>
      <c r="F912" s="26">
        <v>14346.01</v>
      </c>
      <c r="G912" s="26">
        <v>0</v>
      </c>
      <c r="H912" s="26">
        <v>-55153.43</v>
      </c>
      <c r="I912" s="26">
        <v>69499.44</v>
      </c>
      <c r="J912" s="26">
        <v>0</v>
      </c>
      <c r="K912" s="26">
        <v>69499.44</v>
      </c>
      <c r="L912" s="26">
        <v>-57876.92</v>
      </c>
      <c r="M912" s="26">
        <v>-66775.95</v>
      </c>
    </row>
    <row r="913" spans="1:13">
      <c r="A913" s="24" t="s">
        <v>168</v>
      </c>
      <c r="B913" s="24" t="s">
        <v>318</v>
      </c>
      <c r="C913" s="25">
        <v>45962</v>
      </c>
      <c r="D913" s="24" t="s">
        <v>2667</v>
      </c>
      <c r="E913" s="26">
        <v>-69499.44</v>
      </c>
      <c r="F913" s="26">
        <v>14346.01</v>
      </c>
      <c r="G913" s="26">
        <v>4537.51</v>
      </c>
      <c r="H913" s="26">
        <v>-50615.92</v>
      </c>
      <c r="I913" s="26">
        <v>69499.44</v>
      </c>
      <c r="J913" s="26">
        <v>0</v>
      </c>
      <c r="K913" s="26">
        <v>69499.44</v>
      </c>
      <c r="L913" s="26">
        <v>-50615.92</v>
      </c>
      <c r="M913" s="26">
        <v>-69499.44</v>
      </c>
    </row>
    <row r="914" spans="1:13">
      <c r="A914" s="24" t="s">
        <v>168</v>
      </c>
      <c r="B914" s="24" t="s">
        <v>318</v>
      </c>
      <c r="C914" s="25">
        <v>45992</v>
      </c>
      <c r="D914" s="24" t="s">
        <v>2668</v>
      </c>
      <c r="E914" s="26">
        <v>-114801.09</v>
      </c>
      <c r="F914" s="26">
        <v>14346.01</v>
      </c>
      <c r="G914" s="26">
        <v>11701.16</v>
      </c>
      <c r="H914" s="26">
        <v>-88753.919999999998</v>
      </c>
      <c r="I914" s="26">
        <v>114801.09</v>
      </c>
      <c r="J914" s="26">
        <v>0</v>
      </c>
      <c r="K914" s="26">
        <v>114801.09</v>
      </c>
      <c r="L914" s="26">
        <v>-88753.919999999998</v>
      </c>
      <c r="M914" s="26">
        <v>-114801.09</v>
      </c>
    </row>
    <row r="915" spans="1:13">
      <c r="A915" s="24" t="s">
        <v>108</v>
      </c>
      <c r="B915" s="24" t="s">
        <v>345</v>
      </c>
      <c r="C915" s="25">
        <v>45658</v>
      </c>
      <c r="D915" s="24" t="s">
        <v>2657</v>
      </c>
      <c r="E915" s="26">
        <v>0</v>
      </c>
      <c r="F915" s="26">
        <v>0</v>
      </c>
      <c r="G915" s="26">
        <v>0</v>
      </c>
      <c r="H915" s="26">
        <v>0</v>
      </c>
      <c r="I915" s="26">
        <v>0</v>
      </c>
      <c r="J915" s="26">
        <v>0</v>
      </c>
      <c r="K915" s="26">
        <v>0</v>
      </c>
      <c r="L915" s="26">
        <v>0</v>
      </c>
      <c r="M915" s="26">
        <v>0</v>
      </c>
    </row>
    <row r="916" spans="1:13">
      <c r="A916" s="24" t="s">
        <v>108</v>
      </c>
      <c r="B916" s="24" t="s">
        <v>345</v>
      </c>
      <c r="C916" s="25">
        <v>45689</v>
      </c>
      <c r="D916" s="24" t="s">
        <v>2658</v>
      </c>
      <c r="E916" s="26">
        <v>0</v>
      </c>
      <c r="F916" s="26">
        <v>0</v>
      </c>
      <c r="G916" s="26">
        <v>0</v>
      </c>
      <c r="H916" s="26">
        <v>0</v>
      </c>
      <c r="I916" s="26">
        <v>0</v>
      </c>
      <c r="J916" s="26">
        <v>0</v>
      </c>
      <c r="K916" s="26">
        <v>0</v>
      </c>
      <c r="L916" s="26">
        <v>0</v>
      </c>
      <c r="M916" s="26">
        <v>0</v>
      </c>
    </row>
    <row r="917" spans="1:13">
      <c r="A917" s="24" t="s">
        <v>108</v>
      </c>
      <c r="B917" s="24" t="s">
        <v>345</v>
      </c>
      <c r="C917" s="25">
        <v>45717</v>
      </c>
      <c r="D917" s="24" t="s">
        <v>2659</v>
      </c>
      <c r="E917" s="26">
        <v>0</v>
      </c>
      <c r="F917" s="26">
        <v>0</v>
      </c>
      <c r="G917" s="26">
        <v>0</v>
      </c>
      <c r="H917" s="26">
        <v>0</v>
      </c>
      <c r="I917" s="26">
        <v>0</v>
      </c>
      <c r="J917" s="26">
        <v>0</v>
      </c>
      <c r="K917" s="26">
        <v>0</v>
      </c>
      <c r="L917" s="26">
        <v>0</v>
      </c>
      <c r="M917" s="26">
        <v>0</v>
      </c>
    </row>
    <row r="918" spans="1:13">
      <c r="A918" s="24" t="s">
        <v>108</v>
      </c>
      <c r="B918" s="24" t="s">
        <v>345</v>
      </c>
      <c r="C918" s="25">
        <v>45748</v>
      </c>
      <c r="D918" s="24" t="s">
        <v>2660</v>
      </c>
      <c r="E918" s="26">
        <v>0</v>
      </c>
      <c r="F918" s="26">
        <v>0</v>
      </c>
      <c r="G918" s="26">
        <v>0</v>
      </c>
      <c r="H918" s="26">
        <v>0</v>
      </c>
      <c r="I918" s="26">
        <v>0</v>
      </c>
      <c r="J918" s="26">
        <v>0</v>
      </c>
      <c r="K918" s="26">
        <v>0</v>
      </c>
      <c r="L918" s="26">
        <v>0</v>
      </c>
      <c r="M918" s="26">
        <v>0</v>
      </c>
    </row>
    <row r="919" spans="1:13">
      <c r="A919" s="24" t="s">
        <v>108</v>
      </c>
      <c r="B919" s="24" t="s">
        <v>345</v>
      </c>
      <c r="C919" s="25">
        <v>45778</v>
      </c>
      <c r="D919" s="24" t="s">
        <v>2661</v>
      </c>
      <c r="E919" s="26">
        <v>0</v>
      </c>
      <c r="F919" s="26">
        <v>0</v>
      </c>
      <c r="G919" s="26">
        <v>0</v>
      </c>
      <c r="H919" s="26">
        <v>0</v>
      </c>
      <c r="I919" s="26">
        <v>0</v>
      </c>
      <c r="J919" s="26">
        <v>0</v>
      </c>
      <c r="K919" s="26">
        <v>0</v>
      </c>
      <c r="L919" s="26">
        <v>0</v>
      </c>
      <c r="M919" s="26">
        <v>0</v>
      </c>
    </row>
    <row r="920" spans="1:13">
      <c r="A920" s="24" t="s">
        <v>108</v>
      </c>
      <c r="B920" s="24" t="s">
        <v>345</v>
      </c>
      <c r="C920" s="25">
        <v>45809</v>
      </c>
      <c r="D920" s="24" t="s">
        <v>2662</v>
      </c>
      <c r="E920" s="26">
        <v>0</v>
      </c>
      <c r="F920" s="26">
        <v>0</v>
      </c>
      <c r="G920" s="26">
        <v>0</v>
      </c>
      <c r="H920" s="26">
        <v>0</v>
      </c>
      <c r="I920" s="26">
        <v>0</v>
      </c>
      <c r="J920" s="26">
        <v>0</v>
      </c>
      <c r="K920" s="26">
        <v>0</v>
      </c>
      <c r="L920" s="26">
        <v>0</v>
      </c>
      <c r="M920" s="26">
        <v>0</v>
      </c>
    </row>
    <row r="921" spans="1:13">
      <c r="A921" s="24" t="s">
        <v>108</v>
      </c>
      <c r="B921" s="24" t="s">
        <v>345</v>
      </c>
      <c r="C921" s="25">
        <v>45839</v>
      </c>
      <c r="D921" s="24" t="s">
        <v>2663</v>
      </c>
      <c r="E921" s="26">
        <v>0</v>
      </c>
      <c r="F921" s="26">
        <v>0</v>
      </c>
      <c r="G921" s="26">
        <v>79670.070000000007</v>
      </c>
      <c r="H921" s="26">
        <v>79670.070000000007</v>
      </c>
      <c r="I921" s="26">
        <v>0</v>
      </c>
      <c r="J921" s="26">
        <v>0</v>
      </c>
      <c r="K921" s="26">
        <v>0</v>
      </c>
      <c r="L921" s="26">
        <v>79670.070000000007</v>
      </c>
      <c r="M921" s="26">
        <v>0</v>
      </c>
    </row>
    <row r="922" spans="1:13">
      <c r="A922" s="24" t="s">
        <v>108</v>
      </c>
      <c r="B922" s="24" t="s">
        <v>345</v>
      </c>
      <c r="C922" s="25">
        <v>45870</v>
      </c>
      <c r="D922" s="24" t="s">
        <v>2664</v>
      </c>
      <c r="E922" s="26">
        <v>0</v>
      </c>
      <c r="F922" s="26">
        <v>0</v>
      </c>
      <c r="G922" s="26">
        <v>145157.18</v>
      </c>
      <c r="H922" s="26">
        <v>145157.18</v>
      </c>
      <c r="I922" s="26">
        <v>0</v>
      </c>
      <c r="J922" s="26">
        <v>0</v>
      </c>
      <c r="K922" s="26">
        <v>0</v>
      </c>
      <c r="L922" s="26">
        <v>145157.18</v>
      </c>
      <c r="M922" s="26">
        <v>0</v>
      </c>
    </row>
    <row r="923" spans="1:13">
      <c r="A923" s="24" t="s">
        <v>108</v>
      </c>
      <c r="B923" s="24" t="s">
        <v>345</v>
      </c>
      <c r="C923" s="25">
        <v>45901</v>
      </c>
      <c r="D923" s="24" t="s">
        <v>2665</v>
      </c>
      <c r="E923" s="26">
        <v>213140.17</v>
      </c>
      <c r="F923" s="26">
        <v>0</v>
      </c>
      <c r="G923" s="26">
        <v>0</v>
      </c>
      <c r="H923" s="26">
        <v>213140.17</v>
      </c>
      <c r="I923" s="26">
        <v>0</v>
      </c>
      <c r="J923" s="26">
        <v>321295.14</v>
      </c>
      <c r="K923" s="26">
        <v>321295.14</v>
      </c>
      <c r="L923" s="26">
        <v>186704.08</v>
      </c>
      <c r="M923" s="26">
        <v>-294859.05</v>
      </c>
    </row>
    <row r="924" spans="1:13">
      <c r="A924" s="24" t="s">
        <v>108</v>
      </c>
      <c r="B924" s="24" t="s">
        <v>345</v>
      </c>
      <c r="C924" s="25">
        <v>45931</v>
      </c>
      <c r="D924" s="24" t="s">
        <v>2666</v>
      </c>
      <c r="E924" s="26">
        <v>112687.18</v>
      </c>
      <c r="F924" s="26">
        <v>0</v>
      </c>
      <c r="G924" s="26">
        <v>0</v>
      </c>
      <c r="H924" s="26">
        <v>112687.18</v>
      </c>
      <c r="I924" s="26">
        <v>100452.99</v>
      </c>
      <c r="J924" s="26">
        <v>321295.14</v>
      </c>
      <c r="K924" s="26">
        <v>421748.13</v>
      </c>
      <c r="L924" s="26">
        <v>86251.089999999982</v>
      </c>
      <c r="M924" s="26">
        <v>-395312.04</v>
      </c>
    </row>
    <row r="925" spans="1:13">
      <c r="A925" s="24" t="s">
        <v>108</v>
      </c>
      <c r="B925" s="24" t="s">
        <v>345</v>
      </c>
      <c r="C925" s="25">
        <v>45962</v>
      </c>
      <c r="D925" s="24" t="s">
        <v>2667</v>
      </c>
      <c r="E925" s="26">
        <v>-408272.87000000011</v>
      </c>
      <c r="F925" s="26">
        <v>0</v>
      </c>
      <c r="G925" s="26">
        <v>0</v>
      </c>
      <c r="H925" s="26">
        <v>-408272.87000000011</v>
      </c>
      <c r="I925" s="26">
        <v>175442.88</v>
      </c>
      <c r="J925" s="26">
        <v>321295.14</v>
      </c>
      <c r="K925" s="26">
        <v>496738.02</v>
      </c>
      <c r="L925" s="26">
        <v>-434708.96000000008</v>
      </c>
      <c r="M925" s="26">
        <v>-470301.93000000011</v>
      </c>
    </row>
    <row r="926" spans="1:13">
      <c r="A926" s="24" t="s">
        <v>108</v>
      </c>
      <c r="B926" s="24" t="s">
        <v>345</v>
      </c>
      <c r="C926" s="25">
        <v>45992</v>
      </c>
      <c r="D926" s="24" t="s">
        <v>2668</v>
      </c>
      <c r="E926" s="26">
        <v>-258168.24</v>
      </c>
      <c r="F926" s="26">
        <v>0</v>
      </c>
      <c r="G926" s="26">
        <v>0</v>
      </c>
      <c r="H926" s="26">
        <v>-258168.24</v>
      </c>
      <c r="I926" s="26">
        <v>175442.88</v>
      </c>
      <c r="J926" s="26">
        <v>286986.34000000003</v>
      </c>
      <c r="K926" s="26">
        <v>462429.22</v>
      </c>
      <c r="L926" s="26">
        <v>-400400.16000000009</v>
      </c>
      <c r="M926" s="26">
        <v>-320197.29999999987</v>
      </c>
    </row>
    <row r="927" spans="1:13">
      <c r="A927" s="24" t="s">
        <v>51</v>
      </c>
      <c r="B927" s="24" t="s">
        <v>345</v>
      </c>
      <c r="C927" s="25">
        <v>45658</v>
      </c>
      <c r="D927" s="24" t="s">
        <v>2657</v>
      </c>
      <c r="E927" s="26">
        <v>0</v>
      </c>
      <c r="F927" s="26">
        <v>0</v>
      </c>
      <c r="G927" s="26">
        <v>0</v>
      </c>
      <c r="H927" s="26">
        <v>0</v>
      </c>
      <c r="I927" s="26">
        <v>0</v>
      </c>
      <c r="J927" s="26">
        <v>0</v>
      </c>
      <c r="K927" s="26">
        <v>0</v>
      </c>
      <c r="L927" s="26">
        <v>0</v>
      </c>
      <c r="M927" s="26">
        <v>0</v>
      </c>
    </row>
    <row r="928" spans="1:13">
      <c r="A928" s="24" t="s">
        <v>51</v>
      </c>
      <c r="B928" s="24" t="s">
        <v>345</v>
      </c>
      <c r="C928" s="25">
        <v>45689</v>
      </c>
      <c r="D928" s="24" t="s">
        <v>2658</v>
      </c>
      <c r="E928" s="26">
        <v>0</v>
      </c>
      <c r="F928" s="26">
        <v>0</v>
      </c>
      <c r="G928" s="26">
        <v>0</v>
      </c>
      <c r="H928" s="26">
        <v>0</v>
      </c>
      <c r="I928" s="26">
        <v>0</v>
      </c>
      <c r="J928" s="26">
        <v>0</v>
      </c>
      <c r="K928" s="26">
        <v>0</v>
      </c>
      <c r="L928" s="26">
        <v>0</v>
      </c>
      <c r="M928" s="26">
        <v>0</v>
      </c>
    </row>
    <row r="929" spans="1:13">
      <c r="A929" s="24" t="s">
        <v>51</v>
      </c>
      <c r="B929" s="24" t="s">
        <v>345</v>
      </c>
      <c r="C929" s="25">
        <v>45717</v>
      </c>
      <c r="D929" s="24" t="s">
        <v>2659</v>
      </c>
      <c r="E929" s="26">
        <v>0</v>
      </c>
      <c r="F929" s="26">
        <v>0</v>
      </c>
      <c r="G929" s="26">
        <v>0</v>
      </c>
      <c r="H929" s="26">
        <v>0</v>
      </c>
      <c r="I929" s="26">
        <v>0</v>
      </c>
      <c r="J929" s="26">
        <v>0</v>
      </c>
      <c r="K929" s="26">
        <v>0</v>
      </c>
      <c r="L929" s="26">
        <v>0</v>
      </c>
      <c r="M929" s="26">
        <v>0</v>
      </c>
    </row>
    <row r="930" spans="1:13">
      <c r="A930" s="24" t="s">
        <v>51</v>
      </c>
      <c r="B930" s="24" t="s">
        <v>345</v>
      </c>
      <c r="C930" s="25">
        <v>45748</v>
      </c>
      <c r="D930" s="24" t="s">
        <v>2660</v>
      </c>
      <c r="E930" s="26">
        <v>0</v>
      </c>
      <c r="F930" s="26">
        <v>0</v>
      </c>
      <c r="G930" s="26">
        <v>0</v>
      </c>
      <c r="H930" s="26">
        <v>0</v>
      </c>
      <c r="I930" s="26">
        <v>0</v>
      </c>
      <c r="J930" s="26">
        <v>0</v>
      </c>
      <c r="K930" s="26">
        <v>0</v>
      </c>
      <c r="L930" s="26">
        <v>0</v>
      </c>
      <c r="M930" s="26">
        <v>0</v>
      </c>
    </row>
    <row r="931" spans="1:13">
      <c r="A931" s="24" t="s">
        <v>51</v>
      </c>
      <c r="B931" s="24" t="s">
        <v>345</v>
      </c>
      <c r="C931" s="25">
        <v>45778</v>
      </c>
      <c r="D931" s="24" t="s">
        <v>2661</v>
      </c>
      <c r="E931" s="26">
        <v>0</v>
      </c>
      <c r="F931" s="26">
        <v>0</v>
      </c>
      <c r="G931" s="26">
        <v>0</v>
      </c>
      <c r="H931" s="26">
        <v>0</v>
      </c>
      <c r="I931" s="26">
        <v>0</v>
      </c>
      <c r="J931" s="26">
        <v>0</v>
      </c>
      <c r="K931" s="26">
        <v>0</v>
      </c>
      <c r="L931" s="26">
        <v>0</v>
      </c>
      <c r="M931" s="26">
        <v>0</v>
      </c>
    </row>
    <row r="932" spans="1:13">
      <c r="A932" s="24" t="s">
        <v>51</v>
      </c>
      <c r="B932" s="24" t="s">
        <v>345</v>
      </c>
      <c r="C932" s="25">
        <v>45809</v>
      </c>
      <c r="D932" s="24" t="s">
        <v>2662</v>
      </c>
      <c r="E932" s="26">
        <v>0</v>
      </c>
      <c r="F932" s="26">
        <v>0</v>
      </c>
      <c r="G932" s="26">
        <v>0</v>
      </c>
      <c r="H932" s="26">
        <v>0</v>
      </c>
      <c r="I932" s="26">
        <v>0</v>
      </c>
      <c r="J932" s="26">
        <v>0</v>
      </c>
      <c r="K932" s="26">
        <v>0</v>
      </c>
      <c r="L932" s="26">
        <v>0</v>
      </c>
      <c r="M932" s="26">
        <v>0</v>
      </c>
    </row>
    <row r="933" spans="1:13">
      <c r="A933" s="24" t="s">
        <v>51</v>
      </c>
      <c r="B933" s="24" t="s">
        <v>345</v>
      </c>
      <c r="C933" s="25">
        <v>45839</v>
      </c>
      <c r="D933" s="24" t="s">
        <v>2663</v>
      </c>
      <c r="E933" s="26">
        <v>-17692.12</v>
      </c>
      <c r="F933" s="26">
        <v>0</v>
      </c>
      <c r="G933" s="26">
        <v>0</v>
      </c>
      <c r="H933" s="26">
        <v>-17692.12</v>
      </c>
      <c r="I933" s="26">
        <v>0</v>
      </c>
      <c r="J933" s="26">
        <v>0</v>
      </c>
      <c r="K933" s="26">
        <v>0</v>
      </c>
      <c r="L933" s="26">
        <v>-17692.12</v>
      </c>
      <c r="M933" s="26">
        <v>0</v>
      </c>
    </row>
    <row r="934" spans="1:13">
      <c r="A934" s="24" t="s">
        <v>51</v>
      </c>
      <c r="B934" s="24" t="s">
        <v>345</v>
      </c>
      <c r="C934" s="25">
        <v>45870</v>
      </c>
      <c r="D934" s="24" t="s">
        <v>2664</v>
      </c>
      <c r="E934" s="26">
        <v>-17692.12</v>
      </c>
      <c r="F934" s="26">
        <v>0</v>
      </c>
      <c r="G934" s="26">
        <v>0</v>
      </c>
      <c r="H934" s="26">
        <v>-17692.12</v>
      </c>
      <c r="I934" s="26">
        <v>0</v>
      </c>
      <c r="J934" s="26">
        <v>0</v>
      </c>
      <c r="K934" s="26">
        <v>0</v>
      </c>
      <c r="L934" s="26">
        <v>-17692.12</v>
      </c>
      <c r="M934" s="26">
        <v>0</v>
      </c>
    </row>
    <row r="935" spans="1:13">
      <c r="A935" s="24" t="s">
        <v>51</v>
      </c>
      <c r="B935" s="24" t="s">
        <v>345</v>
      </c>
      <c r="C935" s="25">
        <v>45901</v>
      </c>
      <c r="D935" s="24" t="s">
        <v>2665</v>
      </c>
      <c r="E935" s="26">
        <v>-17692.12</v>
      </c>
      <c r="F935" s="26">
        <v>0</v>
      </c>
      <c r="G935" s="26">
        <v>0</v>
      </c>
      <c r="H935" s="26">
        <v>-17692.12</v>
      </c>
      <c r="I935" s="26">
        <v>0</v>
      </c>
      <c r="J935" s="26">
        <v>0</v>
      </c>
      <c r="K935" s="26">
        <v>0</v>
      </c>
      <c r="L935" s="26">
        <v>-17692.12</v>
      </c>
      <c r="M935" s="26">
        <v>0</v>
      </c>
    </row>
    <row r="936" spans="1:13">
      <c r="A936" s="24" t="s">
        <v>51</v>
      </c>
      <c r="B936" s="24" t="s">
        <v>345</v>
      </c>
      <c r="C936" s="25">
        <v>45931</v>
      </c>
      <c r="D936" s="24" t="s">
        <v>2666</v>
      </c>
      <c r="E936" s="26">
        <v>-17692.12</v>
      </c>
      <c r="F936" s="26">
        <v>0</v>
      </c>
      <c r="G936" s="26">
        <v>0</v>
      </c>
      <c r="H936" s="26">
        <v>-17692.12</v>
      </c>
      <c r="I936" s="26">
        <v>0</v>
      </c>
      <c r="J936" s="26">
        <v>0</v>
      </c>
      <c r="K936" s="26">
        <v>0</v>
      </c>
      <c r="L936" s="26">
        <v>-8858.23</v>
      </c>
      <c r="M936" s="26">
        <v>-8833.89</v>
      </c>
    </row>
    <row r="937" spans="1:13">
      <c r="A937" s="24" t="s">
        <v>51</v>
      </c>
      <c r="B937" s="24" t="s">
        <v>345</v>
      </c>
      <c r="C937" s="25">
        <v>45962</v>
      </c>
      <c r="D937" s="24" t="s">
        <v>2667</v>
      </c>
      <c r="E937" s="26">
        <v>-17692.12</v>
      </c>
      <c r="F937" s="26">
        <v>0</v>
      </c>
      <c r="G937" s="26">
        <v>0</v>
      </c>
      <c r="H937" s="26">
        <v>-17692.12</v>
      </c>
      <c r="I937" s="26">
        <v>0</v>
      </c>
      <c r="J937" s="26">
        <v>0</v>
      </c>
      <c r="K937" s="26">
        <v>0</v>
      </c>
      <c r="L937" s="26">
        <v>-8858.23</v>
      </c>
      <c r="M937" s="26">
        <v>-8833.89</v>
      </c>
    </row>
    <row r="938" spans="1:13">
      <c r="A938" s="24" t="s">
        <v>51</v>
      </c>
      <c r="B938" s="24" t="s">
        <v>345</v>
      </c>
      <c r="C938" s="25">
        <v>45992</v>
      </c>
      <c r="D938" s="24" t="s">
        <v>2668</v>
      </c>
      <c r="E938" s="26">
        <v>-17692.12</v>
      </c>
      <c r="F938" s="26">
        <v>0</v>
      </c>
      <c r="G938" s="26">
        <v>0</v>
      </c>
      <c r="H938" s="26">
        <v>-17692.12</v>
      </c>
      <c r="I938" s="26">
        <v>0</v>
      </c>
      <c r="J938" s="26">
        <v>40284.06</v>
      </c>
      <c r="K938" s="26">
        <v>40284.06</v>
      </c>
      <c r="L938" s="26">
        <v>-8858.23</v>
      </c>
      <c r="M938" s="26">
        <v>-49117.95</v>
      </c>
    </row>
    <row r="939" spans="1:13">
      <c r="A939" s="24" t="s">
        <v>245</v>
      </c>
      <c r="B939" s="24" t="s">
        <v>329</v>
      </c>
      <c r="C939" s="25">
        <v>45658</v>
      </c>
      <c r="D939" s="24" t="s">
        <v>2657</v>
      </c>
      <c r="E939" s="26">
        <v>0</v>
      </c>
      <c r="F939" s="26">
        <v>0</v>
      </c>
      <c r="G939" s="26">
        <v>0</v>
      </c>
      <c r="H939" s="26">
        <v>0</v>
      </c>
      <c r="I939" s="26">
        <v>0</v>
      </c>
      <c r="J939" s="26">
        <v>0</v>
      </c>
      <c r="K939" s="26">
        <v>0</v>
      </c>
      <c r="L939" s="26">
        <v>0</v>
      </c>
      <c r="M939" s="26">
        <v>0</v>
      </c>
    </row>
    <row r="940" spans="1:13">
      <c r="A940" s="24" t="s">
        <v>245</v>
      </c>
      <c r="B940" s="24" t="s">
        <v>329</v>
      </c>
      <c r="C940" s="25">
        <v>45689</v>
      </c>
      <c r="D940" s="24" t="s">
        <v>2658</v>
      </c>
      <c r="E940" s="26">
        <v>0</v>
      </c>
      <c r="F940" s="26">
        <v>0</v>
      </c>
      <c r="G940" s="26">
        <v>0</v>
      </c>
      <c r="H940" s="26">
        <v>0</v>
      </c>
      <c r="I940" s="26">
        <v>0</v>
      </c>
      <c r="J940" s="26">
        <v>0</v>
      </c>
      <c r="K940" s="26">
        <v>0</v>
      </c>
      <c r="L940" s="26">
        <v>0</v>
      </c>
      <c r="M940" s="26">
        <v>0</v>
      </c>
    </row>
    <row r="941" spans="1:13">
      <c r="A941" s="24" t="s">
        <v>245</v>
      </c>
      <c r="B941" s="24" t="s">
        <v>329</v>
      </c>
      <c r="C941" s="25">
        <v>45717</v>
      </c>
      <c r="D941" s="24" t="s">
        <v>2659</v>
      </c>
      <c r="E941" s="26">
        <v>0</v>
      </c>
      <c r="F941" s="26">
        <v>0</v>
      </c>
      <c r="G941" s="26">
        <v>0</v>
      </c>
      <c r="H941" s="26">
        <v>0</v>
      </c>
      <c r="I941" s="26">
        <v>0</v>
      </c>
      <c r="J941" s="26">
        <v>0</v>
      </c>
      <c r="K941" s="26">
        <v>0</v>
      </c>
      <c r="L941" s="26">
        <v>0</v>
      </c>
      <c r="M941" s="26">
        <v>0</v>
      </c>
    </row>
    <row r="942" spans="1:13">
      <c r="A942" s="24" t="s">
        <v>245</v>
      </c>
      <c r="B942" s="24" t="s">
        <v>329</v>
      </c>
      <c r="C942" s="25">
        <v>45748</v>
      </c>
      <c r="D942" s="24" t="s">
        <v>2660</v>
      </c>
      <c r="E942" s="26">
        <v>0</v>
      </c>
      <c r="F942" s="26">
        <v>0</v>
      </c>
      <c r="G942" s="26">
        <v>0</v>
      </c>
      <c r="H942" s="26">
        <v>0</v>
      </c>
      <c r="I942" s="26">
        <v>0</v>
      </c>
      <c r="J942" s="26">
        <v>0</v>
      </c>
      <c r="K942" s="26">
        <v>0</v>
      </c>
      <c r="L942" s="26">
        <v>0</v>
      </c>
      <c r="M942" s="26">
        <v>0</v>
      </c>
    </row>
    <row r="943" spans="1:13">
      <c r="A943" s="24" t="s">
        <v>245</v>
      </c>
      <c r="B943" s="24" t="s">
        <v>329</v>
      </c>
      <c r="C943" s="25">
        <v>45778</v>
      </c>
      <c r="D943" s="24" t="s">
        <v>2661</v>
      </c>
      <c r="E943" s="26">
        <v>0</v>
      </c>
      <c r="F943" s="26">
        <v>0</v>
      </c>
      <c r="G943" s="26">
        <v>0</v>
      </c>
      <c r="H943" s="26">
        <v>0</v>
      </c>
      <c r="I943" s="26">
        <v>0</v>
      </c>
      <c r="J943" s="26">
        <v>0</v>
      </c>
      <c r="K943" s="26">
        <v>0</v>
      </c>
      <c r="L943" s="26">
        <v>0</v>
      </c>
      <c r="M943" s="26">
        <v>0</v>
      </c>
    </row>
    <row r="944" spans="1:13">
      <c r="A944" s="24" t="s">
        <v>245</v>
      </c>
      <c r="B944" s="24" t="s">
        <v>329</v>
      </c>
      <c r="C944" s="25">
        <v>45809</v>
      </c>
      <c r="D944" s="24" t="s">
        <v>2662</v>
      </c>
      <c r="E944" s="26">
        <v>0</v>
      </c>
      <c r="F944" s="26">
        <v>0</v>
      </c>
      <c r="G944" s="26">
        <v>0</v>
      </c>
      <c r="H944" s="26">
        <v>0</v>
      </c>
      <c r="I944" s="26">
        <v>0</v>
      </c>
      <c r="J944" s="26">
        <v>0</v>
      </c>
      <c r="K944" s="26">
        <v>0</v>
      </c>
      <c r="L944" s="26">
        <v>0</v>
      </c>
      <c r="M944" s="26">
        <v>0</v>
      </c>
    </row>
    <row r="945" spans="1:13">
      <c r="A945" s="24" t="s">
        <v>245</v>
      </c>
      <c r="B945" s="24" t="s">
        <v>329</v>
      </c>
      <c r="C945" s="25">
        <v>45839</v>
      </c>
      <c r="D945" s="24" t="s">
        <v>2663</v>
      </c>
      <c r="E945" s="26">
        <v>0</v>
      </c>
      <c r="F945" s="26">
        <v>0</v>
      </c>
      <c r="G945" s="26">
        <v>44625.88</v>
      </c>
      <c r="H945" s="26">
        <v>44625.88</v>
      </c>
      <c r="I945" s="26">
        <v>0</v>
      </c>
      <c r="J945" s="26">
        <v>0</v>
      </c>
      <c r="K945" s="26">
        <v>0</v>
      </c>
      <c r="L945" s="26">
        <v>44625.88</v>
      </c>
      <c r="M945" s="26">
        <v>0</v>
      </c>
    </row>
    <row r="946" spans="1:13">
      <c r="A946" s="24" t="s">
        <v>245</v>
      </c>
      <c r="B946" s="24" t="s">
        <v>329</v>
      </c>
      <c r="C946" s="25">
        <v>45870</v>
      </c>
      <c r="D946" s="24" t="s">
        <v>2664</v>
      </c>
      <c r="E946" s="26">
        <v>0</v>
      </c>
      <c r="F946" s="26">
        <v>0</v>
      </c>
      <c r="G946" s="26">
        <v>44625.88</v>
      </c>
      <c r="H946" s="26">
        <v>44625.88</v>
      </c>
      <c r="I946" s="26">
        <v>0</v>
      </c>
      <c r="J946" s="26">
        <v>0</v>
      </c>
      <c r="K946" s="26">
        <v>0</v>
      </c>
      <c r="L946" s="26">
        <v>44625.88</v>
      </c>
      <c r="M946" s="26">
        <v>0</v>
      </c>
    </row>
    <row r="947" spans="1:13">
      <c r="A947" s="24" t="s">
        <v>245</v>
      </c>
      <c r="B947" s="24" t="s">
        <v>329</v>
      </c>
      <c r="C947" s="25">
        <v>45901</v>
      </c>
      <c r="D947" s="24" t="s">
        <v>2665</v>
      </c>
      <c r="E947" s="26">
        <v>238563.34</v>
      </c>
      <c r="F947" s="26">
        <v>0</v>
      </c>
      <c r="G947" s="26">
        <v>0</v>
      </c>
      <c r="H947" s="26">
        <v>238563.34</v>
      </c>
      <c r="I947" s="26">
        <v>0</v>
      </c>
      <c r="J947" s="26">
        <v>415326.94</v>
      </c>
      <c r="K947" s="26">
        <v>415326.94</v>
      </c>
      <c r="L947" s="26">
        <v>126251.81</v>
      </c>
      <c r="M947" s="26">
        <v>-303015.40999999997</v>
      </c>
    </row>
    <row r="948" spans="1:13">
      <c r="A948" s="24" t="s">
        <v>245</v>
      </c>
      <c r="B948" s="24" t="s">
        <v>329</v>
      </c>
      <c r="C948" s="25">
        <v>45931</v>
      </c>
      <c r="D948" s="24" t="s">
        <v>2666</v>
      </c>
      <c r="E948" s="26">
        <v>148086.37</v>
      </c>
      <c r="F948" s="26">
        <v>0</v>
      </c>
      <c r="G948" s="26">
        <v>0</v>
      </c>
      <c r="H948" s="26">
        <v>148086.37</v>
      </c>
      <c r="I948" s="26">
        <v>0</v>
      </c>
      <c r="J948" s="26">
        <v>305886.92</v>
      </c>
      <c r="K948" s="26">
        <v>305886.92</v>
      </c>
      <c r="L948" s="26">
        <v>145214.85999999999</v>
      </c>
      <c r="M948" s="26">
        <v>-303015.40999999997</v>
      </c>
    </row>
    <row r="949" spans="1:13">
      <c r="A949" s="24" t="s">
        <v>245</v>
      </c>
      <c r="B949" s="24" t="s">
        <v>329</v>
      </c>
      <c r="C949" s="25">
        <v>45962</v>
      </c>
      <c r="D949" s="24" t="s">
        <v>2667</v>
      </c>
      <c r="E949" s="26">
        <v>148086.37</v>
      </c>
      <c r="F949" s="26">
        <v>0</v>
      </c>
      <c r="G949" s="26">
        <v>81187.71000000005</v>
      </c>
      <c r="H949" s="26">
        <v>229274.08</v>
      </c>
      <c r="I949" s="26">
        <v>0</v>
      </c>
      <c r="J949" s="26">
        <v>221827.7</v>
      </c>
      <c r="K949" s="26">
        <v>221827.7</v>
      </c>
      <c r="L949" s="26">
        <v>229274.08</v>
      </c>
      <c r="M949" s="26">
        <v>-221827.6999999999</v>
      </c>
    </row>
    <row r="950" spans="1:13">
      <c r="A950" s="24" t="s">
        <v>245</v>
      </c>
      <c r="B950" s="24" t="s">
        <v>329</v>
      </c>
      <c r="C950" s="25">
        <v>45992</v>
      </c>
      <c r="D950" s="24" t="s">
        <v>2668</v>
      </c>
      <c r="E950" s="26">
        <v>148086.37</v>
      </c>
      <c r="F950" s="26">
        <v>0</v>
      </c>
      <c r="G950" s="26">
        <v>21553.270000000019</v>
      </c>
      <c r="H950" s="26">
        <v>169639.64</v>
      </c>
      <c r="I950" s="26">
        <v>0</v>
      </c>
      <c r="J950" s="26">
        <v>221827.7</v>
      </c>
      <c r="K950" s="26">
        <v>221827.7</v>
      </c>
      <c r="L950" s="26">
        <v>229274.08</v>
      </c>
      <c r="M950" s="26">
        <v>-281462.1399999999</v>
      </c>
    </row>
    <row r="951" spans="1:13">
      <c r="A951" s="24" t="s">
        <v>89</v>
      </c>
      <c r="B951" s="24" t="s">
        <v>329</v>
      </c>
      <c r="C951" s="25">
        <v>45658</v>
      </c>
      <c r="D951" s="24" t="s">
        <v>2657</v>
      </c>
      <c r="E951" s="26">
        <v>0</v>
      </c>
      <c r="F951" s="26">
        <v>0</v>
      </c>
      <c r="G951" s="26">
        <v>0</v>
      </c>
      <c r="H951" s="26">
        <v>0</v>
      </c>
      <c r="I951" s="26">
        <v>0</v>
      </c>
      <c r="J951" s="26">
        <v>0</v>
      </c>
      <c r="K951" s="26">
        <v>0</v>
      </c>
      <c r="L951" s="26">
        <v>0</v>
      </c>
      <c r="M951" s="26">
        <v>0</v>
      </c>
    </row>
    <row r="952" spans="1:13">
      <c r="A952" s="24" t="s">
        <v>89</v>
      </c>
      <c r="B952" s="24" t="s">
        <v>329</v>
      </c>
      <c r="C952" s="25">
        <v>45689</v>
      </c>
      <c r="D952" s="24" t="s">
        <v>2658</v>
      </c>
      <c r="E952" s="26">
        <v>0</v>
      </c>
      <c r="F952" s="26">
        <v>0</v>
      </c>
      <c r="G952" s="26">
        <v>0</v>
      </c>
      <c r="H952" s="26">
        <v>0</v>
      </c>
      <c r="I952" s="26">
        <v>0</v>
      </c>
      <c r="J952" s="26">
        <v>0</v>
      </c>
      <c r="K952" s="26">
        <v>0</v>
      </c>
      <c r="L952" s="26">
        <v>0</v>
      </c>
      <c r="M952" s="26">
        <v>0</v>
      </c>
    </row>
    <row r="953" spans="1:13">
      <c r="A953" s="24" t="s">
        <v>89</v>
      </c>
      <c r="B953" s="24" t="s">
        <v>329</v>
      </c>
      <c r="C953" s="25">
        <v>45717</v>
      </c>
      <c r="D953" s="24" t="s">
        <v>2659</v>
      </c>
      <c r="E953" s="26">
        <v>0</v>
      </c>
      <c r="F953" s="26">
        <v>0</v>
      </c>
      <c r="G953" s="26">
        <v>0</v>
      </c>
      <c r="H953" s="26">
        <v>0</v>
      </c>
      <c r="I953" s="26">
        <v>0</v>
      </c>
      <c r="J953" s="26">
        <v>0</v>
      </c>
      <c r="K953" s="26">
        <v>0</v>
      </c>
      <c r="L953" s="26">
        <v>0</v>
      </c>
      <c r="M953" s="26">
        <v>0</v>
      </c>
    </row>
    <row r="954" spans="1:13">
      <c r="A954" s="24" t="s">
        <v>89</v>
      </c>
      <c r="B954" s="24" t="s">
        <v>329</v>
      </c>
      <c r="C954" s="25">
        <v>45748</v>
      </c>
      <c r="D954" s="24" t="s">
        <v>2660</v>
      </c>
      <c r="E954" s="26">
        <v>0</v>
      </c>
      <c r="F954" s="26">
        <v>0</v>
      </c>
      <c r="G954" s="26">
        <v>0</v>
      </c>
      <c r="H954" s="26">
        <v>0</v>
      </c>
      <c r="I954" s="26">
        <v>0</v>
      </c>
      <c r="J954" s="26">
        <v>0</v>
      </c>
      <c r="K954" s="26">
        <v>0</v>
      </c>
      <c r="L954" s="26">
        <v>0</v>
      </c>
      <c r="M954" s="26">
        <v>0</v>
      </c>
    </row>
    <row r="955" spans="1:13">
      <c r="A955" s="24" t="s">
        <v>89</v>
      </c>
      <c r="B955" s="24" t="s">
        <v>329</v>
      </c>
      <c r="C955" s="25">
        <v>45778</v>
      </c>
      <c r="D955" s="24" t="s">
        <v>2661</v>
      </c>
      <c r="E955" s="26">
        <v>0</v>
      </c>
      <c r="F955" s="26">
        <v>0</v>
      </c>
      <c r="G955" s="26">
        <v>0</v>
      </c>
      <c r="H955" s="26">
        <v>0</v>
      </c>
      <c r="I955" s="26">
        <v>0</v>
      </c>
      <c r="J955" s="26">
        <v>0</v>
      </c>
      <c r="K955" s="26">
        <v>0</v>
      </c>
      <c r="L955" s="26">
        <v>0</v>
      </c>
      <c r="M955" s="26">
        <v>0</v>
      </c>
    </row>
    <row r="956" spans="1:13">
      <c r="A956" s="24" t="s">
        <v>89</v>
      </c>
      <c r="B956" s="24" t="s">
        <v>329</v>
      </c>
      <c r="C956" s="25">
        <v>45809</v>
      </c>
      <c r="D956" s="24" t="s">
        <v>2662</v>
      </c>
      <c r="E956" s="26">
        <v>0</v>
      </c>
      <c r="F956" s="26">
        <v>0</v>
      </c>
      <c r="G956" s="26">
        <v>0</v>
      </c>
      <c r="H956" s="26">
        <v>0</v>
      </c>
      <c r="I956" s="26">
        <v>0</v>
      </c>
      <c r="J956" s="26">
        <v>0</v>
      </c>
      <c r="K956" s="26">
        <v>0</v>
      </c>
      <c r="L956" s="26">
        <v>0</v>
      </c>
      <c r="M956" s="26">
        <v>0</v>
      </c>
    </row>
    <row r="957" spans="1:13">
      <c r="A957" s="24" t="s">
        <v>89</v>
      </c>
      <c r="B957" s="24" t="s">
        <v>329</v>
      </c>
      <c r="C957" s="25">
        <v>45839</v>
      </c>
      <c r="D957" s="24" t="s">
        <v>2663</v>
      </c>
      <c r="E957" s="26">
        <v>0</v>
      </c>
      <c r="F957" s="26">
        <v>0</v>
      </c>
      <c r="G957" s="26">
        <v>29782.959999999999</v>
      </c>
      <c r="H957" s="26">
        <v>29782.959999999999</v>
      </c>
      <c r="I957" s="26">
        <v>0</v>
      </c>
      <c r="J957" s="26">
        <v>0</v>
      </c>
      <c r="K957" s="26">
        <v>0</v>
      </c>
      <c r="L957" s="26">
        <v>29782.959999999999</v>
      </c>
      <c r="M957" s="26">
        <v>0</v>
      </c>
    </row>
    <row r="958" spans="1:13">
      <c r="A958" s="24" t="s">
        <v>89</v>
      </c>
      <c r="B958" s="24" t="s">
        <v>329</v>
      </c>
      <c r="C958" s="25">
        <v>45870</v>
      </c>
      <c r="D958" s="24" t="s">
        <v>2664</v>
      </c>
      <c r="E958" s="26">
        <v>0</v>
      </c>
      <c r="F958" s="26">
        <v>35445.69</v>
      </c>
      <c r="G958" s="26">
        <v>0</v>
      </c>
      <c r="H958" s="26">
        <v>35445.69</v>
      </c>
      <c r="I958" s="26">
        <v>0</v>
      </c>
      <c r="J958" s="26">
        <v>0</v>
      </c>
      <c r="K958" s="26">
        <v>0</v>
      </c>
      <c r="L958" s="26">
        <v>29782.959999999999</v>
      </c>
      <c r="M958" s="26">
        <v>5662.7300000000032</v>
      </c>
    </row>
    <row r="959" spans="1:13">
      <c r="A959" s="24" t="s">
        <v>89</v>
      </c>
      <c r="B959" s="24" t="s">
        <v>329</v>
      </c>
      <c r="C959" s="25">
        <v>45901</v>
      </c>
      <c r="D959" s="24" t="s">
        <v>2665</v>
      </c>
      <c r="E959" s="26">
        <v>0</v>
      </c>
      <c r="F959" s="26">
        <v>35445.69</v>
      </c>
      <c r="G959" s="26">
        <v>0</v>
      </c>
      <c r="H959" s="26">
        <v>35445.69</v>
      </c>
      <c r="I959" s="26">
        <v>0</v>
      </c>
      <c r="J959" s="26">
        <v>0</v>
      </c>
      <c r="K959" s="26">
        <v>0</v>
      </c>
      <c r="L959" s="26">
        <v>29782.959999999999</v>
      </c>
      <c r="M959" s="26">
        <v>5662.7300000000032</v>
      </c>
    </row>
    <row r="960" spans="1:13">
      <c r="A960" s="24" t="s">
        <v>89</v>
      </c>
      <c r="B960" s="24" t="s">
        <v>329</v>
      </c>
      <c r="C960" s="25">
        <v>45931</v>
      </c>
      <c r="D960" s="24" t="s">
        <v>2666</v>
      </c>
      <c r="E960" s="26">
        <v>-116715.99</v>
      </c>
      <c r="F960" s="26">
        <v>35445.69</v>
      </c>
      <c r="G960" s="26">
        <v>0</v>
      </c>
      <c r="H960" s="26">
        <v>-81270.3</v>
      </c>
      <c r="I960" s="26">
        <v>0</v>
      </c>
      <c r="J960" s="26">
        <v>0</v>
      </c>
      <c r="K960" s="26">
        <v>0</v>
      </c>
      <c r="L960" s="26">
        <v>-86933.03</v>
      </c>
      <c r="M960" s="26">
        <v>5662.7299999999959</v>
      </c>
    </row>
    <row r="961" spans="1:13">
      <c r="A961" s="24" t="s">
        <v>89</v>
      </c>
      <c r="B961" s="24" t="s">
        <v>329</v>
      </c>
      <c r="C961" s="25">
        <v>45962</v>
      </c>
      <c r="D961" s="24" t="s">
        <v>2667</v>
      </c>
      <c r="E961" s="26">
        <v>-116715.99</v>
      </c>
      <c r="F961" s="26">
        <v>35445.69</v>
      </c>
      <c r="G961" s="26">
        <v>0</v>
      </c>
      <c r="H961" s="26">
        <v>-81270.3</v>
      </c>
      <c r="I961" s="26">
        <v>0</v>
      </c>
      <c r="J961" s="26">
        <v>0</v>
      </c>
      <c r="K961" s="26">
        <v>0</v>
      </c>
      <c r="L961" s="26">
        <v>-62490.95</v>
      </c>
      <c r="M961" s="26">
        <v>-18779.350000000009</v>
      </c>
    </row>
    <row r="962" spans="1:13">
      <c r="A962" s="24" t="s">
        <v>89</v>
      </c>
      <c r="B962" s="24" t="s">
        <v>329</v>
      </c>
      <c r="C962" s="25">
        <v>45992</v>
      </c>
      <c r="D962" s="24" t="s">
        <v>2668</v>
      </c>
      <c r="E962" s="26">
        <v>-116715.99</v>
      </c>
      <c r="F962" s="26">
        <v>35445.69</v>
      </c>
      <c r="G962" s="26">
        <v>0</v>
      </c>
      <c r="H962" s="26">
        <v>-81270.3</v>
      </c>
      <c r="I962" s="26">
        <v>0</v>
      </c>
      <c r="J962" s="26">
        <v>0</v>
      </c>
      <c r="K962" s="26">
        <v>0</v>
      </c>
      <c r="L962" s="26">
        <v>-62490.95</v>
      </c>
      <c r="M962" s="26">
        <v>-18779.350000000009</v>
      </c>
    </row>
    <row r="963" spans="1:13">
      <c r="A963" s="24" t="s">
        <v>140</v>
      </c>
      <c r="B963" s="24" t="s">
        <v>345</v>
      </c>
      <c r="C963" s="25">
        <v>45658</v>
      </c>
      <c r="D963" s="24" t="s">
        <v>2657</v>
      </c>
      <c r="E963" s="26">
        <v>0</v>
      </c>
      <c r="F963" s="26">
        <v>0</v>
      </c>
      <c r="G963" s="26">
        <v>0</v>
      </c>
      <c r="H963" s="26">
        <v>0</v>
      </c>
      <c r="I963" s="26">
        <v>0</v>
      </c>
      <c r="J963" s="26">
        <v>0</v>
      </c>
      <c r="K963" s="26">
        <v>0</v>
      </c>
      <c r="L963" s="26">
        <v>0</v>
      </c>
      <c r="M963" s="26">
        <v>0</v>
      </c>
    </row>
    <row r="964" spans="1:13">
      <c r="A964" s="24" t="s">
        <v>140</v>
      </c>
      <c r="B964" s="24" t="s">
        <v>345</v>
      </c>
      <c r="C964" s="25">
        <v>45689</v>
      </c>
      <c r="D964" s="24" t="s">
        <v>2658</v>
      </c>
      <c r="E964" s="26">
        <v>0</v>
      </c>
      <c r="F964" s="26">
        <v>0</v>
      </c>
      <c r="G964" s="26">
        <v>0</v>
      </c>
      <c r="H964" s="26">
        <v>0</v>
      </c>
      <c r="I964" s="26">
        <v>0</v>
      </c>
      <c r="J964" s="26">
        <v>0</v>
      </c>
      <c r="K964" s="26">
        <v>0</v>
      </c>
      <c r="L964" s="26">
        <v>0</v>
      </c>
      <c r="M964" s="26">
        <v>0</v>
      </c>
    </row>
    <row r="965" spans="1:13">
      <c r="A965" s="24" t="s">
        <v>140</v>
      </c>
      <c r="B965" s="24" t="s">
        <v>345</v>
      </c>
      <c r="C965" s="25">
        <v>45717</v>
      </c>
      <c r="D965" s="24" t="s">
        <v>2659</v>
      </c>
      <c r="E965" s="26">
        <v>0</v>
      </c>
      <c r="F965" s="26">
        <v>0</v>
      </c>
      <c r="G965" s="26">
        <v>0</v>
      </c>
      <c r="H965" s="26">
        <v>0</v>
      </c>
      <c r="I965" s="26">
        <v>0</v>
      </c>
      <c r="J965" s="26">
        <v>0</v>
      </c>
      <c r="K965" s="26">
        <v>0</v>
      </c>
      <c r="L965" s="26">
        <v>0</v>
      </c>
      <c r="M965" s="26">
        <v>0</v>
      </c>
    </row>
    <row r="966" spans="1:13">
      <c r="A966" s="24" t="s">
        <v>140</v>
      </c>
      <c r="B966" s="24" t="s">
        <v>345</v>
      </c>
      <c r="C966" s="25">
        <v>45748</v>
      </c>
      <c r="D966" s="24" t="s">
        <v>2660</v>
      </c>
      <c r="E966" s="26">
        <v>0</v>
      </c>
      <c r="F966" s="26">
        <v>0</v>
      </c>
      <c r="G966" s="26">
        <v>0</v>
      </c>
      <c r="H966" s="26">
        <v>0</v>
      </c>
      <c r="I966" s="26">
        <v>0</v>
      </c>
      <c r="J966" s="26">
        <v>0</v>
      </c>
      <c r="K966" s="26">
        <v>0</v>
      </c>
      <c r="L966" s="26">
        <v>0</v>
      </c>
      <c r="M966" s="26">
        <v>0</v>
      </c>
    </row>
    <row r="967" spans="1:13">
      <c r="A967" s="24" t="s">
        <v>140</v>
      </c>
      <c r="B967" s="24" t="s">
        <v>345</v>
      </c>
      <c r="C967" s="25">
        <v>45778</v>
      </c>
      <c r="D967" s="24" t="s">
        <v>2661</v>
      </c>
      <c r="E967" s="26">
        <v>0</v>
      </c>
      <c r="F967" s="26">
        <v>0</v>
      </c>
      <c r="G967" s="26">
        <v>0</v>
      </c>
      <c r="H967" s="26">
        <v>0</v>
      </c>
      <c r="I967" s="26">
        <v>0</v>
      </c>
      <c r="J967" s="26">
        <v>0</v>
      </c>
      <c r="K967" s="26">
        <v>0</v>
      </c>
      <c r="L967" s="26">
        <v>0</v>
      </c>
      <c r="M967" s="26">
        <v>0</v>
      </c>
    </row>
    <row r="968" spans="1:13">
      <c r="A968" s="24" t="s">
        <v>140</v>
      </c>
      <c r="B968" s="24" t="s">
        <v>345</v>
      </c>
      <c r="C968" s="25">
        <v>45809</v>
      </c>
      <c r="D968" s="24" t="s">
        <v>2662</v>
      </c>
      <c r="E968" s="26">
        <v>0</v>
      </c>
      <c r="F968" s="26">
        <v>0</v>
      </c>
      <c r="G968" s="26">
        <v>0</v>
      </c>
      <c r="H968" s="26">
        <v>0</v>
      </c>
      <c r="I968" s="26">
        <v>0</v>
      </c>
      <c r="J968" s="26">
        <v>0</v>
      </c>
      <c r="K968" s="26">
        <v>0</v>
      </c>
      <c r="L968" s="26">
        <v>0</v>
      </c>
      <c r="M968" s="26">
        <v>0</v>
      </c>
    </row>
    <row r="969" spans="1:13">
      <c r="A969" s="24" t="s">
        <v>140</v>
      </c>
      <c r="B969" s="24" t="s">
        <v>345</v>
      </c>
      <c r="C969" s="25">
        <v>45839</v>
      </c>
      <c r="D969" s="24" t="s">
        <v>2663</v>
      </c>
      <c r="E969" s="26">
        <v>-111417.66</v>
      </c>
      <c r="F969" s="26">
        <v>0</v>
      </c>
      <c r="G969" s="26">
        <v>0</v>
      </c>
      <c r="H969" s="26">
        <v>-111417.66</v>
      </c>
      <c r="I969" s="26">
        <v>111417.66</v>
      </c>
      <c r="J969" s="26">
        <v>0</v>
      </c>
      <c r="K969" s="26">
        <v>111417.66</v>
      </c>
      <c r="L969" s="26">
        <v>-111417.66</v>
      </c>
      <c r="M969" s="26">
        <v>-111417.66</v>
      </c>
    </row>
    <row r="970" spans="1:13">
      <c r="A970" s="24" t="s">
        <v>140</v>
      </c>
      <c r="B970" s="24" t="s">
        <v>345</v>
      </c>
      <c r="C970" s="25">
        <v>45870</v>
      </c>
      <c r="D970" s="24" t="s">
        <v>2664</v>
      </c>
      <c r="E970" s="26">
        <v>-150930.29999999999</v>
      </c>
      <c r="F970" s="26">
        <v>0</v>
      </c>
      <c r="G970" s="26">
        <v>0</v>
      </c>
      <c r="H970" s="26">
        <v>-150930.29999999999</v>
      </c>
      <c r="I970" s="26">
        <v>111417.66</v>
      </c>
      <c r="J970" s="26">
        <v>0</v>
      </c>
      <c r="K970" s="26">
        <v>111417.66</v>
      </c>
      <c r="L970" s="26">
        <v>-227983.4</v>
      </c>
      <c r="M970" s="26">
        <v>-34364.559999999939</v>
      </c>
    </row>
    <row r="971" spans="1:13">
      <c r="A971" s="24" t="s">
        <v>140</v>
      </c>
      <c r="B971" s="24" t="s">
        <v>345</v>
      </c>
      <c r="C971" s="25">
        <v>45901</v>
      </c>
      <c r="D971" s="24" t="s">
        <v>2665</v>
      </c>
      <c r="E971" s="26">
        <v>-150930.29999999999</v>
      </c>
      <c r="F971" s="26">
        <v>0</v>
      </c>
      <c r="G971" s="26">
        <v>0</v>
      </c>
      <c r="H971" s="26">
        <v>-150930.29999999999</v>
      </c>
      <c r="I971" s="26">
        <v>111417.66</v>
      </c>
      <c r="J971" s="26">
        <v>0</v>
      </c>
      <c r="K971" s="26">
        <v>111417.66</v>
      </c>
      <c r="L971" s="26">
        <v>-172430.98</v>
      </c>
      <c r="M971" s="26">
        <v>-89916.979999999923</v>
      </c>
    </row>
    <row r="972" spans="1:13">
      <c r="A972" s="24" t="s">
        <v>140</v>
      </c>
      <c r="B972" s="24" t="s">
        <v>345</v>
      </c>
      <c r="C972" s="25">
        <v>45931</v>
      </c>
      <c r="D972" s="24" t="s">
        <v>2666</v>
      </c>
      <c r="E972" s="26">
        <v>-150930.29999999999</v>
      </c>
      <c r="F972" s="26">
        <v>0</v>
      </c>
      <c r="G972" s="26">
        <v>46951.259999999987</v>
      </c>
      <c r="H972" s="26">
        <v>-103979.04</v>
      </c>
      <c r="I972" s="26">
        <v>111417.66</v>
      </c>
      <c r="J972" s="26">
        <v>0</v>
      </c>
      <c r="K972" s="26">
        <v>111417.66</v>
      </c>
      <c r="L972" s="26">
        <v>-103979.04</v>
      </c>
      <c r="M972" s="26">
        <v>-111417.66</v>
      </c>
    </row>
    <row r="973" spans="1:13">
      <c r="A973" s="24" t="s">
        <v>140</v>
      </c>
      <c r="B973" s="24" t="s">
        <v>345</v>
      </c>
      <c r="C973" s="25">
        <v>45962</v>
      </c>
      <c r="D973" s="24" t="s">
        <v>2667</v>
      </c>
      <c r="E973" s="26">
        <v>-150930.29999999999</v>
      </c>
      <c r="F973" s="26">
        <v>0</v>
      </c>
      <c r="G973" s="26">
        <v>0</v>
      </c>
      <c r="H973" s="26">
        <v>-150930.29999999999</v>
      </c>
      <c r="I973" s="26">
        <v>111417.66</v>
      </c>
      <c r="J973" s="26">
        <v>0</v>
      </c>
      <c r="K973" s="26">
        <v>111417.66</v>
      </c>
      <c r="L973" s="26">
        <v>-27908.22000000003</v>
      </c>
      <c r="M973" s="26">
        <v>-234439.7399999999</v>
      </c>
    </row>
    <row r="974" spans="1:13">
      <c r="A974" s="24" t="s">
        <v>140</v>
      </c>
      <c r="B974" s="24" t="s">
        <v>345</v>
      </c>
      <c r="C974" s="25">
        <v>45992</v>
      </c>
      <c r="D974" s="24" t="s">
        <v>2668</v>
      </c>
      <c r="E974" s="26">
        <v>-163688</v>
      </c>
      <c r="F974" s="26">
        <v>0</v>
      </c>
      <c r="G974" s="26">
        <v>12243.820000000011</v>
      </c>
      <c r="H974" s="26">
        <v>-151444.18</v>
      </c>
      <c r="I974" s="26">
        <v>124175.36</v>
      </c>
      <c r="J974" s="26">
        <v>0</v>
      </c>
      <c r="K974" s="26">
        <v>124175.36</v>
      </c>
      <c r="L974" s="26">
        <v>47741.599999999977</v>
      </c>
      <c r="M974" s="26">
        <v>-323361.14</v>
      </c>
    </row>
    <row r="975" spans="1:13">
      <c r="A975" s="24" t="s">
        <v>29</v>
      </c>
      <c r="B975" s="24" t="s">
        <v>337</v>
      </c>
      <c r="C975" s="25">
        <v>45658</v>
      </c>
      <c r="D975" s="24" t="s">
        <v>2657</v>
      </c>
      <c r="E975" s="26">
        <v>0</v>
      </c>
      <c r="F975" s="26">
        <v>0</v>
      </c>
      <c r="G975" s="26">
        <v>0</v>
      </c>
      <c r="H975" s="26">
        <v>0</v>
      </c>
      <c r="I975" s="26">
        <v>0</v>
      </c>
      <c r="J975" s="26">
        <v>0</v>
      </c>
      <c r="K975" s="26">
        <v>0</v>
      </c>
      <c r="L975" s="26">
        <v>0</v>
      </c>
      <c r="M975" s="26">
        <v>0</v>
      </c>
    </row>
    <row r="976" spans="1:13">
      <c r="A976" s="24" t="s">
        <v>29</v>
      </c>
      <c r="B976" s="24" t="s">
        <v>337</v>
      </c>
      <c r="C976" s="25">
        <v>45689</v>
      </c>
      <c r="D976" s="24" t="s">
        <v>2658</v>
      </c>
      <c r="E976" s="26">
        <v>0</v>
      </c>
      <c r="F976" s="26">
        <v>0</v>
      </c>
      <c r="G976" s="26">
        <v>0</v>
      </c>
      <c r="H976" s="26">
        <v>0</v>
      </c>
      <c r="I976" s="26">
        <v>0</v>
      </c>
      <c r="J976" s="26">
        <v>0</v>
      </c>
      <c r="K976" s="26">
        <v>0</v>
      </c>
      <c r="L976" s="26">
        <v>0</v>
      </c>
      <c r="M976" s="26">
        <v>0</v>
      </c>
    </row>
    <row r="977" spans="1:13">
      <c r="A977" s="24" t="s">
        <v>29</v>
      </c>
      <c r="B977" s="24" t="s">
        <v>337</v>
      </c>
      <c r="C977" s="25">
        <v>45717</v>
      </c>
      <c r="D977" s="24" t="s">
        <v>2659</v>
      </c>
      <c r="E977" s="26">
        <v>0</v>
      </c>
      <c r="F977" s="26">
        <v>0</v>
      </c>
      <c r="G977" s="26">
        <v>0</v>
      </c>
      <c r="H977" s="26">
        <v>0</v>
      </c>
      <c r="I977" s="26">
        <v>0</v>
      </c>
      <c r="J977" s="26">
        <v>0</v>
      </c>
      <c r="K977" s="26">
        <v>0</v>
      </c>
      <c r="L977" s="26">
        <v>0</v>
      </c>
      <c r="M977" s="26">
        <v>0</v>
      </c>
    </row>
    <row r="978" spans="1:13">
      <c r="A978" s="24" t="s">
        <v>29</v>
      </c>
      <c r="B978" s="24" t="s">
        <v>337</v>
      </c>
      <c r="C978" s="25">
        <v>45748</v>
      </c>
      <c r="D978" s="24" t="s">
        <v>2660</v>
      </c>
      <c r="E978" s="26">
        <v>0</v>
      </c>
      <c r="F978" s="26">
        <v>0</v>
      </c>
      <c r="G978" s="26">
        <v>0</v>
      </c>
      <c r="H978" s="26">
        <v>0</v>
      </c>
      <c r="I978" s="26">
        <v>0</v>
      </c>
      <c r="J978" s="26">
        <v>0</v>
      </c>
      <c r="K978" s="26">
        <v>0</v>
      </c>
      <c r="L978" s="26">
        <v>0</v>
      </c>
      <c r="M978" s="26">
        <v>0</v>
      </c>
    </row>
    <row r="979" spans="1:13">
      <c r="A979" s="24" t="s">
        <v>29</v>
      </c>
      <c r="B979" s="24" t="s">
        <v>337</v>
      </c>
      <c r="C979" s="25">
        <v>45778</v>
      </c>
      <c r="D979" s="24" t="s">
        <v>2661</v>
      </c>
      <c r="E979" s="26">
        <v>0</v>
      </c>
      <c r="F979" s="26">
        <v>0</v>
      </c>
      <c r="G979" s="26">
        <v>0</v>
      </c>
      <c r="H979" s="26">
        <v>0</v>
      </c>
      <c r="I979" s="26">
        <v>0</v>
      </c>
      <c r="J979" s="26">
        <v>0</v>
      </c>
      <c r="K979" s="26">
        <v>0</v>
      </c>
      <c r="L979" s="26">
        <v>0</v>
      </c>
      <c r="M979" s="26">
        <v>0</v>
      </c>
    </row>
    <row r="980" spans="1:13">
      <c r="A980" s="24" t="s">
        <v>29</v>
      </c>
      <c r="B980" s="24" t="s">
        <v>337</v>
      </c>
      <c r="C980" s="25">
        <v>45809</v>
      </c>
      <c r="D980" s="24" t="s">
        <v>2662</v>
      </c>
      <c r="E980" s="26">
        <v>0</v>
      </c>
      <c r="F980" s="26">
        <v>0</v>
      </c>
      <c r="G980" s="26">
        <v>0</v>
      </c>
      <c r="H980" s="26">
        <v>0</v>
      </c>
      <c r="I980" s="26">
        <v>0</v>
      </c>
      <c r="J980" s="26">
        <v>0</v>
      </c>
      <c r="K980" s="26">
        <v>0</v>
      </c>
      <c r="L980" s="26">
        <v>0</v>
      </c>
      <c r="M980" s="26">
        <v>0</v>
      </c>
    </row>
    <row r="981" spans="1:13">
      <c r="A981" s="24" t="s">
        <v>29</v>
      </c>
      <c r="B981" s="24" t="s">
        <v>337</v>
      </c>
      <c r="C981" s="25">
        <v>45839</v>
      </c>
      <c r="D981" s="24" t="s">
        <v>2663</v>
      </c>
      <c r="E981" s="26">
        <v>-74646.240000000005</v>
      </c>
      <c r="F981" s="26">
        <v>0</v>
      </c>
      <c r="G981" s="26">
        <v>0</v>
      </c>
      <c r="H981" s="26">
        <v>-74646.240000000005</v>
      </c>
      <c r="I981" s="26">
        <v>74646.240000000005</v>
      </c>
      <c r="J981" s="26">
        <v>0</v>
      </c>
      <c r="K981" s="26">
        <v>74646.240000000005</v>
      </c>
      <c r="L981" s="26">
        <v>-74646.240000000005</v>
      </c>
      <c r="M981" s="26">
        <v>-74646.240000000005</v>
      </c>
    </row>
    <row r="982" spans="1:13">
      <c r="A982" s="24" t="s">
        <v>29</v>
      </c>
      <c r="B982" s="24" t="s">
        <v>337</v>
      </c>
      <c r="C982" s="25">
        <v>45870</v>
      </c>
      <c r="D982" s="24" t="s">
        <v>2664</v>
      </c>
      <c r="E982" s="26">
        <v>-112359.01</v>
      </c>
      <c r="F982" s="26">
        <v>0</v>
      </c>
      <c r="G982" s="26">
        <v>38051.53</v>
      </c>
      <c r="H982" s="26">
        <v>-74307.48000000001</v>
      </c>
      <c r="I982" s="26">
        <v>74646.240000000005</v>
      </c>
      <c r="J982" s="26">
        <v>0</v>
      </c>
      <c r="K982" s="26">
        <v>74646.240000000005</v>
      </c>
      <c r="L982" s="26">
        <v>-74307.48000000001</v>
      </c>
      <c r="M982" s="26">
        <v>-74646.24000000002</v>
      </c>
    </row>
    <row r="983" spans="1:13">
      <c r="A983" s="24" t="s">
        <v>29</v>
      </c>
      <c r="B983" s="24" t="s">
        <v>337</v>
      </c>
      <c r="C983" s="25">
        <v>45901</v>
      </c>
      <c r="D983" s="24" t="s">
        <v>2665</v>
      </c>
      <c r="E983" s="26">
        <v>-216313.91</v>
      </c>
      <c r="F983" s="26">
        <v>0</v>
      </c>
      <c r="G983" s="26">
        <v>70981.89</v>
      </c>
      <c r="H983" s="26">
        <v>-145332.01999999999</v>
      </c>
      <c r="I983" s="26">
        <v>178601.14</v>
      </c>
      <c r="J983" s="26">
        <v>0</v>
      </c>
      <c r="K983" s="26">
        <v>178601.14</v>
      </c>
      <c r="L983" s="26">
        <v>-145332.01999999999</v>
      </c>
      <c r="M983" s="26">
        <v>-178601.14</v>
      </c>
    </row>
    <row r="984" spans="1:13">
      <c r="A984" s="24" t="s">
        <v>29</v>
      </c>
      <c r="B984" s="24" t="s">
        <v>337</v>
      </c>
      <c r="C984" s="25">
        <v>45931</v>
      </c>
      <c r="D984" s="24" t="s">
        <v>2666</v>
      </c>
      <c r="E984" s="26">
        <v>-216313.91</v>
      </c>
      <c r="F984" s="26">
        <v>0</v>
      </c>
      <c r="G984" s="26">
        <v>70981.89</v>
      </c>
      <c r="H984" s="26">
        <v>-145332.01999999999</v>
      </c>
      <c r="I984" s="26">
        <v>178601.14</v>
      </c>
      <c r="J984" s="26">
        <v>0</v>
      </c>
      <c r="K984" s="26">
        <v>178601.14</v>
      </c>
      <c r="L984" s="26">
        <v>-145332.01999999999</v>
      </c>
      <c r="M984" s="26">
        <v>-178601.14</v>
      </c>
    </row>
    <row r="985" spans="1:13">
      <c r="A985" s="24" t="s">
        <v>29</v>
      </c>
      <c r="B985" s="24" t="s">
        <v>337</v>
      </c>
      <c r="C985" s="25">
        <v>45962</v>
      </c>
      <c r="D985" s="24" t="s">
        <v>2667</v>
      </c>
      <c r="E985" s="26">
        <v>-216313.91</v>
      </c>
      <c r="F985" s="26">
        <v>0</v>
      </c>
      <c r="G985" s="26">
        <v>56121.079999999987</v>
      </c>
      <c r="H985" s="26">
        <v>-160192.82999999999</v>
      </c>
      <c r="I985" s="26">
        <v>178601.14</v>
      </c>
      <c r="J985" s="26">
        <v>0</v>
      </c>
      <c r="K985" s="26">
        <v>178601.14</v>
      </c>
      <c r="L985" s="26">
        <v>-116974.57</v>
      </c>
      <c r="M985" s="26">
        <v>-221819.4</v>
      </c>
    </row>
    <row r="986" spans="1:13">
      <c r="A986" s="24" t="s">
        <v>29</v>
      </c>
      <c r="B986" s="24" t="s">
        <v>337</v>
      </c>
      <c r="C986" s="25">
        <v>45992</v>
      </c>
      <c r="D986" s="24" t="s">
        <v>2668</v>
      </c>
      <c r="E986" s="26">
        <v>-216313.91</v>
      </c>
      <c r="F986" s="26">
        <v>0</v>
      </c>
      <c r="G986" s="26">
        <v>56121.079999999987</v>
      </c>
      <c r="H986" s="26">
        <v>-160192.82999999999</v>
      </c>
      <c r="I986" s="26">
        <v>178601.14</v>
      </c>
      <c r="J986" s="26">
        <v>0</v>
      </c>
      <c r="K986" s="26">
        <v>178601.14</v>
      </c>
      <c r="L986" s="26">
        <v>-116974.57</v>
      </c>
      <c r="M986" s="26">
        <v>-221819.4</v>
      </c>
    </row>
    <row r="987" spans="1:13">
      <c r="A987" s="24" t="s">
        <v>34</v>
      </c>
      <c r="B987" s="24" t="s">
        <v>318</v>
      </c>
      <c r="C987" s="25">
        <v>45658</v>
      </c>
      <c r="D987" s="24" t="s">
        <v>2657</v>
      </c>
      <c r="E987" s="26">
        <v>0</v>
      </c>
      <c r="F987" s="26">
        <v>0</v>
      </c>
      <c r="G987" s="26">
        <v>0</v>
      </c>
      <c r="H987" s="26">
        <v>0</v>
      </c>
      <c r="I987" s="26">
        <v>0</v>
      </c>
      <c r="J987" s="26">
        <v>0</v>
      </c>
      <c r="K987" s="26">
        <v>0</v>
      </c>
      <c r="L987" s="26">
        <v>0</v>
      </c>
      <c r="M987" s="26">
        <v>0</v>
      </c>
    </row>
    <row r="988" spans="1:13">
      <c r="A988" s="24" t="s">
        <v>34</v>
      </c>
      <c r="B988" s="24" t="s">
        <v>318</v>
      </c>
      <c r="C988" s="25">
        <v>45689</v>
      </c>
      <c r="D988" s="24" t="s">
        <v>2658</v>
      </c>
      <c r="E988" s="26">
        <v>0</v>
      </c>
      <c r="F988" s="26">
        <v>0</v>
      </c>
      <c r="G988" s="26">
        <v>0</v>
      </c>
      <c r="H988" s="26">
        <v>0</v>
      </c>
      <c r="I988" s="26">
        <v>0</v>
      </c>
      <c r="J988" s="26">
        <v>0</v>
      </c>
      <c r="K988" s="26">
        <v>0</v>
      </c>
      <c r="L988" s="26">
        <v>0</v>
      </c>
      <c r="M988" s="26">
        <v>0</v>
      </c>
    </row>
    <row r="989" spans="1:13">
      <c r="A989" s="24" t="s">
        <v>34</v>
      </c>
      <c r="B989" s="24" t="s">
        <v>318</v>
      </c>
      <c r="C989" s="25">
        <v>45717</v>
      </c>
      <c r="D989" s="24" t="s">
        <v>2659</v>
      </c>
      <c r="E989" s="26">
        <v>0</v>
      </c>
      <c r="F989" s="26">
        <v>0</v>
      </c>
      <c r="G989" s="26">
        <v>0</v>
      </c>
      <c r="H989" s="26">
        <v>0</v>
      </c>
      <c r="I989" s="26">
        <v>0</v>
      </c>
      <c r="J989" s="26">
        <v>0</v>
      </c>
      <c r="K989" s="26">
        <v>0</v>
      </c>
      <c r="L989" s="26">
        <v>0</v>
      </c>
      <c r="M989" s="26">
        <v>0</v>
      </c>
    </row>
    <row r="990" spans="1:13">
      <c r="A990" s="24" t="s">
        <v>34</v>
      </c>
      <c r="B990" s="24" t="s">
        <v>318</v>
      </c>
      <c r="C990" s="25">
        <v>45748</v>
      </c>
      <c r="D990" s="24" t="s">
        <v>2660</v>
      </c>
      <c r="E990" s="26">
        <v>0</v>
      </c>
      <c r="F990" s="26">
        <v>0</v>
      </c>
      <c r="G990" s="26">
        <v>0</v>
      </c>
      <c r="H990" s="26">
        <v>0</v>
      </c>
      <c r="I990" s="26">
        <v>0</v>
      </c>
      <c r="J990" s="26">
        <v>0</v>
      </c>
      <c r="K990" s="26">
        <v>0</v>
      </c>
      <c r="L990" s="26">
        <v>0</v>
      </c>
      <c r="M990" s="26">
        <v>0</v>
      </c>
    </row>
    <row r="991" spans="1:13">
      <c r="A991" s="24" t="s">
        <v>34</v>
      </c>
      <c r="B991" s="24" t="s">
        <v>318</v>
      </c>
      <c r="C991" s="25">
        <v>45778</v>
      </c>
      <c r="D991" s="24" t="s">
        <v>2661</v>
      </c>
      <c r="E991" s="26">
        <v>0</v>
      </c>
      <c r="F991" s="26">
        <v>0</v>
      </c>
      <c r="G991" s="26">
        <v>0</v>
      </c>
      <c r="H991" s="26">
        <v>0</v>
      </c>
      <c r="I991" s="26">
        <v>0</v>
      </c>
      <c r="J991" s="26">
        <v>0</v>
      </c>
      <c r="K991" s="26">
        <v>0</v>
      </c>
      <c r="L991" s="26">
        <v>0</v>
      </c>
      <c r="M991" s="26">
        <v>0</v>
      </c>
    </row>
    <row r="992" spans="1:13">
      <c r="A992" s="24" t="s">
        <v>34</v>
      </c>
      <c r="B992" s="24" t="s">
        <v>318</v>
      </c>
      <c r="C992" s="25">
        <v>45809</v>
      </c>
      <c r="D992" s="24" t="s">
        <v>2662</v>
      </c>
      <c r="E992" s="26">
        <v>0</v>
      </c>
      <c r="F992" s="26">
        <v>0</v>
      </c>
      <c r="G992" s="26">
        <v>0</v>
      </c>
      <c r="H992" s="26">
        <v>0</v>
      </c>
      <c r="I992" s="26">
        <v>0</v>
      </c>
      <c r="J992" s="26">
        <v>0</v>
      </c>
      <c r="K992" s="26">
        <v>0</v>
      </c>
      <c r="L992" s="26">
        <v>0</v>
      </c>
      <c r="M992" s="26">
        <v>0</v>
      </c>
    </row>
    <row r="993" spans="1:13">
      <c r="A993" s="24" t="s">
        <v>34</v>
      </c>
      <c r="B993" s="24" t="s">
        <v>318</v>
      </c>
      <c r="C993" s="25">
        <v>45839</v>
      </c>
      <c r="D993" s="24" t="s">
        <v>2663</v>
      </c>
      <c r="E993" s="26">
        <v>-115805.67</v>
      </c>
      <c r="F993" s="26">
        <v>0</v>
      </c>
      <c r="G993" s="26">
        <v>7682.39</v>
      </c>
      <c r="H993" s="26">
        <v>-108123.28</v>
      </c>
      <c r="I993" s="26">
        <v>115805.67</v>
      </c>
      <c r="J993" s="26">
        <v>0</v>
      </c>
      <c r="K993" s="26">
        <v>115805.67</v>
      </c>
      <c r="L993" s="26">
        <v>-108123.28</v>
      </c>
      <c r="M993" s="26">
        <v>-115805.67</v>
      </c>
    </row>
    <row r="994" spans="1:13">
      <c r="A994" s="24" t="s">
        <v>34</v>
      </c>
      <c r="B994" s="24" t="s">
        <v>318</v>
      </c>
      <c r="C994" s="25">
        <v>45870</v>
      </c>
      <c r="D994" s="24" t="s">
        <v>2664</v>
      </c>
      <c r="E994" s="26">
        <v>-115805.67</v>
      </c>
      <c r="F994" s="26">
        <v>0</v>
      </c>
      <c r="G994" s="26">
        <v>7682.39</v>
      </c>
      <c r="H994" s="26">
        <v>-108123.28</v>
      </c>
      <c r="I994" s="26">
        <v>115805.67</v>
      </c>
      <c r="J994" s="26">
        <v>0</v>
      </c>
      <c r="K994" s="26">
        <v>115805.67</v>
      </c>
      <c r="L994" s="26">
        <v>-108123.28</v>
      </c>
      <c r="M994" s="26">
        <v>-115805.67</v>
      </c>
    </row>
    <row r="995" spans="1:13">
      <c r="A995" s="24" t="s">
        <v>34</v>
      </c>
      <c r="B995" s="24" t="s">
        <v>318</v>
      </c>
      <c r="C995" s="25">
        <v>45901</v>
      </c>
      <c r="D995" s="24" t="s">
        <v>2665</v>
      </c>
      <c r="E995" s="26">
        <v>-115805.67</v>
      </c>
      <c r="F995" s="26">
        <v>0</v>
      </c>
      <c r="G995" s="26">
        <v>5211.2599999999984</v>
      </c>
      <c r="H995" s="26">
        <v>-110594.41</v>
      </c>
      <c r="I995" s="26">
        <v>115805.67</v>
      </c>
      <c r="J995" s="26">
        <v>0</v>
      </c>
      <c r="K995" s="26">
        <v>115805.67</v>
      </c>
      <c r="L995" s="26">
        <v>-99784.48</v>
      </c>
      <c r="M995" s="26">
        <v>-126615.6</v>
      </c>
    </row>
    <row r="996" spans="1:13">
      <c r="A996" s="24" t="s">
        <v>34</v>
      </c>
      <c r="B996" s="24" t="s">
        <v>318</v>
      </c>
      <c r="C996" s="25">
        <v>45931</v>
      </c>
      <c r="D996" s="24" t="s">
        <v>2666</v>
      </c>
      <c r="E996" s="26">
        <v>-115805.67</v>
      </c>
      <c r="F996" s="26">
        <v>0</v>
      </c>
      <c r="G996" s="26">
        <v>13604.4</v>
      </c>
      <c r="H996" s="26">
        <v>-102201.27</v>
      </c>
      <c r="I996" s="26">
        <v>115805.67</v>
      </c>
      <c r="J996" s="26">
        <v>0</v>
      </c>
      <c r="K996" s="26">
        <v>115805.67</v>
      </c>
      <c r="L996" s="26">
        <v>-91391.34</v>
      </c>
      <c r="M996" s="26">
        <v>-126615.6</v>
      </c>
    </row>
    <row r="997" spans="1:13">
      <c r="A997" s="24" t="s">
        <v>34</v>
      </c>
      <c r="B997" s="24" t="s">
        <v>318</v>
      </c>
      <c r="C997" s="25">
        <v>45962</v>
      </c>
      <c r="D997" s="24" t="s">
        <v>2667</v>
      </c>
      <c r="E997" s="26">
        <v>-115805.67</v>
      </c>
      <c r="F997" s="26">
        <v>0</v>
      </c>
      <c r="G997" s="26">
        <v>26349.040000000001</v>
      </c>
      <c r="H997" s="26">
        <v>-89456.63</v>
      </c>
      <c r="I997" s="26">
        <v>115805.67</v>
      </c>
      <c r="J997" s="26">
        <v>90735.6</v>
      </c>
      <c r="K997" s="26">
        <v>206541.27</v>
      </c>
      <c r="L997" s="26">
        <v>-78646.7</v>
      </c>
      <c r="M997" s="26">
        <v>-217351.2</v>
      </c>
    </row>
    <row r="998" spans="1:13">
      <c r="A998" s="24" t="s">
        <v>34</v>
      </c>
      <c r="B998" s="24" t="s">
        <v>318</v>
      </c>
      <c r="C998" s="25">
        <v>45992</v>
      </c>
      <c r="D998" s="24" t="s">
        <v>2668</v>
      </c>
      <c r="E998" s="26">
        <v>-242314.01</v>
      </c>
      <c r="F998" s="26">
        <v>0</v>
      </c>
      <c r="G998" s="26">
        <v>26349.040000000001</v>
      </c>
      <c r="H998" s="26">
        <v>-215964.97</v>
      </c>
      <c r="I998" s="26">
        <v>115805.67</v>
      </c>
      <c r="J998" s="26">
        <v>120681.2</v>
      </c>
      <c r="K998" s="26">
        <v>236486.87</v>
      </c>
      <c r="L998" s="26">
        <v>-205155.04</v>
      </c>
      <c r="M998" s="26">
        <v>-247296.8</v>
      </c>
    </row>
    <row r="999" spans="1:13">
      <c r="A999" s="24" t="s">
        <v>173</v>
      </c>
      <c r="B999" s="24" t="s">
        <v>345</v>
      </c>
      <c r="C999" s="25">
        <v>45658</v>
      </c>
      <c r="D999" s="24" t="s">
        <v>2657</v>
      </c>
      <c r="E999" s="26">
        <v>0</v>
      </c>
      <c r="F999" s="26">
        <v>0</v>
      </c>
      <c r="G999" s="26">
        <v>0</v>
      </c>
      <c r="H999" s="26">
        <v>0</v>
      </c>
      <c r="I999" s="26">
        <v>0</v>
      </c>
      <c r="J999" s="26">
        <v>0</v>
      </c>
      <c r="K999" s="26">
        <v>0</v>
      </c>
      <c r="L999" s="26">
        <v>0</v>
      </c>
      <c r="M999" s="26">
        <v>0</v>
      </c>
    </row>
    <row r="1000" spans="1:13">
      <c r="A1000" s="24" t="s">
        <v>173</v>
      </c>
      <c r="B1000" s="24" t="s">
        <v>345</v>
      </c>
      <c r="C1000" s="25">
        <v>45689</v>
      </c>
      <c r="D1000" s="24" t="s">
        <v>2658</v>
      </c>
      <c r="E1000" s="26">
        <v>0</v>
      </c>
      <c r="F1000" s="26">
        <v>0</v>
      </c>
      <c r="G1000" s="26">
        <v>0</v>
      </c>
      <c r="H1000" s="26">
        <v>0</v>
      </c>
      <c r="I1000" s="26">
        <v>0</v>
      </c>
      <c r="J1000" s="26">
        <v>0</v>
      </c>
      <c r="K1000" s="26">
        <v>0</v>
      </c>
      <c r="L1000" s="26">
        <v>0</v>
      </c>
      <c r="M1000" s="26">
        <v>0</v>
      </c>
    </row>
    <row r="1001" spans="1:13">
      <c r="A1001" s="24" t="s">
        <v>173</v>
      </c>
      <c r="B1001" s="24" t="s">
        <v>345</v>
      </c>
      <c r="C1001" s="25">
        <v>45717</v>
      </c>
      <c r="D1001" s="24" t="s">
        <v>2659</v>
      </c>
      <c r="E1001" s="26">
        <v>0</v>
      </c>
      <c r="F1001" s="26">
        <v>0</v>
      </c>
      <c r="G1001" s="26">
        <v>0</v>
      </c>
      <c r="H1001" s="26">
        <v>0</v>
      </c>
      <c r="I1001" s="26">
        <v>0</v>
      </c>
      <c r="J1001" s="26">
        <v>0</v>
      </c>
      <c r="K1001" s="26">
        <v>0</v>
      </c>
      <c r="L1001" s="26">
        <v>0</v>
      </c>
      <c r="M1001" s="26">
        <v>0</v>
      </c>
    </row>
    <row r="1002" spans="1:13">
      <c r="A1002" s="24" t="s">
        <v>173</v>
      </c>
      <c r="B1002" s="24" t="s">
        <v>345</v>
      </c>
      <c r="C1002" s="25">
        <v>45748</v>
      </c>
      <c r="D1002" s="24" t="s">
        <v>2660</v>
      </c>
      <c r="E1002" s="26">
        <v>0</v>
      </c>
      <c r="F1002" s="26">
        <v>0</v>
      </c>
      <c r="G1002" s="26">
        <v>0</v>
      </c>
      <c r="H1002" s="26">
        <v>0</v>
      </c>
      <c r="I1002" s="26">
        <v>0</v>
      </c>
      <c r="J1002" s="26">
        <v>0</v>
      </c>
      <c r="K1002" s="26">
        <v>0</v>
      </c>
      <c r="L1002" s="26">
        <v>0</v>
      </c>
      <c r="M1002" s="26">
        <v>0</v>
      </c>
    </row>
    <row r="1003" spans="1:13">
      <c r="A1003" s="24" t="s">
        <v>173</v>
      </c>
      <c r="B1003" s="24" t="s">
        <v>345</v>
      </c>
      <c r="C1003" s="25">
        <v>45778</v>
      </c>
      <c r="D1003" s="24" t="s">
        <v>2661</v>
      </c>
      <c r="E1003" s="26">
        <v>0</v>
      </c>
      <c r="F1003" s="26">
        <v>0</v>
      </c>
      <c r="G1003" s="26">
        <v>0</v>
      </c>
      <c r="H1003" s="26">
        <v>0</v>
      </c>
      <c r="I1003" s="26">
        <v>0</v>
      </c>
      <c r="J1003" s="26">
        <v>0</v>
      </c>
      <c r="K1003" s="26">
        <v>0</v>
      </c>
      <c r="L1003" s="26">
        <v>0</v>
      </c>
      <c r="M1003" s="26">
        <v>0</v>
      </c>
    </row>
    <row r="1004" spans="1:13">
      <c r="A1004" s="24" t="s">
        <v>173</v>
      </c>
      <c r="B1004" s="24" t="s">
        <v>345</v>
      </c>
      <c r="C1004" s="25">
        <v>45809</v>
      </c>
      <c r="D1004" s="24" t="s">
        <v>2662</v>
      </c>
      <c r="E1004" s="26">
        <v>0</v>
      </c>
      <c r="F1004" s="26">
        <v>0</v>
      </c>
      <c r="G1004" s="26">
        <v>0</v>
      </c>
      <c r="H1004" s="26">
        <v>0</v>
      </c>
      <c r="I1004" s="26">
        <v>0</v>
      </c>
      <c r="J1004" s="26">
        <v>0</v>
      </c>
      <c r="K1004" s="26">
        <v>0</v>
      </c>
      <c r="L1004" s="26">
        <v>0</v>
      </c>
      <c r="M1004" s="26">
        <v>0</v>
      </c>
    </row>
    <row r="1005" spans="1:13">
      <c r="A1005" s="24" t="s">
        <v>173</v>
      </c>
      <c r="B1005" s="24" t="s">
        <v>345</v>
      </c>
      <c r="C1005" s="25">
        <v>45839</v>
      </c>
      <c r="D1005" s="24" t="s">
        <v>2663</v>
      </c>
      <c r="E1005" s="26">
        <v>0</v>
      </c>
      <c r="F1005" s="26">
        <v>0</v>
      </c>
      <c r="G1005" s="26">
        <v>26678.07</v>
      </c>
      <c r="H1005" s="26">
        <v>26678.07</v>
      </c>
      <c r="I1005" s="26">
        <v>0</v>
      </c>
      <c r="J1005" s="26">
        <v>0</v>
      </c>
      <c r="K1005" s="26">
        <v>0</v>
      </c>
      <c r="L1005" s="26">
        <v>26678.07</v>
      </c>
      <c r="M1005" s="26">
        <v>0</v>
      </c>
    </row>
    <row r="1006" spans="1:13">
      <c r="A1006" s="24" t="s">
        <v>173</v>
      </c>
      <c r="B1006" s="24" t="s">
        <v>345</v>
      </c>
      <c r="C1006" s="25">
        <v>45870</v>
      </c>
      <c r="D1006" s="24" t="s">
        <v>2664</v>
      </c>
      <c r="E1006" s="26">
        <v>-62719.23</v>
      </c>
      <c r="F1006" s="26">
        <v>0</v>
      </c>
      <c r="G1006" s="26">
        <v>43985.919999999998</v>
      </c>
      <c r="H1006" s="26">
        <v>-18733.310000000001</v>
      </c>
      <c r="I1006" s="26">
        <v>62719.23</v>
      </c>
      <c r="J1006" s="26">
        <v>0</v>
      </c>
      <c r="K1006" s="26">
        <v>62719.23</v>
      </c>
      <c r="L1006" s="26">
        <v>-18733.310000000001</v>
      </c>
      <c r="M1006" s="26">
        <v>-62719.23</v>
      </c>
    </row>
    <row r="1007" spans="1:13">
      <c r="A1007" s="24" t="s">
        <v>173</v>
      </c>
      <c r="B1007" s="24" t="s">
        <v>345</v>
      </c>
      <c r="C1007" s="25">
        <v>45901</v>
      </c>
      <c r="D1007" s="24" t="s">
        <v>2665</v>
      </c>
      <c r="E1007" s="26">
        <v>-62719.23</v>
      </c>
      <c r="F1007" s="26">
        <v>0</v>
      </c>
      <c r="G1007" s="26">
        <v>64672.89</v>
      </c>
      <c r="H1007" s="26">
        <v>1953.659999999996</v>
      </c>
      <c r="I1007" s="26">
        <v>62719.23</v>
      </c>
      <c r="J1007" s="26">
        <v>0</v>
      </c>
      <c r="K1007" s="26">
        <v>62719.23</v>
      </c>
      <c r="L1007" s="26">
        <v>1953.659999999996</v>
      </c>
      <c r="M1007" s="26">
        <v>-62719.23</v>
      </c>
    </row>
    <row r="1008" spans="1:13">
      <c r="A1008" s="24" t="s">
        <v>173</v>
      </c>
      <c r="B1008" s="24" t="s">
        <v>345</v>
      </c>
      <c r="C1008" s="25">
        <v>45931</v>
      </c>
      <c r="D1008" s="24" t="s">
        <v>2666</v>
      </c>
      <c r="E1008" s="26">
        <v>-62719.23</v>
      </c>
      <c r="F1008" s="26">
        <v>0</v>
      </c>
      <c r="G1008" s="26">
        <v>96680.9</v>
      </c>
      <c r="H1008" s="26">
        <v>33961.669999999991</v>
      </c>
      <c r="I1008" s="26">
        <v>62719.23</v>
      </c>
      <c r="J1008" s="26">
        <v>0</v>
      </c>
      <c r="K1008" s="26">
        <v>62719.23</v>
      </c>
      <c r="L1008" s="26">
        <v>33961.67</v>
      </c>
      <c r="M1008" s="26">
        <v>-62719.23000000001</v>
      </c>
    </row>
    <row r="1009" spans="1:13">
      <c r="A1009" s="24" t="s">
        <v>173</v>
      </c>
      <c r="B1009" s="24" t="s">
        <v>345</v>
      </c>
      <c r="C1009" s="25">
        <v>45962</v>
      </c>
      <c r="D1009" s="24" t="s">
        <v>2667</v>
      </c>
      <c r="E1009" s="26">
        <v>-62719.23</v>
      </c>
      <c r="F1009" s="26">
        <v>0</v>
      </c>
      <c r="G1009" s="26">
        <v>96680.9</v>
      </c>
      <c r="H1009" s="26">
        <v>33961.669999999991</v>
      </c>
      <c r="I1009" s="26">
        <v>62719.23</v>
      </c>
      <c r="J1009" s="26">
        <v>64259.53</v>
      </c>
      <c r="K1009" s="26">
        <v>126978.76</v>
      </c>
      <c r="L1009" s="26">
        <v>33961.67</v>
      </c>
      <c r="M1009" s="26">
        <v>-126978.76</v>
      </c>
    </row>
    <row r="1010" spans="1:13">
      <c r="A1010" s="24" t="s">
        <v>173</v>
      </c>
      <c r="B1010" s="24" t="s">
        <v>345</v>
      </c>
      <c r="C1010" s="25">
        <v>45992</v>
      </c>
      <c r="D1010" s="24" t="s">
        <v>2668</v>
      </c>
      <c r="E1010" s="26">
        <v>-62719.23</v>
      </c>
      <c r="F1010" s="26">
        <v>172946.97</v>
      </c>
      <c r="G1010" s="26">
        <v>0</v>
      </c>
      <c r="H1010" s="26">
        <v>110227.74</v>
      </c>
      <c r="I1010" s="26">
        <v>62719.23</v>
      </c>
      <c r="J1010" s="26">
        <v>40559.100000000013</v>
      </c>
      <c r="K1010" s="26">
        <v>103278.33</v>
      </c>
      <c r="L1010" s="26">
        <v>57662.1</v>
      </c>
      <c r="M1010" s="26">
        <v>-50712.690000000017</v>
      </c>
    </row>
    <row r="1011" spans="1:13">
      <c r="A1011" s="24" t="s">
        <v>249</v>
      </c>
      <c r="B1011" s="24" t="s">
        <v>329</v>
      </c>
      <c r="C1011" s="25">
        <v>45658</v>
      </c>
      <c r="D1011" s="24" t="s">
        <v>2657</v>
      </c>
      <c r="E1011" s="26">
        <v>0</v>
      </c>
      <c r="F1011" s="26">
        <v>0</v>
      </c>
      <c r="G1011" s="26">
        <v>0</v>
      </c>
      <c r="H1011" s="26">
        <v>0</v>
      </c>
      <c r="I1011" s="26">
        <v>0</v>
      </c>
      <c r="J1011" s="26">
        <v>0</v>
      </c>
      <c r="K1011" s="26">
        <v>0</v>
      </c>
      <c r="L1011" s="26">
        <v>0</v>
      </c>
      <c r="M1011" s="26">
        <v>0</v>
      </c>
    </row>
    <row r="1012" spans="1:13">
      <c r="A1012" s="24" t="s">
        <v>249</v>
      </c>
      <c r="B1012" s="24" t="s">
        <v>329</v>
      </c>
      <c r="C1012" s="25">
        <v>45689</v>
      </c>
      <c r="D1012" s="24" t="s">
        <v>2658</v>
      </c>
      <c r="E1012" s="26">
        <v>0</v>
      </c>
      <c r="F1012" s="26">
        <v>0</v>
      </c>
      <c r="G1012" s="26">
        <v>0</v>
      </c>
      <c r="H1012" s="26">
        <v>0</v>
      </c>
      <c r="I1012" s="26">
        <v>0</v>
      </c>
      <c r="J1012" s="26">
        <v>0</v>
      </c>
      <c r="K1012" s="26">
        <v>0</v>
      </c>
      <c r="L1012" s="26">
        <v>0</v>
      </c>
      <c r="M1012" s="26">
        <v>0</v>
      </c>
    </row>
    <row r="1013" spans="1:13">
      <c r="A1013" s="24" t="s">
        <v>249</v>
      </c>
      <c r="B1013" s="24" t="s">
        <v>329</v>
      </c>
      <c r="C1013" s="25">
        <v>45717</v>
      </c>
      <c r="D1013" s="24" t="s">
        <v>2659</v>
      </c>
      <c r="E1013" s="26">
        <v>0</v>
      </c>
      <c r="F1013" s="26">
        <v>0</v>
      </c>
      <c r="G1013" s="26">
        <v>0</v>
      </c>
      <c r="H1013" s="26">
        <v>0</v>
      </c>
      <c r="I1013" s="26">
        <v>0</v>
      </c>
      <c r="J1013" s="26">
        <v>0</v>
      </c>
      <c r="K1013" s="26">
        <v>0</v>
      </c>
      <c r="L1013" s="26">
        <v>0</v>
      </c>
      <c r="M1013" s="26">
        <v>0</v>
      </c>
    </row>
    <row r="1014" spans="1:13">
      <c r="A1014" s="24" t="s">
        <v>249</v>
      </c>
      <c r="B1014" s="24" t="s">
        <v>329</v>
      </c>
      <c r="C1014" s="25">
        <v>45748</v>
      </c>
      <c r="D1014" s="24" t="s">
        <v>2660</v>
      </c>
      <c r="E1014" s="26">
        <v>0</v>
      </c>
      <c r="F1014" s="26">
        <v>0</v>
      </c>
      <c r="G1014" s="26">
        <v>0</v>
      </c>
      <c r="H1014" s="26">
        <v>0</v>
      </c>
      <c r="I1014" s="26">
        <v>0</v>
      </c>
      <c r="J1014" s="26">
        <v>0</v>
      </c>
      <c r="K1014" s="26">
        <v>0</v>
      </c>
      <c r="L1014" s="26">
        <v>0</v>
      </c>
      <c r="M1014" s="26">
        <v>0</v>
      </c>
    </row>
    <row r="1015" spans="1:13">
      <c r="A1015" s="24" t="s">
        <v>249</v>
      </c>
      <c r="B1015" s="24" t="s">
        <v>329</v>
      </c>
      <c r="C1015" s="25">
        <v>45778</v>
      </c>
      <c r="D1015" s="24" t="s">
        <v>2661</v>
      </c>
      <c r="E1015" s="26">
        <v>0</v>
      </c>
      <c r="F1015" s="26">
        <v>0</v>
      </c>
      <c r="G1015" s="26">
        <v>0</v>
      </c>
      <c r="H1015" s="26">
        <v>0</v>
      </c>
      <c r="I1015" s="26">
        <v>0</v>
      </c>
      <c r="J1015" s="26">
        <v>0</v>
      </c>
      <c r="K1015" s="26">
        <v>0</v>
      </c>
      <c r="L1015" s="26">
        <v>0</v>
      </c>
      <c r="M1015" s="26">
        <v>0</v>
      </c>
    </row>
    <row r="1016" spans="1:13">
      <c r="A1016" s="24" t="s">
        <v>249</v>
      </c>
      <c r="B1016" s="24" t="s">
        <v>329</v>
      </c>
      <c r="C1016" s="25">
        <v>45809</v>
      </c>
      <c r="D1016" s="24" t="s">
        <v>2662</v>
      </c>
      <c r="E1016" s="26">
        <v>0</v>
      </c>
      <c r="F1016" s="26">
        <v>0</v>
      </c>
      <c r="G1016" s="26">
        <v>0</v>
      </c>
      <c r="H1016" s="26">
        <v>0</v>
      </c>
      <c r="I1016" s="26">
        <v>0</v>
      </c>
      <c r="J1016" s="26">
        <v>0</v>
      </c>
      <c r="K1016" s="26">
        <v>0</v>
      </c>
      <c r="L1016" s="26">
        <v>0</v>
      </c>
      <c r="M1016" s="26">
        <v>0</v>
      </c>
    </row>
    <row r="1017" spans="1:13">
      <c r="A1017" s="24" t="s">
        <v>249</v>
      </c>
      <c r="B1017" s="24" t="s">
        <v>329</v>
      </c>
      <c r="C1017" s="25">
        <v>45839</v>
      </c>
      <c r="D1017" s="24" t="s">
        <v>2663</v>
      </c>
      <c r="E1017" s="26">
        <v>0</v>
      </c>
      <c r="F1017" s="26">
        <v>0</v>
      </c>
      <c r="G1017" s="26">
        <v>0</v>
      </c>
      <c r="H1017" s="26">
        <v>0</v>
      </c>
      <c r="I1017" s="26">
        <v>0</v>
      </c>
      <c r="J1017" s="26">
        <v>0</v>
      </c>
      <c r="K1017" s="26">
        <v>0</v>
      </c>
      <c r="L1017" s="26">
        <v>0</v>
      </c>
      <c r="M1017" s="26">
        <v>0</v>
      </c>
    </row>
    <row r="1018" spans="1:13">
      <c r="A1018" s="24" t="s">
        <v>249</v>
      </c>
      <c r="B1018" s="24" t="s">
        <v>329</v>
      </c>
      <c r="C1018" s="25">
        <v>45870</v>
      </c>
      <c r="D1018" s="24" t="s">
        <v>2664</v>
      </c>
      <c r="E1018" s="26">
        <v>0</v>
      </c>
      <c r="F1018" s="26">
        <v>0</v>
      </c>
      <c r="G1018" s="26">
        <v>0</v>
      </c>
      <c r="H1018" s="26">
        <v>0</v>
      </c>
      <c r="I1018" s="26">
        <v>0</v>
      </c>
      <c r="J1018" s="26">
        <v>0</v>
      </c>
      <c r="K1018" s="26">
        <v>0</v>
      </c>
      <c r="L1018" s="26">
        <v>0</v>
      </c>
      <c r="M1018" s="26">
        <v>0</v>
      </c>
    </row>
    <row r="1019" spans="1:13">
      <c r="A1019" s="24" t="s">
        <v>249</v>
      </c>
      <c r="B1019" s="24" t="s">
        <v>329</v>
      </c>
      <c r="C1019" s="25">
        <v>45901</v>
      </c>
      <c r="D1019" s="24" t="s">
        <v>2665</v>
      </c>
      <c r="E1019" s="26">
        <v>-24848.38</v>
      </c>
      <c r="F1019" s="26">
        <v>0</v>
      </c>
      <c r="G1019" s="26">
        <v>0</v>
      </c>
      <c r="H1019" s="26">
        <v>-24848.38</v>
      </c>
      <c r="I1019" s="26">
        <v>24848.38</v>
      </c>
      <c r="J1019" s="26">
        <v>0</v>
      </c>
      <c r="K1019" s="26">
        <v>24848.38</v>
      </c>
      <c r="L1019" s="26">
        <v>-24848.38</v>
      </c>
      <c r="M1019" s="26">
        <v>-24848.38</v>
      </c>
    </row>
    <row r="1020" spans="1:13">
      <c r="A1020" s="24" t="s">
        <v>249</v>
      </c>
      <c r="B1020" s="24" t="s">
        <v>329</v>
      </c>
      <c r="C1020" s="25">
        <v>45931</v>
      </c>
      <c r="D1020" s="24" t="s">
        <v>2666</v>
      </c>
      <c r="E1020" s="26">
        <v>-49850.850000000013</v>
      </c>
      <c r="F1020" s="26">
        <v>0</v>
      </c>
      <c r="G1020" s="26">
        <v>0</v>
      </c>
      <c r="H1020" s="26">
        <v>-49850.850000000013</v>
      </c>
      <c r="I1020" s="26">
        <v>49850.850000000013</v>
      </c>
      <c r="J1020" s="26">
        <v>0</v>
      </c>
      <c r="K1020" s="26">
        <v>49850.850000000013</v>
      </c>
      <c r="L1020" s="26">
        <v>-49850.850000000013</v>
      </c>
      <c r="M1020" s="26">
        <v>-49850.850000000013</v>
      </c>
    </row>
    <row r="1021" spans="1:13">
      <c r="A1021" s="24" t="s">
        <v>249</v>
      </c>
      <c r="B1021" s="24" t="s">
        <v>329</v>
      </c>
      <c r="C1021" s="25">
        <v>45962</v>
      </c>
      <c r="D1021" s="24" t="s">
        <v>2667</v>
      </c>
      <c r="E1021" s="26">
        <v>-85931.680000000008</v>
      </c>
      <c r="F1021" s="26">
        <v>0</v>
      </c>
      <c r="G1021" s="26">
        <v>0</v>
      </c>
      <c r="H1021" s="26">
        <v>-85931.680000000008</v>
      </c>
      <c r="I1021" s="26">
        <v>85931.680000000008</v>
      </c>
      <c r="J1021" s="26">
        <v>0</v>
      </c>
      <c r="K1021" s="26">
        <v>85931.680000000008</v>
      </c>
      <c r="L1021" s="26">
        <v>-85931.680000000008</v>
      </c>
      <c r="M1021" s="26">
        <v>-85931.680000000008</v>
      </c>
    </row>
    <row r="1022" spans="1:13">
      <c r="A1022" s="24" t="s">
        <v>249</v>
      </c>
      <c r="B1022" s="24" t="s">
        <v>329</v>
      </c>
      <c r="C1022" s="25">
        <v>45992</v>
      </c>
      <c r="D1022" s="24" t="s">
        <v>2668</v>
      </c>
      <c r="E1022" s="26">
        <v>-85931.680000000008</v>
      </c>
      <c r="F1022" s="26">
        <v>0</v>
      </c>
      <c r="G1022" s="26">
        <v>0</v>
      </c>
      <c r="H1022" s="26">
        <v>-85931.680000000008</v>
      </c>
      <c r="I1022" s="26">
        <v>85931.680000000008</v>
      </c>
      <c r="J1022" s="26">
        <v>0</v>
      </c>
      <c r="K1022" s="26">
        <v>85931.680000000008</v>
      </c>
      <c r="L1022" s="26">
        <v>-85931.680000000008</v>
      </c>
      <c r="M1022" s="26">
        <v>-85931.680000000008</v>
      </c>
    </row>
    <row r="1023" spans="1:13">
      <c r="A1023" s="24" t="s">
        <v>147</v>
      </c>
      <c r="B1023" s="24" t="s">
        <v>345</v>
      </c>
      <c r="C1023" s="25">
        <v>45658</v>
      </c>
      <c r="D1023" s="24" t="s">
        <v>2657</v>
      </c>
      <c r="E1023" s="26">
        <v>0</v>
      </c>
      <c r="F1023" s="26">
        <v>0</v>
      </c>
      <c r="G1023" s="26">
        <v>0</v>
      </c>
      <c r="H1023" s="26">
        <v>0</v>
      </c>
      <c r="I1023" s="26">
        <v>0</v>
      </c>
      <c r="J1023" s="26">
        <v>0</v>
      </c>
      <c r="K1023" s="26">
        <v>0</v>
      </c>
      <c r="L1023" s="26">
        <v>0</v>
      </c>
      <c r="M1023" s="26">
        <v>0</v>
      </c>
    </row>
    <row r="1024" spans="1:13">
      <c r="A1024" s="24" t="s">
        <v>147</v>
      </c>
      <c r="B1024" s="24" t="s">
        <v>345</v>
      </c>
      <c r="C1024" s="25">
        <v>45689</v>
      </c>
      <c r="D1024" s="24" t="s">
        <v>2658</v>
      </c>
      <c r="E1024" s="26">
        <v>0</v>
      </c>
      <c r="F1024" s="26">
        <v>0</v>
      </c>
      <c r="G1024" s="26">
        <v>0</v>
      </c>
      <c r="H1024" s="26">
        <v>0</v>
      </c>
      <c r="I1024" s="26">
        <v>0</v>
      </c>
      <c r="J1024" s="26">
        <v>0</v>
      </c>
      <c r="K1024" s="26">
        <v>0</v>
      </c>
      <c r="L1024" s="26">
        <v>0</v>
      </c>
      <c r="M1024" s="26">
        <v>0</v>
      </c>
    </row>
    <row r="1025" spans="1:13">
      <c r="A1025" s="24" t="s">
        <v>147</v>
      </c>
      <c r="B1025" s="24" t="s">
        <v>345</v>
      </c>
      <c r="C1025" s="25">
        <v>45717</v>
      </c>
      <c r="D1025" s="24" t="s">
        <v>2659</v>
      </c>
      <c r="E1025" s="26">
        <v>0</v>
      </c>
      <c r="F1025" s="26">
        <v>0</v>
      </c>
      <c r="G1025" s="26">
        <v>0</v>
      </c>
      <c r="H1025" s="26">
        <v>0</v>
      </c>
      <c r="I1025" s="26">
        <v>0</v>
      </c>
      <c r="J1025" s="26">
        <v>0</v>
      </c>
      <c r="K1025" s="26">
        <v>0</v>
      </c>
      <c r="L1025" s="26">
        <v>0</v>
      </c>
      <c r="M1025" s="26">
        <v>0</v>
      </c>
    </row>
    <row r="1026" spans="1:13">
      <c r="A1026" s="24" t="s">
        <v>147</v>
      </c>
      <c r="B1026" s="24" t="s">
        <v>345</v>
      </c>
      <c r="C1026" s="25">
        <v>45748</v>
      </c>
      <c r="D1026" s="24" t="s">
        <v>2660</v>
      </c>
      <c r="E1026" s="26">
        <v>0</v>
      </c>
      <c r="F1026" s="26">
        <v>0</v>
      </c>
      <c r="G1026" s="26">
        <v>0</v>
      </c>
      <c r="H1026" s="26">
        <v>0</v>
      </c>
      <c r="I1026" s="26">
        <v>0</v>
      </c>
      <c r="J1026" s="26">
        <v>0</v>
      </c>
      <c r="K1026" s="26">
        <v>0</v>
      </c>
      <c r="L1026" s="26">
        <v>0</v>
      </c>
      <c r="M1026" s="26">
        <v>0</v>
      </c>
    </row>
    <row r="1027" spans="1:13">
      <c r="A1027" s="24" t="s">
        <v>147</v>
      </c>
      <c r="B1027" s="24" t="s">
        <v>345</v>
      </c>
      <c r="C1027" s="25">
        <v>45778</v>
      </c>
      <c r="D1027" s="24" t="s">
        <v>2661</v>
      </c>
      <c r="E1027" s="26">
        <v>0</v>
      </c>
      <c r="F1027" s="26">
        <v>0</v>
      </c>
      <c r="G1027" s="26">
        <v>0</v>
      </c>
      <c r="H1027" s="26">
        <v>0</v>
      </c>
      <c r="I1027" s="26">
        <v>0</v>
      </c>
      <c r="J1027" s="26">
        <v>0</v>
      </c>
      <c r="K1027" s="26">
        <v>0</v>
      </c>
      <c r="L1027" s="26">
        <v>0</v>
      </c>
      <c r="M1027" s="26">
        <v>0</v>
      </c>
    </row>
    <row r="1028" spans="1:13">
      <c r="A1028" s="24" t="s">
        <v>147</v>
      </c>
      <c r="B1028" s="24" t="s">
        <v>345</v>
      </c>
      <c r="C1028" s="25">
        <v>45809</v>
      </c>
      <c r="D1028" s="24" t="s">
        <v>2662</v>
      </c>
      <c r="E1028" s="26">
        <v>0</v>
      </c>
      <c r="F1028" s="26">
        <v>0</v>
      </c>
      <c r="G1028" s="26">
        <v>0</v>
      </c>
      <c r="H1028" s="26">
        <v>0</v>
      </c>
      <c r="I1028" s="26">
        <v>0</v>
      </c>
      <c r="J1028" s="26">
        <v>0</v>
      </c>
      <c r="K1028" s="26">
        <v>0</v>
      </c>
      <c r="L1028" s="26">
        <v>0</v>
      </c>
      <c r="M1028" s="26">
        <v>0</v>
      </c>
    </row>
    <row r="1029" spans="1:13">
      <c r="A1029" s="24" t="s">
        <v>147</v>
      </c>
      <c r="B1029" s="24" t="s">
        <v>345</v>
      </c>
      <c r="C1029" s="25">
        <v>45839</v>
      </c>
      <c r="D1029" s="24" t="s">
        <v>2663</v>
      </c>
      <c r="E1029" s="26">
        <v>0</v>
      </c>
      <c r="F1029" s="26">
        <v>0</v>
      </c>
      <c r="G1029" s="26">
        <v>0</v>
      </c>
      <c r="H1029" s="26">
        <v>0</v>
      </c>
      <c r="I1029" s="26">
        <v>0</v>
      </c>
      <c r="J1029" s="26">
        <v>0</v>
      </c>
      <c r="K1029" s="26">
        <v>0</v>
      </c>
      <c r="L1029" s="26">
        <v>0</v>
      </c>
      <c r="M1029" s="26">
        <v>0</v>
      </c>
    </row>
    <row r="1030" spans="1:13">
      <c r="A1030" s="24" t="s">
        <v>147</v>
      </c>
      <c r="B1030" s="24" t="s">
        <v>345</v>
      </c>
      <c r="C1030" s="25">
        <v>45870</v>
      </c>
      <c r="D1030" s="24" t="s">
        <v>2664</v>
      </c>
      <c r="E1030" s="26">
        <v>0</v>
      </c>
      <c r="F1030" s="26">
        <v>0</v>
      </c>
      <c r="G1030" s="26">
        <v>20888.830000000002</v>
      </c>
      <c r="H1030" s="26">
        <v>20888.830000000002</v>
      </c>
      <c r="I1030" s="26">
        <v>0</v>
      </c>
      <c r="J1030" s="26">
        <v>0</v>
      </c>
      <c r="K1030" s="26">
        <v>0</v>
      </c>
      <c r="L1030" s="26">
        <v>20888.830000000002</v>
      </c>
      <c r="M1030" s="26">
        <v>0</v>
      </c>
    </row>
    <row r="1031" spans="1:13">
      <c r="A1031" s="24" t="s">
        <v>147</v>
      </c>
      <c r="B1031" s="24" t="s">
        <v>345</v>
      </c>
      <c r="C1031" s="25">
        <v>45901</v>
      </c>
      <c r="D1031" s="24" t="s">
        <v>2665</v>
      </c>
      <c r="E1031" s="26">
        <v>0</v>
      </c>
      <c r="F1031" s="26">
        <v>0</v>
      </c>
      <c r="G1031" s="26">
        <v>0</v>
      </c>
      <c r="H1031" s="26">
        <v>0</v>
      </c>
      <c r="I1031" s="26">
        <v>0</v>
      </c>
      <c r="J1031" s="26">
        <v>0</v>
      </c>
      <c r="K1031" s="26">
        <v>0</v>
      </c>
      <c r="L1031" s="26">
        <v>20888.830000000002</v>
      </c>
      <c r="M1031" s="26">
        <v>-20888.830000000002</v>
      </c>
    </row>
    <row r="1032" spans="1:13">
      <c r="A1032" s="24" t="s">
        <v>147</v>
      </c>
      <c r="B1032" s="24" t="s">
        <v>345</v>
      </c>
      <c r="C1032" s="25">
        <v>45931</v>
      </c>
      <c r="D1032" s="24" t="s">
        <v>2666</v>
      </c>
      <c r="E1032" s="26">
        <v>0</v>
      </c>
      <c r="F1032" s="26">
        <v>0</v>
      </c>
      <c r="G1032" s="26">
        <v>0</v>
      </c>
      <c r="H1032" s="26">
        <v>0</v>
      </c>
      <c r="I1032" s="26">
        <v>0</v>
      </c>
      <c r="J1032" s="26">
        <v>0</v>
      </c>
      <c r="K1032" s="26">
        <v>0</v>
      </c>
      <c r="L1032" s="26">
        <v>20888.830000000002</v>
      </c>
      <c r="M1032" s="26">
        <v>-20888.830000000002</v>
      </c>
    </row>
    <row r="1033" spans="1:13">
      <c r="A1033" s="24" t="s">
        <v>147</v>
      </c>
      <c r="B1033" s="24" t="s">
        <v>345</v>
      </c>
      <c r="C1033" s="25">
        <v>45962</v>
      </c>
      <c r="D1033" s="24" t="s">
        <v>2667</v>
      </c>
      <c r="E1033" s="26">
        <v>0</v>
      </c>
      <c r="F1033" s="26">
        <v>0</v>
      </c>
      <c r="G1033" s="26">
        <v>0</v>
      </c>
      <c r="H1033" s="26">
        <v>0</v>
      </c>
      <c r="I1033" s="26">
        <v>0</v>
      </c>
      <c r="J1033" s="26">
        <v>0</v>
      </c>
      <c r="K1033" s="26">
        <v>0</v>
      </c>
      <c r="L1033" s="26">
        <v>20888.830000000002</v>
      </c>
      <c r="M1033" s="26">
        <v>-20888.830000000002</v>
      </c>
    </row>
    <row r="1034" spans="1:13">
      <c r="A1034" s="24" t="s">
        <v>147</v>
      </c>
      <c r="B1034" s="24" t="s">
        <v>345</v>
      </c>
      <c r="C1034" s="25">
        <v>45992</v>
      </c>
      <c r="D1034" s="24" t="s">
        <v>2668</v>
      </c>
      <c r="E1034" s="26">
        <v>-60774.26</v>
      </c>
      <c r="F1034" s="26">
        <v>0</v>
      </c>
      <c r="G1034" s="26">
        <v>0</v>
      </c>
      <c r="H1034" s="26">
        <v>-60774.26</v>
      </c>
      <c r="I1034" s="26">
        <v>0</v>
      </c>
      <c r="J1034" s="26">
        <v>0</v>
      </c>
      <c r="K1034" s="26">
        <v>0</v>
      </c>
      <c r="L1034" s="26">
        <v>10909.79</v>
      </c>
      <c r="M1034" s="26">
        <v>-71684.05</v>
      </c>
    </row>
    <row r="1035" spans="1:13">
      <c r="A1035" s="24" t="s">
        <v>185</v>
      </c>
      <c r="B1035" s="24" t="s">
        <v>329</v>
      </c>
      <c r="C1035" s="25">
        <v>45658</v>
      </c>
      <c r="D1035" s="24" t="s">
        <v>2657</v>
      </c>
      <c r="E1035" s="26">
        <v>0</v>
      </c>
      <c r="F1035" s="26">
        <v>0</v>
      </c>
      <c r="G1035" s="26">
        <v>0</v>
      </c>
      <c r="H1035" s="26">
        <v>0</v>
      </c>
      <c r="I1035" s="26">
        <v>0</v>
      </c>
      <c r="J1035" s="26">
        <v>0</v>
      </c>
      <c r="K1035" s="26">
        <v>0</v>
      </c>
      <c r="L1035" s="26">
        <v>0</v>
      </c>
      <c r="M1035" s="26">
        <v>0</v>
      </c>
    </row>
    <row r="1036" spans="1:13">
      <c r="A1036" s="24" t="s">
        <v>185</v>
      </c>
      <c r="B1036" s="24" t="s">
        <v>329</v>
      </c>
      <c r="C1036" s="25">
        <v>45689</v>
      </c>
      <c r="D1036" s="24" t="s">
        <v>2658</v>
      </c>
      <c r="E1036" s="26">
        <v>0</v>
      </c>
      <c r="F1036" s="26">
        <v>0</v>
      </c>
      <c r="G1036" s="26">
        <v>0</v>
      </c>
      <c r="H1036" s="26">
        <v>0</v>
      </c>
      <c r="I1036" s="26">
        <v>0</v>
      </c>
      <c r="J1036" s="26">
        <v>0</v>
      </c>
      <c r="K1036" s="26">
        <v>0</v>
      </c>
      <c r="L1036" s="26">
        <v>0</v>
      </c>
      <c r="M1036" s="26">
        <v>0</v>
      </c>
    </row>
    <row r="1037" spans="1:13">
      <c r="A1037" s="24" t="s">
        <v>185</v>
      </c>
      <c r="B1037" s="24" t="s">
        <v>329</v>
      </c>
      <c r="C1037" s="25">
        <v>45717</v>
      </c>
      <c r="D1037" s="24" t="s">
        <v>2659</v>
      </c>
      <c r="E1037" s="26">
        <v>0</v>
      </c>
      <c r="F1037" s="26">
        <v>0</v>
      </c>
      <c r="G1037" s="26">
        <v>0</v>
      </c>
      <c r="H1037" s="26">
        <v>0</v>
      </c>
      <c r="I1037" s="26">
        <v>0</v>
      </c>
      <c r="J1037" s="26">
        <v>0</v>
      </c>
      <c r="K1037" s="26">
        <v>0</v>
      </c>
      <c r="L1037" s="26">
        <v>0</v>
      </c>
      <c r="M1037" s="26">
        <v>0</v>
      </c>
    </row>
    <row r="1038" spans="1:13">
      <c r="A1038" s="24" t="s">
        <v>185</v>
      </c>
      <c r="B1038" s="24" t="s">
        <v>329</v>
      </c>
      <c r="C1038" s="25">
        <v>45748</v>
      </c>
      <c r="D1038" s="24" t="s">
        <v>2660</v>
      </c>
      <c r="E1038" s="26">
        <v>0</v>
      </c>
      <c r="F1038" s="26">
        <v>0</v>
      </c>
      <c r="G1038" s="26">
        <v>0</v>
      </c>
      <c r="H1038" s="26">
        <v>0</v>
      </c>
      <c r="I1038" s="26">
        <v>0</v>
      </c>
      <c r="J1038" s="26">
        <v>0</v>
      </c>
      <c r="K1038" s="26">
        <v>0</v>
      </c>
      <c r="L1038" s="26">
        <v>0</v>
      </c>
      <c r="M1038" s="26">
        <v>0</v>
      </c>
    </row>
    <row r="1039" spans="1:13">
      <c r="A1039" s="24" t="s">
        <v>185</v>
      </c>
      <c r="B1039" s="24" t="s">
        <v>329</v>
      </c>
      <c r="C1039" s="25">
        <v>45778</v>
      </c>
      <c r="D1039" s="24" t="s">
        <v>2661</v>
      </c>
      <c r="E1039" s="26">
        <v>0</v>
      </c>
      <c r="F1039" s="26">
        <v>0</v>
      </c>
      <c r="G1039" s="26">
        <v>0</v>
      </c>
      <c r="H1039" s="26">
        <v>0</v>
      </c>
      <c r="I1039" s="26">
        <v>0</v>
      </c>
      <c r="J1039" s="26">
        <v>0</v>
      </c>
      <c r="K1039" s="26">
        <v>0</v>
      </c>
      <c r="L1039" s="26">
        <v>0</v>
      </c>
      <c r="M1039" s="26">
        <v>0</v>
      </c>
    </row>
    <row r="1040" spans="1:13">
      <c r="A1040" s="24" t="s">
        <v>185</v>
      </c>
      <c r="B1040" s="24" t="s">
        <v>329</v>
      </c>
      <c r="C1040" s="25">
        <v>45809</v>
      </c>
      <c r="D1040" s="24" t="s">
        <v>2662</v>
      </c>
      <c r="E1040" s="26">
        <v>0</v>
      </c>
      <c r="F1040" s="26">
        <v>0</v>
      </c>
      <c r="G1040" s="26">
        <v>0</v>
      </c>
      <c r="H1040" s="26">
        <v>0</v>
      </c>
      <c r="I1040" s="26">
        <v>0</v>
      </c>
      <c r="J1040" s="26">
        <v>0</v>
      </c>
      <c r="K1040" s="26">
        <v>0</v>
      </c>
      <c r="L1040" s="26">
        <v>0</v>
      </c>
      <c r="M1040" s="26">
        <v>0</v>
      </c>
    </row>
    <row r="1041" spans="1:13">
      <c r="A1041" s="24" t="s">
        <v>185</v>
      </c>
      <c r="B1041" s="24" t="s">
        <v>329</v>
      </c>
      <c r="C1041" s="25">
        <v>45839</v>
      </c>
      <c r="D1041" s="24" t="s">
        <v>2663</v>
      </c>
      <c r="E1041" s="26">
        <v>0</v>
      </c>
      <c r="F1041" s="26">
        <v>0</v>
      </c>
      <c r="G1041" s="26">
        <v>40861.15</v>
      </c>
      <c r="H1041" s="26">
        <v>40861.15</v>
      </c>
      <c r="I1041" s="26">
        <v>0</v>
      </c>
      <c r="J1041" s="26">
        <v>0</v>
      </c>
      <c r="K1041" s="26">
        <v>0</v>
      </c>
      <c r="L1041" s="26">
        <v>40861.15</v>
      </c>
      <c r="M1041" s="26">
        <v>0</v>
      </c>
    </row>
    <row r="1042" spans="1:13">
      <c r="A1042" s="24" t="s">
        <v>185</v>
      </c>
      <c r="B1042" s="24" t="s">
        <v>329</v>
      </c>
      <c r="C1042" s="25">
        <v>45870</v>
      </c>
      <c r="D1042" s="24" t="s">
        <v>2664</v>
      </c>
      <c r="E1042" s="26">
        <v>0</v>
      </c>
      <c r="F1042" s="26">
        <v>0</v>
      </c>
      <c r="G1042" s="26">
        <v>91950.47</v>
      </c>
      <c r="H1042" s="26">
        <v>91950.47</v>
      </c>
      <c r="I1042" s="26">
        <v>0</v>
      </c>
      <c r="J1042" s="26">
        <v>0</v>
      </c>
      <c r="K1042" s="26">
        <v>0</v>
      </c>
      <c r="L1042" s="26">
        <v>91950.47</v>
      </c>
      <c r="M1042" s="26">
        <v>0</v>
      </c>
    </row>
    <row r="1043" spans="1:13">
      <c r="A1043" s="24" t="s">
        <v>185</v>
      </c>
      <c r="B1043" s="24" t="s">
        <v>329</v>
      </c>
      <c r="C1043" s="25">
        <v>45901</v>
      </c>
      <c r="D1043" s="24" t="s">
        <v>2665</v>
      </c>
      <c r="E1043" s="26">
        <v>0</v>
      </c>
      <c r="F1043" s="26">
        <v>0</v>
      </c>
      <c r="G1043" s="26">
        <v>118933.05</v>
      </c>
      <c r="H1043" s="26">
        <v>118933.05</v>
      </c>
      <c r="I1043" s="26">
        <v>0</v>
      </c>
      <c r="J1043" s="26">
        <v>0</v>
      </c>
      <c r="K1043" s="26">
        <v>0</v>
      </c>
      <c r="L1043" s="26">
        <v>118933.05</v>
      </c>
      <c r="M1043" s="26">
        <v>0</v>
      </c>
    </row>
    <row r="1044" spans="1:13">
      <c r="A1044" s="24" t="s">
        <v>185</v>
      </c>
      <c r="B1044" s="24" t="s">
        <v>329</v>
      </c>
      <c r="C1044" s="25">
        <v>45931</v>
      </c>
      <c r="D1044" s="24" t="s">
        <v>2666</v>
      </c>
      <c r="E1044" s="26">
        <v>0</v>
      </c>
      <c r="F1044" s="26">
        <v>0</v>
      </c>
      <c r="G1044" s="26">
        <v>118933.05</v>
      </c>
      <c r="H1044" s="26">
        <v>118933.05</v>
      </c>
      <c r="I1044" s="26">
        <v>0</v>
      </c>
      <c r="J1044" s="26">
        <v>65241.819999999992</v>
      </c>
      <c r="K1044" s="26">
        <v>65241.819999999992</v>
      </c>
      <c r="L1044" s="26">
        <v>118933.05</v>
      </c>
      <c r="M1044" s="26">
        <v>-65241.819999999992</v>
      </c>
    </row>
    <row r="1045" spans="1:13">
      <c r="A1045" s="24" t="s">
        <v>185</v>
      </c>
      <c r="B1045" s="24" t="s">
        <v>329</v>
      </c>
      <c r="C1045" s="25">
        <v>45962</v>
      </c>
      <c r="D1045" s="24" t="s">
        <v>2667</v>
      </c>
      <c r="E1045" s="26">
        <v>0</v>
      </c>
      <c r="F1045" s="26">
        <v>0</v>
      </c>
      <c r="G1045" s="26">
        <v>158851.4</v>
      </c>
      <c r="H1045" s="26">
        <v>158851.4</v>
      </c>
      <c r="I1045" s="26">
        <v>0</v>
      </c>
      <c r="J1045" s="26">
        <v>25323.47</v>
      </c>
      <c r="K1045" s="26">
        <v>25323.47</v>
      </c>
      <c r="L1045" s="26">
        <v>158851.4</v>
      </c>
      <c r="M1045" s="26">
        <v>-25323.47</v>
      </c>
    </row>
    <row r="1046" spans="1:13">
      <c r="A1046" s="24" t="s">
        <v>185</v>
      </c>
      <c r="B1046" s="24" t="s">
        <v>329</v>
      </c>
      <c r="C1046" s="25">
        <v>45992</v>
      </c>
      <c r="D1046" s="24" t="s">
        <v>2668</v>
      </c>
      <c r="E1046" s="26">
        <v>0</v>
      </c>
      <c r="F1046" s="26">
        <v>0</v>
      </c>
      <c r="G1046" s="26">
        <v>158851.4</v>
      </c>
      <c r="H1046" s="26">
        <v>158851.4</v>
      </c>
      <c r="I1046" s="26">
        <v>0</v>
      </c>
      <c r="J1046" s="26">
        <v>25323.47</v>
      </c>
      <c r="K1046" s="26">
        <v>25323.47</v>
      </c>
      <c r="L1046" s="26">
        <v>158851.4</v>
      </c>
      <c r="M1046" s="26">
        <v>-25323.47</v>
      </c>
    </row>
    <row r="1047" spans="1:13">
      <c r="A1047" s="24" t="s">
        <v>226</v>
      </c>
      <c r="B1047" s="24" t="s">
        <v>329</v>
      </c>
      <c r="C1047" s="25">
        <v>45658</v>
      </c>
      <c r="D1047" s="24" t="s">
        <v>2657</v>
      </c>
      <c r="E1047" s="26">
        <v>0</v>
      </c>
      <c r="F1047" s="26">
        <v>0</v>
      </c>
      <c r="G1047" s="26">
        <v>0</v>
      </c>
      <c r="H1047" s="26">
        <v>0</v>
      </c>
      <c r="I1047" s="26">
        <v>0</v>
      </c>
      <c r="J1047" s="26">
        <v>0</v>
      </c>
      <c r="K1047" s="26">
        <v>0</v>
      </c>
      <c r="L1047" s="26">
        <v>0</v>
      </c>
      <c r="M1047" s="26">
        <v>0</v>
      </c>
    </row>
    <row r="1048" spans="1:13">
      <c r="A1048" s="24" t="s">
        <v>226</v>
      </c>
      <c r="B1048" s="24" t="s">
        <v>329</v>
      </c>
      <c r="C1048" s="25">
        <v>45689</v>
      </c>
      <c r="D1048" s="24" t="s">
        <v>2658</v>
      </c>
      <c r="E1048" s="26">
        <v>0</v>
      </c>
      <c r="F1048" s="26">
        <v>0</v>
      </c>
      <c r="G1048" s="26">
        <v>0</v>
      </c>
      <c r="H1048" s="26">
        <v>0</v>
      </c>
      <c r="I1048" s="26">
        <v>0</v>
      </c>
      <c r="J1048" s="26">
        <v>0</v>
      </c>
      <c r="K1048" s="26">
        <v>0</v>
      </c>
      <c r="L1048" s="26">
        <v>0</v>
      </c>
      <c r="M1048" s="26">
        <v>0</v>
      </c>
    </row>
    <row r="1049" spans="1:13">
      <c r="A1049" s="24" t="s">
        <v>226</v>
      </c>
      <c r="B1049" s="24" t="s">
        <v>329</v>
      </c>
      <c r="C1049" s="25">
        <v>45717</v>
      </c>
      <c r="D1049" s="24" t="s">
        <v>2659</v>
      </c>
      <c r="E1049" s="26">
        <v>0</v>
      </c>
      <c r="F1049" s="26">
        <v>0</v>
      </c>
      <c r="G1049" s="26">
        <v>0</v>
      </c>
      <c r="H1049" s="26">
        <v>0</v>
      </c>
      <c r="I1049" s="26">
        <v>0</v>
      </c>
      <c r="J1049" s="26">
        <v>0</v>
      </c>
      <c r="K1049" s="26">
        <v>0</v>
      </c>
      <c r="L1049" s="26">
        <v>0</v>
      </c>
      <c r="M1049" s="26">
        <v>0</v>
      </c>
    </row>
    <row r="1050" spans="1:13">
      <c r="A1050" s="24" t="s">
        <v>226</v>
      </c>
      <c r="B1050" s="24" t="s">
        <v>329</v>
      </c>
      <c r="C1050" s="25">
        <v>45748</v>
      </c>
      <c r="D1050" s="24" t="s">
        <v>2660</v>
      </c>
      <c r="E1050" s="26">
        <v>0</v>
      </c>
      <c r="F1050" s="26">
        <v>0</v>
      </c>
      <c r="G1050" s="26">
        <v>0</v>
      </c>
      <c r="H1050" s="26">
        <v>0</v>
      </c>
      <c r="I1050" s="26">
        <v>0</v>
      </c>
      <c r="J1050" s="26">
        <v>0</v>
      </c>
      <c r="K1050" s="26">
        <v>0</v>
      </c>
      <c r="L1050" s="26">
        <v>0</v>
      </c>
      <c r="M1050" s="26">
        <v>0</v>
      </c>
    </row>
    <row r="1051" spans="1:13">
      <c r="A1051" s="24" t="s">
        <v>226</v>
      </c>
      <c r="B1051" s="24" t="s">
        <v>329</v>
      </c>
      <c r="C1051" s="25">
        <v>45778</v>
      </c>
      <c r="D1051" s="24" t="s">
        <v>2661</v>
      </c>
      <c r="E1051" s="26">
        <v>0</v>
      </c>
      <c r="F1051" s="26">
        <v>0</v>
      </c>
      <c r="G1051" s="26">
        <v>0</v>
      </c>
      <c r="H1051" s="26">
        <v>0</v>
      </c>
      <c r="I1051" s="26">
        <v>0</v>
      </c>
      <c r="J1051" s="26">
        <v>0</v>
      </c>
      <c r="K1051" s="26">
        <v>0</v>
      </c>
      <c r="L1051" s="26">
        <v>0</v>
      </c>
      <c r="M1051" s="26">
        <v>0</v>
      </c>
    </row>
    <row r="1052" spans="1:13">
      <c r="A1052" s="24" t="s">
        <v>226</v>
      </c>
      <c r="B1052" s="24" t="s">
        <v>329</v>
      </c>
      <c r="C1052" s="25">
        <v>45809</v>
      </c>
      <c r="D1052" s="24" t="s">
        <v>2662</v>
      </c>
      <c r="E1052" s="26">
        <v>0</v>
      </c>
      <c r="F1052" s="26">
        <v>0</v>
      </c>
      <c r="G1052" s="26">
        <v>0</v>
      </c>
      <c r="H1052" s="26">
        <v>0</v>
      </c>
      <c r="I1052" s="26">
        <v>0</v>
      </c>
      <c r="J1052" s="26">
        <v>0</v>
      </c>
      <c r="K1052" s="26">
        <v>0</v>
      </c>
      <c r="L1052" s="26">
        <v>0</v>
      </c>
      <c r="M1052" s="26">
        <v>0</v>
      </c>
    </row>
    <row r="1053" spans="1:13">
      <c r="A1053" s="24" t="s">
        <v>226</v>
      </c>
      <c r="B1053" s="24" t="s">
        <v>329</v>
      </c>
      <c r="C1053" s="25">
        <v>45839</v>
      </c>
      <c r="D1053" s="24" t="s">
        <v>2663</v>
      </c>
      <c r="E1053" s="26">
        <v>0</v>
      </c>
      <c r="F1053" s="26">
        <v>0</v>
      </c>
      <c r="G1053" s="26">
        <v>0</v>
      </c>
      <c r="H1053" s="26">
        <v>0</v>
      </c>
      <c r="I1053" s="26">
        <v>0</v>
      </c>
      <c r="J1053" s="26">
        <v>0</v>
      </c>
      <c r="K1053" s="26">
        <v>0</v>
      </c>
      <c r="L1053" s="26">
        <v>0</v>
      </c>
      <c r="M1053" s="26">
        <v>0</v>
      </c>
    </row>
    <row r="1054" spans="1:13">
      <c r="A1054" s="24" t="s">
        <v>226</v>
      </c>
      <c r="B1054" s="24" t="s">
        <v>329</v>
      </c>
      <c r="C1054" s="25">
        <v>45870</v>
      </c>
      <c r="D1054" s="24" t="s">
        <v>2664</v>
      </c>
      <c r="E1054" s="26">
        <v>-49780.98</v>
      </c>
      <c r="F1054" s="26">
        <v>0</v>
      </c>
      <c r="G1054" s="26">
        <v>50529.4</v>
      </c>
      <c r="H1054" s="26">
        <v>748.41999999999825</v>
      </c>
      <c r="I1054" s="26">
        <v>0</v>
      </c>
      <c r="J1054" s="26">
        <v>0</v>
      </c>
      <c r="K1054" s="26">
        <v>0</v>
      </c>
      <c r="L1054" s="26">
        <v>748.41999999999825</v>
      </c>
      <c r="M1054" s="26">
        <v>0</v>
      </c>
    </row>
    <row r="1055" spans="1:13">
      <c r="A1055" s="24" t="s">
        <v>226</v>
      </c>
      <c r="B1055" s="24" t="s">
        <v>329</v>
      </c>
      <c r="C1055" s="25">
        <v>45901</v>
      </c>
      <c r="D1055" s="24" t="s">
        <v>2665</v>
      </c>
      <c r="E1055" s="26">
        <v>-49780.98</v>
      </c>
      <c r="F1055" s="26">
        <v>0</v>
      </c>
      <c r="G1055" s="26">
        <v>113143.07</v>
      </c>
      <c r="H1055" s="26">
        <v>63362.09</v>
      </c>
      <c r="I1055" s="26">
        <v>0</v>
      </c>
      <c r="J1055" s="26">
        <v>0</v>
      </c>
      <c r="K1055" s="26">
        <v>0</v>
      </c>
      <c r="L1055" s="26">
        <v>63362.09</v>
      </c>
      <c r="M1055" s="26">
        <v>7.2759576141834259E-12</v>
      </c>
    </row>
    <row r="1056" spans="1:13">
      <c r="A1056" s="24" t="s">
        <v>226</v>
      </c>
      <c r="B1056" s="24" t="s">
        <v>329</v>
      </c>
      <c r="C1056" s="25">
        <v>45931</v>
      </c>
      <c r="D1056" s="24" t="s">
        <v>2666</v>
      </c>
      <c r="E1056" s="26">
        <v>-49780.98</v>
      </c>
      <c r="F1056" s="26">
        <v>0</v>
      </c>
      <c r="G1056" s="26">
        <v>181160.98</v>
      </c>
      <c r="H1056" s="26">
        <v>131380</v>
      </c>
      <c r="I1056" s="26">
        <v>0</v>
      </c>
      <c r="J1056" s="26">
        <v>0</v>
      </c>
      <c r="K1056" s="26">
        <v>0</v>
      </c>
      <c r="L1056" s="26">
        <v>131380</v>
      </c>
      <c r="M1056" s="26">
        <v>0</v>
      </c>
    </row>
    <row r="1057" spans="1:13">
      <c r="A1057" s="24" t="s">
        <v>226</v>
      </c>
      <c r="B1057" s="24" t="s">
        <v>329</v>
      </c>
      <c r="C1057" s="25">
        <v>45962</v>
      </c>
      <c r="D1057" s="24" t="s">
        <v>2667</v>
      </c>
      <c r="E1057" s="26">
        <v>-49780.98</v>
      </c>
      <c r="F1057" s="26">
        <v>81351.490000000005</v>
      </c>
      <c r="G1057" s="26">
        <v>99809.49</v>
      </c>
      <c r="H1057" s="26">
        <v>131380</v>
      </c>
      <c r="I1057" s="26">
        <v>0</v>
      </c>
      <c r="J1057" s="26">
        <v>0</v>
      </c>
      <c r="K1057" s="26">
        <v>0</v>
      </c>
      <c r="L1057" s="26">
        <v>131380</v>
      </c>
      <c r="M1057" s="26">
        <v>0</v>
      </c>
    </row>
    <row r="1058" spans="1:13">
      <c r="A1058" s="24" t="s">
        <v>226</v>
      </c>
      <c r="B1058" s="24" t="s">
        <v>329</v>
      </c>
      <c r="C1058" s="25">
        <v>45992</v>
      </c>
      <c r="D1058" s="24" t="s">
        <v>2668</v>
      </c>
      <c r="E1058" s="26">
        <v>-49780.98</v>
      </c>
      <c r="F1058" s="26">
        <v>81351.490000000005</v>
      </c>
      <c r="G1058" s="26">
        <v>99809.49</v>
      </c>
      <c r="H1058" s="26">
        <v>131380</v>
      </c>
      <c r="I1058" s="26">
        <v>0</v>
      </c>
      <c r="J1058" s="26">
        <v>0</v>
      </c>
      <c r="K1058" s="26">
        <v>0</v>
      </c>
      <c r="L1058" s="26">
        <v>131380</v>
      </c>
      <c r="M1058" s="26">
        <v>0</v>
      </c>
    </row>
    <row r="1059" spans="1:13">
      <c r="A1059" s="24" t="s">
        <v>27</v>
      </c>
      <c r="B1059" s="24" t="s">
        <v>324</v>
      </c>
      <c r="C1059" s="25">
        <v>45658</v>
      </c>
      <c r="D1059" s="24" t="s">
        <v>2657</v>
      </c>
      <c r="E1059" s="26">
        <v>0</v>
      </c>
      <c r="F1059" s="26">
        <v>0</v>
      </c>
      <c r="G1059" s="26">
        <v>0</v>
      </c>
      <c r="H1059" s="26">
        <v>0</v>
      </c>
      <c r="I1059" s="26">
        <v>0</v>
      </c>
      <c r="J1059" s="26">
        <v>0</v>
      </c>
      <c r="K1059" s="26">
        <v>0</v>
      </c>
      <c r="L1059" s="26">
        <v>0</v>
      </c>
      <c r="M1059" s="26">
        <v>0</v>
      </c>
    </row>
    <row r="1060" spans="1:13">
      <c r="A1060" s="24" t="s">
        <v>27</v>
      </c>
      <c r="B1060" s="24" t="s">
        <v>324</v>
      </c>
      <c r="C1060" s="25">
        <v>45689</v>
      </c>
      <c r="D1060" s="24" t="s">
        <v>2658</v>
      </c>
      <c r="E1060" s="26">
        <v>0</v>
      </c>
      <c r="F1060" s="26">
        <v>0</v>
      </c>
      <c r="G1060" s="26">
        <v>0</v>
      </c>
      <c r="H1060" s="26">
        <v>0</v>
      </c>
      <c r="I1060" s="26">
        <v>0</v>
      </c>
      <c r="J1060" s="26">
        <v>0</v>
      </c>
      <c r="K1060" s="26">
        <v>0</v>
      </c>
      <c r="L1060" s="26">
        <v>0</v>
      </c>
      <c r="M1060" s="26">
        <v>0</v>
      </c>
    </row>
    <row r="1061" spans="1:13">
      <c r="A1061" s="24" t="s">
        <v>27</v>
      </c>
      <c r="B1061" s="24" t="s">
        <v>324</v>
      </c>
      <c r="C1061" s="25">
        <v>45717</v>
      </c>
      <c r="D1061" s="24" t="s">
        <v>2659</v>
      </c>
      <c r="E1061" s="26">
        <v>0</v>
      </c>
      <c r="F1061" s="26">
        <v>0</v>
      </c>
      <c r="G1061" s="26">
        <v>0</v>
      </c>
      <c r="H1061" s="26">
        <v>0</v>
      </c>
      <c r="I1061" s="26">
        <v>0</v>
      </c>
      <c r="J1061" s="26">
        <v>0</v>
      </c>
      <c r="K1061" s="26">
        <v>0</v>
      </c>
      <c r="L1061" s="26">
        <v>0</v>
      </c>
      <c r="M1061" s="26">
        <v>0</v>
      </c>
    </row>
    <row r="1062" spans="1:13">
      <c r="A1062" s="24" t="s">
        <v>27</v>
      </c>
      <c r="B1062" s="24" t="s">
        <v>324</v>
      </c>
      <c r="C1062" s="25">
        <v>45748</v>
      </c>
      <c r="D1062" s="24" t="s">
        <v>2660</v>
      </c>
      <c r="E1062" s="26">
        <v>0</v>
      </c>
      <c r="F1062" s="26">
        <v>0</v>
      </c>
      <c r="G1062" s="26">
        <v>0</v>
      </c>
      <c r="H1062" s="26">
        <v>0</v>
      </c>
      <c r="I1062" s="26">
        <v>0</v>
      </c>
      <c r="J1062" s="26">
        <v>0</v>
      </c>
      <c r="K1062" s="26">
        <v>0</v>
      </c>
      <c r="L1062" s="26">
        <v>0</v>
      </c>
      <c r="M1062" s="26">
        <v>0</v>
      </c>
    </row>
    <row r="1063" spans="1:13">
      <c r="A1063" s="24" t="s">
        <v>27</v>
      </c>
      <c r="B1063" s="24" t="s">
        <v>324</v>
      </c>
      <c r="C1063" s="25">
        <v>45778</v>
      </c>
      <c r="D1063" s="24" t="s">
        <v>2661</v>
      </c>
      <c r="E1063" s="26">
        <v>0</v>
      </c>
      <c r="F1063" s="26">
        <v>0</v>
      </c>
      <c r="G1063" s="26">
        <v>0</v>
      </c>
      <c r="H1063" s="26">
        <v>0</v>
      </c>
      <c r="I1063" s="26">
        <v>0</v>
      </c>
      <c r="J1063" s="26">
        <v>0</v>
      </c>
      <c r="K1063" s="26">
        <v>0</v>
      </c>
      <c r="L1063" s="26">
        <v>0</v>
      </c>
      <c r="M1063" s="26">
        <v>0</v>
      </c>
    </row>
    <row r="1064" spans="1:13">
      <c r="A1064" s="24" t="s">
        <v>27</v>
      </c>
      <c r="B1064" s="24" t="s">
        <v>324</v>
      </c>
      <c r="C1064" s="25">
        <v>45809</v>
      </c>
      <c r="D1064" s="24" t="s">
        <v>2662</v>
      </c>
      <c r="E1064" s="26">
        <v>0</v>
      </c>
      <c r="F1064" s="26">
        <v>0</v>
      </c>
      <c r="G1064" s="26">
        <v>0</v>
      </c>
      <c r="H1064" s="26">
        <v>0</v>
      </c>
      <c r="I1064" s="26">
        <v>0</v>
      </c>
      <c r="J1064" s="26">
        <v>0</v>
      </c>
      <c r="K1064" s="26">
        <v>0</v>
      </c>
      <c r="L1064" s="26">
        <v>0</v>
      </c>
      <c r="M1064" s="26">
        <v>0</v>
      </c>
    </row>
    <row r="1065" spans="1:13">
      <c r="A1065" s="24" t="s">
        <v>27</v>
      </c>
      <c r="B1065" s="24" t="s">
        <v>324</v>
      </c>
      <c r="C1065" s="25">
        <v>45839</v>
      </c>
      <c r="D1065" s="24" t="s">
        <v>2663</v>
      </c>
      <c r="E1065" s="26">
        <v>0</v>
      </c>
      <c r="F1065" s="26">
        <v>0</v>
      </c>
      <c r="G1065" s="26">
        <v>0</v>
      </c>
      <c r="H1065" s="26">
        <v>0</v>
      </c>
      <c r="I1065" s="26">
        <v>0</v>
      </c>
      <c r="J1065" s="26">
        <v>0</v>
      </c>
      <c r="K1065" s="26">
        <v>0</v>
      </c>
      <c r="L1065" s="26">
        <v>0</v>
      </c>
      <c r="M1065" s="26">
        <v>0</v>
      </c>
    </row>
    <row r="1066" spans="1:13">
      <c r="A1066" s="24" t="s">
        <v>27</v>
      </c>
      <c r="B1066" s="24" t="s">
        <v>324</v>
      </c>
      <c r="C1066" s="25">
        <v>45870</v>
      </c>
      <c r="D1066" s="24" t="s">
        <v>2664</v>
      </c>
      <c r="E1066" s="26">
        <v>-45534.13</v>
      </c>
      <c r="F1066" s="26">
        <v>0</v>
      </c>
      <c r="G1066" s="26">
        <v>66087.990000000005</v>
      </c>
      <c r="H1066" s="26">
        <v>20553.860000000011</v>
      </c>
      <c r="I1066" s="26">
        <v>0</v>
      </c>
      <c r="J1066" s="26">
        <v>0</v>
      </c>
      <c r="K1066" s="26">
        <v>0</v>
      </c>
      <c r="L1066" s="26">
        <v>20553.860000000011</v>
      </c>
      <c r="M1066" s="26">
        <v>0</v>
      </c>
    </row>
    <row r="1067" spans="1:13">
      <c r="A1067" s="24" t="s">
        <v>27</v>
      </c>
      <c r="B1067" s="24" t="s">
        <v>324</v>
      </c>
      <c r="C1067" s="25">
        <v>45901</v>
      </c>
      <c r="D1067" s="24" t="s">
        <v>2665</v>
      </c>
      <c r="E1067" s="26">
        <v>-45534.13</v>
      </c>
      <c r="F1067" s="26">
        <v>0</v>
      </c>
      <c r="G1067" s="26">
        <v>123174.54</v>
      </c>
      <c r="H1067" s="26">
        <v>77640.41</v>
      </c>
      <c r="I1067" s="26">
        <v>0</v>
      </c>
      <c r="J1067" s="26">
        <v>0</v>
      </c>
      <c r="K1067" s="26">
        <v>0</v>
      </c>
      <c r="L1067" s="26">
        <v>77640.41</v>
      </c>
      <c r="M1067" s="26">
        <v>0</v>
      </c>
    </row>
    <row r="1068" spans="1:13">
      <c r="A1068" s="24" t="s">
        <v>27</v>
      </c>
      <c r="B1068" s="24" t="s">
        <v>324</v>
      </c>
      <c r="C1068" s="25">
        <v>45931</v>
      </c>
      <c r="D1068" s="24" t="s">
        <v>2666</v>
      </c>
      <c r="E1068" s="26">
        <v>-45534.13</v>
      </c>
      <c r="F1068" s="26">
        <v>260671.83</v>
      </c>
      <c r="G1068" s="26">
        <v>0</v>
      </c>
      <c r="H1068" s="26">
        <v>215137.7</v>
      </c>
      <c r="I1068" s="26">
        <v>0</v>
      </c>
      <c r="J1068" s="26">
        <v>0</v>
      </c>
      <c r="K1068" s="26">
        <v>0</v>
      </c>
      <c r="L1068" s="26">
        <v>139780.87</v>
      </c>
      <c r="M1068" s="26">
        <v>75356.829999999987</v>
      </c>
    </row>
    <row r="1069" spans="1:13">
      <c r="A1069" s="24" t="s">
        <v>27</v>
      </c>
      <c r="B1069" s="24" t="s">
        <v>324</v>
      </c>
      <c r="C1069" s="25">
        <v>45962</v>
      </c>
      <c r="D1069" s="24" t="s">
        <v>2667</v>
      </c>
      <c r="E1069" s="26">
        <v>-45534.13</v>
      </c>
      <c r="F1069" s="26">
        <v>260671.83</v>
      </c>
      <c r="G1069" s="26">
        <v>0</v>
      </c>
      <c r="H1069" s="26">
        <v>215137.7</v>
      </c>
      <c r="I1069" s="26">
        <v>0</v>
      </c>
      <c r="J1069" s="26">
        <v>0</v>
      </c>
      <c r="K1069" s="26">
        <v>0</v>
      </c>
      <c r="L1069" s="26">
        <v>210223.8</v>
      </c>
      <c r="M1069" s="26">
        <v>4913.8999999999942</v>
      </c>
    </row>
    <row r="1070" spans="1:13">
      <c r="A1070" s="24" t="s">
        <v>27</v>
      </c>
      <c r="B1070" s="24" t="s">
        <v>324</v>
      </c>
      <c r="C1070" s="25">
        <v>45992</v>
      </c>
      <c r="D1070" s="24" t="s">
        <v>2668</v>
      </c>
      <c r="E1070" s="26">
        <v>134050.38</v>
      </c>
      <c r="F1070" s="26">
        <v>260671.83</v>
      </c>
      <c r="G1070" s="26">
        <v>0</v>
      </c>
      <c r="H1070" s="26">
        <v>394722.21</v>
      </c>
      <c r="I1070" s="26">
        <v>0</v>
      </c>
      <c r="J1070" s="26">
        <v>0</v>
      </c>
      <c r="K1070" s="26">
        <v>0</v>
      </c>
      <c r="L1070" s="26">
        <v>265010.25</v>
      </c>
      <c r="M1070" s="26">
        <v>129711.96</v>
      </c>
    </row>
    <row r="1071" spans="1:13">
      <c r="A1071" s="24" t="s">
        <v>232</v>
      </c>
      <c r="B1071" s="24" t="s">
        <v>345</v>
      </c>
      <c r="C1071" s="25">
        <v>45658</v>
      </c>
      <c r="D1071" s="24" t="s">
        <v>2657</v>
      </c>
      <c r="E1071" s="26">
        <v>0</v>
      </c>
      <c r="F1071" s="26">
        <v>0</v>
      </c>
      <c r="G1071" s="26">
        <v>0</v>
      </c>
      <c r="H1071" s="26">
        <v>0</v>
      </c>
      <c r="I1071" s="26">
        <v>0</v>
      </c>
      <c r="J1071" s="26">
        <v>0</v>
      </c>
      <c r="K1071" s="26">
        <v>0</v>
      </c>
      <c r="L1071" s="26">
        <v>0</v>
      </c>
      <c r="M1071" s="26">
        <v>0</v>
      </c>
    </row>
    <row r="1072" spans="1:13">
      <c r="A1072" s="24" t="s">
        <v>232</v>
      </c>
      <c r="B1072" s="24" t="s">
        <v>345</v>
      </c>
      <c r="C1072" s="25">
        <v>45689</v>
      </c>
      <c r="D1072" s="24" t="s">
        <v>2658</v>
      </c>
      <c r="E1072" s="26">
        <v>0</v>
      </c>
      <c r="F1072" s="26">
        <v>0</v>
      </c>
      <c r="G1072" s="26">
        <v>0</v>
      </c>
      <c r="H1072" s="26">
        <v>0</v>
      </c>
      <c r="I1072" s="26">
        <v>0</v>
      </c>
      <c r="J1072" s="26">
        <v>0</v>
      </c>
      <c r="K1072" s="26">
        <v>0</v>
      </c>
      <c r="L1072" s="26">
        <v>0</v>
      </c>
      <c r="M1072" s="26">
        <v>0</v>
      </c>
    </row>
    <row r="1073" spans="1:13">
      <c r="A1073" s="24" t="s">
        <v>232</v>
      </c>
      <c r="B1073" s="24" t="s">
        <v>345</v>
      </c>
      <c r="C1073" s="25">
        <v>45717</v>
      </c>
      <c r="D1073" s="24" t="s">
        <v>2659</v>
      </c>
      <c r="E1073" s="26">
        <v>0</v>
      </c>
      <c r="F1073" s="26">
        <v>0</v>
      </c>
      <c r="G1073" s="26">
        <v>0</v>
      </c>
      <c r="H1073" s="26">
        <v>0</v>
      </c>
      <c r="I1073" s="26">
        <v>0</v>
      </c>
      <c r="J1073" s="26">
        <v>0</v>
      </c>
      <c r="K1073" s="26">
        <v>0</v>
      </c>
      <c r="L1073" s="26">
        <v>0</v>
      </c>
      <c r="M1073" s="26">
        <v>0</v>
      </c>
    </row>
    <row r="1074" spans="1:13">
      <c r="A1074" s="24" t="s">
        <v>232</v>
      </c>
      <c r="B1074" s="24" t="s">
        <v>345</v>
      </c>
      <c r="C1074" s="25">
        <v>45748</v>
      </c>
      <c r="D1074" s="24" t="s">
        <v>2660</v>
      </c>
      <c r="E1074" s="26">
        <v>0</v>
      </c>
      <c r="F1074" s="26">
        <v>0</v>
      </c>
      <c r="G1074" s="26">
        <v>0</v>
      </c>
      <c r="H1074" s="26">
        <v>0</v>
      </c>
      <c r="I1074" s="26">
        <v>0</v>
      </c>
      <c r="J1074" s="26">
        <v>0</v>
      </c>
      <c r="K1074" s="26">
        <v>0</v>
      </c>
      <c r="L1074" s="26">
        <v>0</v>
      </c>
      <c r="M1074" s="26">
        <v>0</v>
      </c>
    </row>
    <row r="1075" spans="1:13">
      <c r="A1075" s="24" t="s">
        <v>232</v>
      </c>
      <c r="B1075" s="24" t="s">
        <v>345</v>
      </c>
      <c r="C1075" s="25">
        <v>45778</v>
      </c>
      <c r="D1075" s="24" t="s">
        <v>2661</v>
      </c>
      <c r="E1075" s="26">
        <v>0</v>
      </c>
      <c r="F1075" s="26">
        <v>0</v>
      </c>
      <c r="G1075" s="26">
        <v>0</v>
      </c>
      <c r="H1075" s="26">
        <v>0</v>
      </c>
      <c r="I1075" s="26">
        <v>0</v>
      </c>
      <c r="J1075" s="26">
        <v>0</v>
      </c>
      <c r="K1075" s="26">
        <v>0</v>
      </c>
      <c r="L1075" s="26">
        <v>0</v>
      </c>
      <c r="M1075" s="26">
        <v>0</v>
      </c>
    </row>
    <row r="1076" spans="1:13">
      <c r="A1076" s="24" t="s">
        <v>232</v>
      </c>
      <c r="B1076" s="24" t="s">
        <v>345</v>
      </c>
      <c r="C1076" s="25">
        <v>45809</v>
      </c>
      <c r="D1076" s="24" t="s">
        <v>2662</v>
      </c>
      <c r="E1076" s="26">
        <v>0</v>
      </c>
      <c r="F1076" s="26">
        <v>0</v>
      </c>
      <c r="G1076" s="26">
        <v>0</v>
      </c>
      <c r="H1076" s="26">
        <v>0</v>
      </c>
      <c r="I1076" s="26">
        <v>0</v>
      </c>
      <c r="J1076" s="26">
        <v>0</v>
      </c>
      <c r="K1076" s="26">
        <v>0</v>
      </c>
      <c r="L1076" s="26">
        <v>0</v>
      </c>
      <c r="M1076" s="26">
        <v>0</v>
      </c>
    </row>
    <row r="1077" spans="1:13">
      <c r="A1077" s="24" t="s">
        <v>232</v>
      </c>
      <c r="B1077" s="24" t="s">
        <v>345</v>
      </c>
      <c r="C1077" s="25">
        <v>45839</v>
      </c>
      <c r="D1077" s="24" t="s">
        <v>2663</v>
      </c>
      <c r="E1077" s="26">
        <v>0</v>
      </c>
      <c r="F1077" s="26">
        <v>0</v>
      </c>
      <c r="G1077" s="26">
        <v>18743.73</v>
      </c>
      <c r="H1077" s="26">
        <v>18743.73</v>
      </c>
      <c r="I1077" s="26">
        <v>0</v>
      </c>
      <c r="J1077" s="26">
        <v>0</v>
      </c>
      <c r="K1077" s="26">
        <v>0</v>
      </c>
      <c r="L1077" s="26">
        <v>18743.73</v>
      </c>
      <c r="M1077" s="26">
        <v>0</v>
      </c>
    </row>
    <row r="1078" spans="1:13">
      <c r="A1078" s="24" t="s">
        <v>232</v>
      </c>
      <c r="B1078" s="24" t="s">
        <v>345</v>
      </c>
      <c r="C1078" s="25">
        <v>45870</v>
      </c>
      <c r="D1078" s="24" t="s">
        <v>2664</v>
      </c>
      <c r="E1078" s="26">
        <v>-45706.64</v>
      </c>
      <c r="F1078" s="26">
        <v>0</v>
      </c>
      <c r="G1078" s="26">
        <v>28254.98</v>
      </c>
      <c r="H1078" s="26">
        <v>-17451.66</v>
      </c>
      <c r="I1078" s="26">
        <v>0</v>
      </c>
      <c r="J1078" s="26">
        <v>0</v>
      </c>
      <c r="K1078" s="26">
        <v>0</v>
      </c>
      <c r="L1078" s="26">
        <v>-17451.66</v>
      </c>
      <c r="M1078" s="26">
        <v>0</v>
      </c>
    </row>
    <row r="1079" spans="1:13">
      <c r="A1079" s="24" t="s">
        <v>232</v>
      </c>
      <c r="B1079" s="24" t="s">
        <v>345</v>
      </c>
      <c r="C1079" s="25">
        <v>45901</v>
      </c>
      <c r="D1079" s="24" t="s">
        <v>2665</v>
      </c>
      <c r="E1079" s="26">
        <v>-45706.64</v>
      </c>
      <c r="F1079" s="26">
        <v>0</v>
      </c>
      <c r="G1079" s="26">
        <v>42818.42</v>
      </c>
      <c r="H1079" s="26">
        <v>-2888.2200000000012</v>
      </c>
      <c r="I1079" s="26">
        <v>0</v>
      </c>
      <c r="J1079" s="26">
        <v>0</v>
      </c>
      <c r="K1079" s="26">
        <v>0</v>
      </c>
      <c r="L1079" s="26">
        <v>-2888.2199999999989</v>
      </c>
      <c r="M1079" s="26">
        <v>-1.8189894035458561E-12</v>
      </c>
    </row>
    <row r="1080" spans="1:13">
      <c r="A1080" s="24" t="s">
        <v>232</v>
      </c>
      <c r="B1080" s="24" t="s">
        <v>345</v>
      </c>
      <c r="C1080" s="25">
        <v>45931</v>
      </c>
      <c r="D1080" s="24" t="s">
        <v>2666</v>
      </c>
      <c r="E1080" s="26">
        <v>-2295.599999999999</v>
      </c>
      <c r="F1080" s="26">
        <v>0</v>
      </c>
      <c r="G1080" s="26">
        <v>15365.759999999989</v>
      </c>
      <c r="H1080" s="26">
        <v>13070.16</v>
      </c>
      <c r="I1080" s="26">
        <v>0</v>
      </c>
      <c r="J1080" s="26">
        <v>0</v>
      </c>
      <c r="K1080" s="26">
        <v>0</v>
      </c>
      <c r="L1080" s="26">
        <v>13070.16</v>
      </c>
      <c r="M1080" s="26">
        <v>-3.637978807091713E-12</v>
      </c>
    </row>
    <row r="1081" spans="1:13">
      <c r="A1081" s="24" t="s">
        <v>232</v>
      </c>
      <c r="B1081" s="24" t="s">
        <v>345</v>
      </c>
      <c r="C1081" s="25">
        <v>45962</v>
      </c>
      <c r="D1081" s="24" t="s">
        <v>2667</v>
      </c>
      <c r="E1081" s="26">
        <v>-2295.599999999999</v>
      </c>
      <c r="F1081" s="26">
        <v>0</v>
      </c>
      <c r="G1081" s="26">
        <v>15365.759999999989</v>
      </c>
      <c r="H1081" s="26">
        <v>13070.16</v>
      </c>
      <c r="I1081" s="26">
        <v>0</v>
      </c>
      <c r="J1081" s="26">
        <v>0</v>
      </c>
      <c r="K1081" s="26">
        <v>0</v>
      </c>
      <c r="L1081" s="26">
        <v>13070.16</v>
      </c>
      <c r="M1081" s="26">
        <v>-3.637978807091713E-12</v>
      </c>
    </row>
    <row r="1082" spans="1:13">
      <c r="A1082" s="24" t="s">
        <v>232</v>
      </c>
      <c r="B1082" s="24" t="s">
        <v>345</v>
      </c>
      <c r="C1082" s="25">
        <v>45992</v>
      </c>
      <c r="D1082" s="24" t="s">
        <v>2668</v>
      </c>
      <c r="E1082" s="26">
        <v>-2295.599999999999</v>
      </c>
      <c r="F1082" s="26">
        <v>0</v>
      </c>
      <c r="G1082" s="26">
        <v>38479.729999999989</v>
      </c>
      <c r="H1082" s="26">
        <v>36184.12999999999</v>
      </c>
      <c r="I1082" s="26">
        <v>0</v>
      </c>
      <c r="J1082" s="26">
        <v>0</v>
      </c>
      <c r="K1082" s="26">
        <v>0</v>
      </c>
      <c r="L1082" s="26">
        <v>36184.129999999997</v>
      </c>
      <c r="M1082" s="26">
        <v>-1.455191522836685E-11</v>
      </c>
    </row>
    <row r="1083" spans="1:13">
      <c r="A1083" s="24" t="s">
        <v>101</v>
      </c>
      <c r="B1083" s="24" t="s">
        <v>324</v>
      </c>
      <c r="C1083" s="25">
        <v>45658</v>
      </c>
      <c r="D1083" s="24" t="s">
        <v>2657</v>
      </c>
      <c r="E1083" s="26">
        <v>0</v>
      </c>
      <c r="F1083" s="26">
        <v>0</v>
      </c>
      <c r="G1083" s="26">
        <v>0</v>
      </c>
      <c r="H1083" s="26">
        <v>0</v>
      </c>
      <c r="I1083" s="26">
        <v>0</v>
      </c>
      <c r="J1083" s="26">
        <v>0</v>
      </c>
      <c r="K1083" s="26">
        <v>0</v>
      </c>
      <c r="L1083" s="26">
        <v>0</v>
      </c>
      <c r="M1083" s="26">
        <v>0</v>
      </c>
    </row>
    <row r="1084" spans="1:13">
      <c r="A1084" s="24" t="s">
        <v>101</v>
      </c>
      <c r="B1084" s="24" t="s">
        <v>324</v>
      </c>
      <c r="C1084" s="25">
        <v>45689</v>
      </c>
      <c r="D1084" s="24" t="s">
        <v>2658</v>
      </c>
      <c r="E1084" s="26">
        <v>0</v>
      </c>
      <c r="F1084" s="26">
        <v>0</v>
      </c>
      <c r="G1084" s="26">
        <v>0</v>
      </c>
      <c r="H1084" s="26">
        <v>0</v>
      </c>
      <c r="I1084" s="26">
        <v>0</v>
      </c>
      <c r="J1084" s="26">
        <v>0</v>
      </c>
      <c r="K1084" s="26">
        <v>0</v>
      </c>
      <c r="L1084" s="26">
        <v>0</v>
      </c>
      <c r="M1084" s="26">
        <v>0</v>
      </c>
    </row>
    <row r="1085" spans="1:13">
      <c r="A1085" s="24" t="s">
        <v>101</v>
      </c>
      <c r="B1085" s="24" t="s">
        <v>324</v>
      </c>
      <c r="C1085" s="25">
        <v>45717</v>
      </c>
      <c r="D1085" s="24" t="s">
        <v>2659</v>
      </c>
      <c r="E1085" s="26">
        <v>0</v>
      </c>
      <c r="F1085" s="26">
        <v>0</v>
      </c>
      <c r="G1085" s="26">
        <v>0</v>
      </c>
      <c r="H1085" s="26">
        <v>0</v>
      </c>
      <c r="I1085" s="26">
        <v>0</v>
      </c>
      <c r="J1085" s="26">
        <v>0</v>
      </c>
      <c r="K1085" s="26">
        <v>0</v>
      </c>
      <c r="L1085" s="26">
        <v>0</v>
      </c>
      <c r="M1085" s="26">
        <v>0</v>
      </c>
    </row>
    <row r="1086" spans="1:13">
      <c r="A1086" s="24" t="s">
        <v>101</v>
      </c>
      <c r="B1086" s="24" t="s">
        <v>324</v>
      </c>
      <c r="C1086" s="25">
        <v>45748</v>
      </c>
      <c r="D1086" s="24" t="s">
        <v>2660</v>
      </c>
      <c r="E1086" s="26">
        <v>0</v>
      </c>
      <c r="F1086" s="26">
        <v>0</v>
      </c>
      <c r="G1086" s="26">
        <v>0</v>
      </c>
      <c r="H1086" s="26">
        <v>0</v>
      </c>
      <c r="I1086" s="26">
        <v>0</v>
      </c>
      <c r="J1086" s="26">
        <v>0</v>
      </c>
      <c r="K1086" s="26">
        <v>0</v>
      </c>
      <c r="L1086" s="26">
        <v>0</v>
      </c>
      <c r="M1086" s="26">
        <v>0</v>
      </c>
    </row>
    <row r="1087" spans="1:13">
      <c r="A1087" s="24" t="s">
        <v>101</v>
      </c>
      <c r="B1087" s="24" t="s">
        <v>324</v>
      </c>
      <c r="C1087" s="25">
        <v>45778</v>
      </c>
      <c r="D1087" s="24" t="s">
        <v>2661</v>
      </c>
      <c r="E1087" s="26">
        <v>0</v>
      </c>
      <c r="F1087" s="26">
        <v>0</v>
      </c>
      <c r="G1087" s="26">
        <v>0</v>
      </c>
      <c r="H1087" s="26">
        <v>0</v>
      </c>
      <c r="I1087" s="26">
        <v>0</v>
      </c>
      <c r="J1087" s="26">
        <v>0</v>
      </c>
      <c r="K1087" s="26">
        <v>0</v>
      </c>
      <c r="L1087" s="26">
        <v>0</v>
      </c>
      <c r="M1087" s="26">
        <v>0</v>
      </c>
    </row>
    <row r="1088" spans="1:13">
      <c r="A1088" s="24" t="s">
        <v>101</v>
      </c>
      <c r="B1088" s="24" t="s">
        <v>324</v>
      </c>
      <c r="C1088" s="25">
        <v>45809</v>
      </c>
      <c r="D1088" s="24" t="s">
        <v>2662</v>
      </c>
      <c r="E1088" s="26">
        <v>0</v>
      </c>
      <c r="F1088" s="26">
        <v>0</v>
      </c>
      <c r="G1088" s="26">
        <v>0</v>
      </c>
      <c r="H1088" s="26">
        <v>0</v>
      </c>
      <c r="I1088" s="26">
        <v>0</v>
      </c>
      <c r="J1088" s="26">
        <v>0</v>
      </c>
      <c r="K1088" s="26">
        <v>0</v>
      </c>
      <c r="L1088" s="26">
        <v>0</v>
      </c>
      <c r="M1088" s="26">
        <v>0</v>
      </c>
    </row>
    <row r="1089" spans="1:13">
      <c r="A1089" s="24" t="s">
        <v>101</v>
      </c>
      <c r="B1089" s="24" t="s">
        <v>324</v>
      </c>
      <c r="C1089" s="25">
        <v>45839</v>
      </c>
      <c r="D1089" s="24" t="s">
        <v>2663</v>
      </c>
      <c r="E1089" s="26">
        <v>0</v>
      </c>
      <c r="F1089" s="26">
        <v>0</v>
      </c>
      <c r="G1089" s="26">
        <v>20177.82</v>
      </c>
      <c r="H1089" s="26">
        <v>20177.82</v>
      </c>
      <c r="I1089" s="26">
        <v>0</v>
      </c>
      <c r="J1089" s="26">
        <v>0</v>
      </c>
      <c r="K1089" s="26">
        <v>0</v>
      </c>
      <c r="L1089" s="26">
        <v>20177.82</v>
      </c>
      <c r="M1089" s="26">
        <v>0</v>
      </c>
    </row>
    <row r="1090" spans="1:13">
      <c r="A1090" s="24" t="s">
        <v>101</v>
      </c>
      <c r="B1090" s="24" t="s">
        <v>324</v>
      </c>
      <c r="C1090" s="25">
        <v>45870</v>
      </c>
      <c r="D1090" s="24" t="s">
        <v>2664</v>
      </c>
      <c r="E1090" s="26">
        <v>0</v>
      </c>
      <c r="F1090" s="26">
        <v>0</v>
      </c>
      <c r="G1090" s="26">
        <v>20177.82</v>
      </c>
      <c r="H1090" s="26">
        <v>20177.82</v>
      </c>
      <c r="I1090" s="26">
        <v>0</v>
      </c>
      <c r="J1090" s="26">
        <v>0</v>
      </c>
      <c r="K1090" s="26">
        <v>0</v>
      </c>
      <c r="L1090" s="26">
        <v>20177.82</v>
      </c>
      <c r="M1090" s="26">
        <v>0</v>
      </c>
    </row>
    <row r="1091" spans="1:13">
      <c r="A1091" s="24" t="s">
        <v>101</v>
      </c>
      <c r="B1091" s="24" t="s">
        <v>324</v>
      </c>
      <c r="C1091" s="25">
        <v>45901</v>
      </c>
      <c r="D1091" s="24" t="s">
        <v>2665</v>
      </c>
      <c r="E1091" s="26">
        <v>0</v>
      </c>
      <c r="F1091" s="26">
        <v>0</v>
      </c>
      <c r="G1091" s="26">
        <v>20177.82</v>
      </c>
      <c r="H1091" s="26">
        <v>20177.82</v>
      </c>
      <c r="I1091" s="26">
        <v>0</v>
      </c>
      <c r="J1091" s="26">
        <v>0</v>
      </c>
      <c r="K1091" s="26">
        <v>0</v>
      </c>
      <c r="L1091" s="26">
        <v>20177.82</v>
      </c>
      <c r="M1091" s="26">
        <v>0</v>
      </c>
    </row>
    <row r="1092" spans="1:13">
      <c r="A1092" s="24" t="s">
        <v>101</v>
      </c>
      <c r="B1092" s="24" t="s">
        <v>324</v>
      </c>
      <c r="C1092" s="25">
        <v>45931</v>
      </c>
      <c r="D1092" s="24" t="s">
        <v>2666</v>
      </c>
      <c r="E1092" s="26">
        <v>0</v>
      </c>
      <c r="F1092" s="26">
        <v>0</v>
      </c>
      <c r="G1092" s="26">
        <v>41086.870000000003</v>
      </c>
      <c r="H1092" s="26">
        <v>41086.870000000003</v>
      </c>
      <c r="I1092" s="26">
        <v>0</v>
      </c>
      <c r="J1092" s="26">
        <v>0</v>
      </c>
      <c r="K1092" s="26">
        <v>0</v>
      </c>
      <c r="L1092" s="26">
        <v>41086.870000000003</v>
      </c>
      <c r="M1092" s="26">
        <v>0</v>
      </c>
    </row>
    <row r="1093" spans="1:13">
      <c r="A1093" s="24" t="s">
        <v>101</v>
      </c>
      <c r="B1093" s="24" t="s">
        <v>324</v>
      </c>
      <c r="C1093" s="25">
        <v>45962</v>
      </c>
      <c r="D1093" s="24" t="s">
        <v>2667</v>
      </c>
      <c r="E1093" s="26">
        <v>0</v>
      </c>
      <c r="F1093" s="26">
        <v>0</v>
      </c>
      <c r="G1093" s="26">
        <v>78942.489999999991</v>
      </c>
      <c r="H1093" s="26">
        <v>78942.489999999991</v>
      </c>
      <c r="I1093" s="26">
        <v>0</v>
      </c>
      <c r="J1093" s="26">
        <v>0</v>
      </c>
      <c r="K1093" s="26">
        <v>0</v>
      </c>
      <c r="L1093" s="26">
        <v>78942.489999999991</v>
      </c>
      <c r="M1093" s="26">
        <v>0</v>
      </c>
    </row>
    <row r="1094" spans="1:13">
      <c r="A1094" s="24" t="s">
        <v>101</v>
      </c>
      <c r="B1094" s="24" t="s">
        <v>324</v>
      </c>
      <c r="C1094" s="25">
        <v>45992</v>
      </c>
      <c r="D1094" s="24" t="s">
        <v>2668</v>
      </c>
      <c r="E1094" s="26">
        <v>0</v>
      </c>
      <c r="F1094" s="26">
        <v>0</v>
      </c>
      <c r="G1094" s="26">
        <v>78942.489999999991</v>
      </c>
      <c r="H1094" s="26">
        <v>78942.489999999991</v>
      </c>
      <c r="I1094" s="26">
        <v>0</v>
      </c>
      <c r="J1094" s="26">
        <v>0</v>
      </c>
      <c r="K1094" s="26">
        <v>0</v>
      </c>
      <c r="L1094" s="26">
        <v>78942.489999999991</v>
      </c>
      <c r="M1094" s="26">
        <v>0</v>
      </c>
    </row>
    <row r="1095" spans="1:13">
      <c r="A1095" s="24" t="s">
        <v>294</v>
      </c>
      <c r="B1095" s="24" t="s">
        <v>324</v>
      </c>
      <c r="C1095" s="25">
        <v>45658</v>
      </c>
      <c r="D1095" s="24" t="s">
        <v>2657</v>
      </c>
      <c r="E1095" s="26">
        <v>0</v>
      </c>
      <c r="F1095" s="26">
        <v>0</v>
      </c>
      <c r="G1095" s="26">
        <v>0</v>
      </c>
      <c r="H1095" s="26">
        <v>0</v>
      </c>
      <c r="I1095" s="26">
        <v>0</v>
      </c>
      <c r="J1095" s="26">
        <v>0</v>
      </c>
      <c r="K1095" s="26">
        <v>0</v>
      </c>
      <c r="L1095" s="26">
        <v>0</v>
      </c>
      <c r="M1095" s="26">
        <v>0</v>
      </c>
    </row>
    <row r="1096" spans="1:13">
      <c r="A1096" s="24" t="s">
        <v>294</v>
      </c>
      <c r="B1096" s="24" t="s">
        <v>324</v>
      </c>
      <c r="C1096" s="25">
        <v>45689</v>
      </c>
      <c r="D1096" s="24" t="s">
        <v>2658</v>
      </c>
      <c r="E1096" s="26">
        <v>0</v>
      </c>
      <c r="F1096" s="26">
        <v>0</v>
      </c>
      <c r="G1096" s="26">
        <v>0</v>
      </c>
      <c r="H1096" s="26">
        <v>0</v>
      </c>
      <c r="I1096" s="26">
        <v>0</v>
      </c>
      <c r="J1096" s="26">
        <v>0</v>
      </c>
      <c r="K1096" s="26">
        <v>0</v>
      </c>
      <c r="L1096" s="26">
        <v>0</v>
      </c>
      <c r="M1096" s="26">
        <v>0</v>
      </c>
    </row>
    <row r="1097" spans="1:13">
      <c r="A1097" s="24" t="s">
        <v>294</v>
      </c>
      <c r="B1097" s="24" t="s">
        <v>324</v>
      </c>
      <c r="C1097" s="25">
        <v>45717</v>
      </c>
      <c r="D1097" s="24" t="s">
        <v>2659</v>
      </c>
      <c r="E1097" s="26">
        <v>0</v>
      </c>
      <c r="F1097" s="26">
        <v>0</v>
      </c>
      <c r="G1097" s="26">
        <v>0</v>
      </c>
      <c r="H1097" s="26">
        <v>0</v>
      </c>
      <c r="I1097" s="26">
        <v>0</v>
      </c>
      <c r="J1097" s="26">
        <v>0</v>
      </c>
      <c r="K1097" s="26">
        <v>0</v>
      </c>
      <c r="L1097" s="26">
        <v>0</v>
      </c>
      <c r="M1097" s="26">
        <v>0</v>
      </c>
    </row>
    <row r="1098" spans="1:13">
      <c r="A1098" s="24" t="s">
        <v>294</v>
      </c>
      <c r="B1098" s="24" t="s">
        <v>324</v>
      </c>
      <c r="C1098" s="25">
        <v>45748</v>
      </c>
      <c r="D1098" s="24" t="s">
        <v>2660</v>
      </c>
      <c r="E1098" s="26">
        <v>0</v>
      </c>
      <c r="F1098" s="26">
        <v>0</v>
      </c>
      <c r="G1098" s="26">
        <v>0</v>
      </c>
      <c r="H1098" s="26">
        <v>0</v>
      </c>
      <c r="I1098" s="26">
        <v>0</v>
      </c>
      <c r="J1098" s="26">
        <v>0</v>
      </c>
      <c r="K1098" s="26">
        <v>0</v>
      </c>
      <c r="L1098" s="26">
        <v>0</v>
      </c>
      <c r="M1098" s="26">
        <v>0</v>
      </c>
    </row>
    <row r="1099" spans="1:13">
      <c r="A1099" s="24" t="s">
        <v>294</v>
      </c>
      <c r="B1099" s="24" t="s">
        <v>324</v>
      </c>
      <c r="C1099" s="25">
        <v>45778</v>
      </c>
      <c r="D1099" s="24" t="s">
        <v>2661</v>
      </c>
      <c r="E1099" s="26">
        <v>0</v>
      </c>
      <c r="F1099" s="26">
        <v>0</v>
      </c>
      <c r="G1099" s="26">
        <v>0</v>
      </c>
      <c r="H1099" s="26">
        <v>0</v>
      </c>
      <c r="I1099" s="26">
        <v>0</v>
      </c>
      <c r="J1099" s="26">
        <v>0</v>
      </c>
      <c r="K1099" s="26">
        <v>0</v>
      </c>
      <c r="L1099" s="26">
        <v>0</v>
      </c>
      <c r="M1099" s="26">
        <v>0</v>
      </c>
    </row>
    <row r="1100" spans="1:13">
      <c r="A1100" s="24" t="s">
        <v>294</v>
      </c>
      <c r="B1100" s="24" t="s">
        <v>324</v>
      </c>
      <c r="C1100" s="25">
        <v>45809</v>
      </c>
      <c r="D1100" s="24" t="s">
        <v>2662</v>
      </c>
      <c r="E1100" s="26">
        <v>0</v>
      </c>
      <c r="F1100" s="26">
        <v>0</v>
      </c>
      <c r="G1100" s="26">
        <v>0</v>
      </c>
      <c r="H1100" s="26">
        <v>0</v>
      </c>
      <c r="I1100" s="26">
        <v>0</v>
      </c>
      <c r="J1100" s="26">
        <v>0</v>
      </c>
      <c r="K1100" s="26">
        <v>0</v>
      </c>
      <c r="L1100" s="26">
        <v>0</v>
      </c>
      <c r="M1100" s="26">
        <v>0</v>
      </c>
    </row>
    <row r="1101" spans="1:13">
      <c r="A1101" s="24" t="s">
        <v>294</v>
      </c>
      <c r="B1101" s="24" t="s">
        <v>324</v>
      </c>
      <c r="C1101" s="25">
        <v>45839</v>
      </c>
      <c r="D1101" s="24" t="s">
        <v>2663</v>
      </c>
      <c r="E1101" s="26">
        <v>0</v>
      </c>
      <c r="F1101" s="26">
        <v>0</v>
      </c>
      <c r="G1101" s="26">
        <v>0</v>
      </c>
      <c r="H1101" s="26">
        <v>0</v>
      </c>
      <c r="I1101" s="26">
        <v>0</v>
      </c>
      <c r="J1101" s="26">
        <v>0</v>
      </c>
      <c r="K1101" s="26">
        <v>0</v>
      </c>
      <c r="L1101" s="26">
        <v>0</v>
      </c>
      <c r="M1101" s="26">
        <v>0</v>
      </c>
    </row>
    <row r="1102" spans="1:13">
      <c r="A1102" s="24" t="s">
        <v>294</v>
      </c>
      <c r="B1102" s="24" t="s">
        <v>324</v>
      </c>
      <c r="C1102" s="25">
        <v>45870</v>
      </c>
      <c r="D1102" s="24" t="s">
        <v>2664</v>
      </c>
      <c r="E1102" s="26">
        <v>0</v>
      </c>
      <c r="F1102" s="26">
        <v>0</v>
      </c>
      <c r="G1102" s="26">
        <v>0</v>
      </c>
      <c r="H1102" s="26">
        <v>0</v>
      </c>
      <c r="I1102" s="26">
        <v>0</v>
      </c>
      <c r="J1102" s="26">
        <v>0</v>
      </c>
      <c r="K1102" s="26">
        <v>0</v>
      </c>
      <c r="L1102" s="26">
        <v>0</v>
      </c>
      <c r="M1102" s="26">
        <v>0</v>
      </c>
    </row>
    <row r="1103" spans="1:13">
      <c r="A1103" s="24" t="s">
        <v>294</v>
      </c>
      <c r="B1103" s="24" t="s">
        <v>324</v>
      </c>
      <c r="C1103" s="25">
        <v>45901</v>
      </c>
      <c r="D1103" s="24" t="s">
        <v>2665</v>
      </c>
      <c r="E1103" s="26">
        <v>0</v>
      </c>
      <c r="F1103" s="26">
        <v>0</v>
      </c>
      <c r="G1103" s="26">
        <v>0</v>
      </c>
      <c r="H1103" s="26">
        <v>0</v>
      </c>
      <c r="I1103" s="26">
        <v>0</v>
      </c>
      <c r="J1103" s="26">
        <v>0</v>
      </c>
      <c r="K1103" s="26">
        <v>0</v>
      </c>
      <c r="L1103" s="26">
        <v>0</v>
      </c>
      <c r="M1103" s="26">
        <v>0</v>
      </c>
    </row>
    <row r="1104" spans="1:13">
      <c r="A1104" s="24" t="s">
        <v>294</v>
      </c>
      <c r="B1104" s="24" t="s">
        <v>324</v>
      </c>
      <c r="C1104" s="25">
        <v>45931</v>
      </c>
      <c r="D1104" s="24" t="s">
        <v>2666</v>
      </c>
      <c r="E1104" s="26">
        <v>0</v>
      </c>
      <c r="F1104" s="26">
        <v>0</v>
      </c>
      <c r="G1104" s="26">
        <v>0</v>
      </c>
      <c r="H1104" s="26">
        <v>0</v>
      </c>
      <c r="I1104" s="26">
        <v>0</v>
      </c>
      <c r="J1104" s="26">
        <v>0</v>
      </c>
      <c r="K1104" s="26">
        <v>0</v>
      </c>
      <c r="L1104" s="26">
        <v>0</v>
      </c>
      <c r="M1104" s="26">
        <v>0</v>
      </c>
    </row>
    <row r="1105" spans="1:13">
      <c r="A1105" s="24" t="s">
        <v>294</v>
      </c>
      <c r="B1105" s="24" t="s">
        <v>324</v>
      </c>
      <c r="C1105" s="25">
        <v>45962</v>
      </c>
      <c r="D1105" s="24" t="s">
        <v>2667</v>
      </c>
      <c r="E1105" s="26">
        <v>0</v>
      </c>
      <c r="F1105" s="26">
        <v>0</v>
      </c>
      <c r="G1105" s="26">
        <v>0</v>
      </c>
      <c r="H1105" s="26">
        <v>0</v>
      </c>
      <c r="I1105" s="26">
        <v>0</v>
      </c>
      <c r="J1105" s="26">
        <v>0</v>
      </c>
      <c r="K1105" s="26">
        <v>0</v>
      </c>
      <c r="L1105" s="26">
        <v>0</v>
      </c>
      <c r="M1105" s="26">
        <v>0</v>
      </c>
    </row>
    <row r="1106" spans="1:13">
      <c r="A1106" s="24" t="s">
        <v>294</v>
      </c>
      <c r="B1106" s="24" t="s">
        <v>324</v>
      </c>
      <c r="C1106" s="25">
        <v>45992</v>
      </c>
      <c r="D1106" s="24" t="s">
        <v>2668</v>
      </c>
      <c r="E1106" s="26">
        <v>59968.69</v>
      </c>
      <c r="F1106" s="26">
        <v>0</v>
      </c>
      <c r="G1106" s="26">
        <v>0</v>
      </c>
      <c r="H1106" s="26">
        <v>59968.69</v>
      </c>
      <c r="I1106" s="26">
        <v>0</v>
      </c>
      <c r="J1106" s="26">
        <v>0</v>
      </c>
      <c r="K1106" s="26">
        <v>0</v>
      </c>
      <c r="L1106" s="26">
        <v>0</v>
      </c>
      <c r="M1106" s="26">
        <v>59968.69</v>
      </c>
    </row>
    <row r="1107" spans="1:13">
      <c r="A1107" s="24" t="s">
        <v>170</v>
      </c>
      <c r="B1107" s="24" t="s">
        <v>345</v>
      </c>
      <c r="C1107" s="25">
        <v>45658</v>
      </c>
      <c r="D1107" s="24" t="s">
        <v>2657</v>
      </c>
      <c r="E1107" s="26">
        <v>0</v>
      </c>
      <c r="F1107" s="26">
        <v>0</v>
      </c>
      <c r="G1107" s="26">
        <v>0</v>
      </c>
      <c r="H1107" s="26">
        <v>0</v>
      </c>
      <c r="I1107" s="26">
        <v>0</v>
      </c>
      <c r="J1107" s="26">
        <v>0</v>
      </c>
      <c r="K1107" s="26">
        <v>0</v>
      </c>
      <c r="L1107" s="26">
        <v>0</v>
      </c>
      <c r="M1107" s="26">
        <v>0</v>
      </c>
    </row>
    <row r="1108" spans="1:13">
      <c r="A1108" s="24" t="s">
        <v>170</v>
      </c>
      <c r="B1108" s="24" t="s">
        <v>345</v>
      </c>
      <c r="C1108" s="25">
        <v>45689</v>
      </c>
      <c r="D1108" s="24" t="s">
        <v>2658</v>
      </c>
      <c r="E1108" s="26">
        <v>0</v>
      </c>
      <c r="F1108" s="26">
        <v>0</v>
      </c>
      <c r="G1108" s="26">
        <v>0</v>
      </c>
      <c r="H1108" s="26">
        <v>0</v>
      </c>
      <c r="I1108" s="26">
        <v>0</v>
      </c>
      <c r="J1108" s="26">
        <v>0</v>
      </c>
      <c r="K1108" s="26">
        <v>0</v>
      </c>
      <c r="L1108" s="26">
        <v>0</v>
      </c>
      <c r="M1108" s="26">
        <v>0</v>
      </c>
    </row>
    <row r="1109" spans="1:13">
      <c r="A1109" s="24" t="s">
        <v>170</v>
      </c>
      <c r="B1109" s="24" t="s">
        <v>345</v>
      </c>
      <c r="C1109" s="25">
        <v>45717</v>
      </c>
      <c r="D1109" s="24" t="s">
        <v>2659</v>
      </c>
      <c r="E1109" s="26">
        <v>0</v>
      </c>
      <c r="F1109" s="26">
        <v>0</v>
      </c>
      <c r="G1109" s="26">
        <v>0</v>
      </c>
      <c r="H1109" s="26">
        <v>0</v>
      </c>
      <c r="I1109" s="26">
        <v>0</v>
      </c>
      <c r="J1109" s="26">
        <v>0</v>
      </c>
      <c r="K1109" s="26">
        <v>0</v>
      </c>
      <c r="L1109" s="26">
        <v>0</v>
      </c>
      <c r="M1109" s="26">
        <v>0</v>
      </c>
    </row>
    <row r="1110" spans="1:13">
      <c r="A1110" s="24" t="s">
        <v>170</v>
      </c>
      <c r="B1110" s="24" t="s">
        <v>345</v>
      </c>
      <c r="C1110" s="25">
        <v>45748</v>
      </c>
      <c r="D1110" s="24" t="s">
        <v>2660</v>
      </c>
      <c r="E1110" s="26">
        <v>0</v>
      </c>
      <c r="F1110" s="26">
        <v>0</v>
      </c>
      <c r="G1110" s="26">
        <v>0</v>
      </c>
      <c r="H1110" s="26">
        <v>0</v>
      </c>
      <c r="I1110" s="26">
        <v>0</v>
      </c>
      <c r="J1110" s="26">
        <v>0</v>
      </c>
      <c r="K1110" s="26">
        <v>0</v>
      </c>
      <c r="L1110" s="26">
        <v>0</v>
      </c>
      <c r="M1110" s="26">
        <v>0</v>
      </c>
    </row>
    <row r="1111" spans="1:13">
      <c r="A1111" s="24" t="s">
        <v>170</v>
      </c>
      <c r="B1111" s="24" t="s">
        <v>345</v>
      </c>
      <c r="C1111" s="25">
        <v>45778</v>
      </c>
      <c r="D1111" s="24" t="s">
        <v>2661</v>
      </c>
      <c r="E1111" s="26">
        <v>0</v>
      </c>
      <c r="F1111" s="26">
        <v>0</v>
      </c>
      <c r="G1111" s="26">
        <v>0</v>
      </c>
      <c r="H1111" s="26">
        <v>0</v>
      </c>
      <c r="I1111" s="26">
        <v>0</v>
      </c>
      <c r="J1111" s="26">
        <v>0</v>
      </c>
      <c r="K1111" s="26">
        <v>0</v>
      </c>
      <c r="L1111" s="26">
        <v>0</v>
      </c>
      <c r="M1111" s="26">
        <v>0</v>
      </c>
    </row>
    <row r="1112" spans="1:13">
      <c r="A1112" s="24" t="s">
        <v>170</v>
      </c>
      <c r="B1112" s="24" t="s">
        <v>345</v>
      </c>
      <c r="C1112" s="25">
        <v>45809</v>
      </c>
      <c r="D1112" s="24" t="s">
        <v>2662</v>
      </c>
      <c r="E1112" s="26">
        <v>0</v>
      </c>
      <c r="F1112" s="26">
        <v>0</v>
      </c>
      <c r="G1112" s="26">
        <v>0</v>
      </c>
      <c r="H1112" s="26">
        <v>0</v>
      </c>
      <c r="I1112" s="26">
        <v>0</v>
      </c>
      <c r="J1112" s="26">
        <v>0</v>
      </c>
      <c r="K1112" s="26">
        <v>0</v>
      </c>
      <c r="L1112" s="26">
        <v>0</v>
      </c>
      <c r="M1112" s="26">
        <v>0</v>
      </c>
    </row>
    <row r="1113" spans="1:13">
      <c r="A1113" s="24" t="s">
        <v>170</v>
      </c>
      <c r="B1113" s="24" t="s">
        <v>345</v>
      </c>
      <c r="C1113" s="25">
        <v>45839</v>
      </c>
      <c r="D1113" s="24" t="s">
        <v>2663</v>
      </c>
      <c r="E1113" s="26">
        <v>-96487.13</v>
      </c>
      <c r="F1113" s="26">
        <v>0</v>
      </c>
      <c r="G1113" s="26">
        <v>67205.42</v>
      </c>
      <c r="H1113" s="26">
        <v>-29281.71000000001</v>
      </c>
      <c r="I1113" s="26">
        <v>96487.13</v>
      </c>
      <c r="J1113" s="26">
        <v>0</v>
      </c>
      <c r="K1113" s="26">
        <v>96487.13</v>
      </c>
      <c r="L1113" s="26">
        <v>-29281.71000000001</v>
      </c>
      <c r="M1113" s="26">
        <v>-96487.13</v>
      </c>
    </row>
    <row r="1114" spans="1:13">
      <c r="A1114" s="24" t="s">
        <v>170</v>
      </c>
      <c r="B1114" s="24" t="s">
        <v>345</v>
      </c>
      <c r="C1114" s="25">
        <v>45870</v>
      </c>
      <c r="D1114" s="24" t="s">
        <v>2664</v>
      </c>
      <c r="E1114" s="26">
        <v>-98306.240000000005</v>
      </c>
      <c r="F1114" s="26">
        <v>0</v>
      </c>
      <c r="G1114" s="26">
        <v>96943.66</v>
      </c>
      <c r="H1114" s="26">
        <v>-1362.580000000002</v>
      </c>
      <c r="I1114" s="26">
        <v>98306.240000000005</v>
      </c>
      <c r="J1114" s="26">
        <v>0</v>
      </c>
      <c r="K1114" s="26">
        <v>98306.240000000005</v>
      </c>
      <c r="L1114" s="26">
        <v>-1362.5800000000049</v>
      </c>
      <c r="M1114" s="26">
        <v>-98306.240000000005</v>
      </c>
    </row>
    <row r="1115" spans="1:13">
      <c r="A1115" s="24" t="s">
        <v>170</v>
      </c>
      <c r="B1115" s="24" t="s">
        <v>345</v>
      </c>
      <c r="C1115" s="25">
        <v>45901</v>
      </c>
      <c r="D1115" s="24" t="s">
        <v>2665</v>
      </c>
      <c r="E1115" s="26">
        <v>-98306.240000000005</v>
      </c>
      <c r="F1115" s="26">
        <v>0</v>
      </c>
      <c r="G1115" s="26">
        <v>149018.70000000001</v>
      </c>
      <c r="H1115" s="26">
        <v>50712.460000000006</v>
      </c>
      <c r="I1115" s="26">
        <v>98306.240000000005</v>
      </c>
      <c r="J1115" s="26">
        <v>0</v>
      </c>
      <c r="K1115" s="26">
        <v>98306.240000000005</v>
      </c>
      <c r="L1115" s="26">
        <v>50712.459999999992</v>
      </c>
      <c r="M1115" s="26">
        <v>-98306.239999999991</v>
      </c>
    </row>
    <row r="1116" spans="1:13">
      <c r="A1116" s="24" t="s">
        <v>170</v>
      </c>
      <c r="B1116" s="24" t="s">
        <v>345</v>
      </c>
      <c r="C1116" s="25">
        <v>45931</v>
      </c>
      <c r="D1116" s="24" t="s">
        <v>2666</v>
      </c>
      <c r="E1116" s="26">
        <v>-98306.240000000005</v>
      </c>
      <c r="F1116" s="26">
        <v>0</v>
      </c>
      <c r="G1116" s="26">
        <v>149018.70000000001</v>
      </c>
      <c r="H1116" s="26">
        <v>50712.460000000006</v>
      </c>
      <c r="I1116" s="26">
        <v>98306.240000000005</v>
      </c>
      <c r="J1116" s="26">
        <v>0</v>
      </c>
      <c r="K1116" s="26">
        <v>98306.240000000005</v>
      </c>
      <c r="L1116" s="26">
        <v>50712.459999999992</v>
      </c>
      <c r="M1116" s="26">
        <v>-98306.239999999991</v>
      </c>
    </row>
    <row r="1117" spans="1:13">
      <c r="A1117" s="24" t="s">
        <v>170</v>
      </c>
      <c r="B1117" s="24" t="s">
        <v>345</v>
      </c>
      <c r="C1117" s="25">
        <v>45962</v>
      </c>
      <c r="D1117" s="24" t="s">
        <v>2667</v>
      </c>
      <c r="E1117" s="26">
        <v>-120156.35</v>
      </c>
      <c r="F1117" s="26">
        <v>0</v>
      </c>
      <c r="G1117" s="26">
        <v>149018.70000000001</v>
      </c>
      <c r="H1117" s="26">
        <v>28862.350000000009</v>
      </c>
      <c r="I1117" s="26">
        <v>120156.35</v>
      </c>
      <c r="J1117" s="26">
        <v>0</v>
      </c>
      <c r="K1117" s="26">
        <v>120156.35</v>
      </c>
      <c r="L1117" s="26">
        <v>28862.349999999991</v>
      </c>
      <c r="M1117" s="26">
        <v>-120156.35</v>
      </c>
    </row>
    <row r="1118" spans="1:13">
      <c r="A1118" s="24" t="s">
        <v>170</v>
      </c>
      <c r="B1118" s="24" t="s">
        <v>345</v>
      </c>
      <c r="C1118" s="25">
        <v>45992</v>
      </c>
      <c r="D1118" s="24" t="s">
        <v>2668</v>
      </c>
      <c r="E1118" s="26">
        <v>-121198.43</v>
      </c>
      <c r="F1118" s="26">
        <v>0</v>
      </c>
      <c r="G1118" s="26">
        <v>149018.70000000001</v>
      </c>
      <c r="H1118" s="26">
        <v>27820.27</v>
      </c>
      <c r="I1118" s="26">
        <v>121198.43</v>
      </c>
      <c r="J1118" s="26">
        <v>0</v>
      </c>
      <c r="K1118" s="26">
        <v>121198.43</v>
      </c>
      <c r="L1118" s="26">
        <v>27820.26999999999</v>
      </c>
      <c r="M1118" s="26">
        <v>-121198.43</v>
      </c>
    </row>
    <row r="1119" spans="1:13">
      <c r="A1119" s="24" t="s">
        <v>298</v>
      </c>
      <c r="B1119" s="24" t="s">
        <v>329</v>
      </c>
      <c r="C1119" s="25">
        <v>45658</v>
      </c>
      <c r="D1119" s="24" t="s">
        <v>2657</v>
      </c>
      <c r="E1119" s="26">
        <v>0</v>
      </c>
      <c r="F1119" s="26">
        <v>0</v>
      </c>
      <c r="G1119" s="26">
        <v>0</v>
      </c>
      <c r="H1119" s="26">
        <v>0</v>
      </c>
      <c r="I1119" s="26">
        <v>0</v>
      </c>
      <c r="J1119" s="26">
        <v>0</v>
      </c>
      <c r="K1119" s="26">
        <v>0</v>
      </c>
      <c r="L1119" s="26">
        <v>0</v>
      </c>
      <c r="M1119" s="26">
        <v>0</v>
      </c>
    </row>
    <row r="1120" spans="1:13">
      <c r="A1120" s="24" t="s">
        <v>298</v>
      </c>
      <c r="B1120" s="24" t="s">
        <v>329</v>
      </c>
      <c r="C1120" s="25">
        <v>45689</v>
      </c>
      <c r="D1120" s="24" t="s">
        <v>2658</v>
      </c>
      <c r="E1120" s="26">
        <v>0</v>
      </c>
      <c r="F1120" s="26">
        <v>0</v>
      </c>
      <c r="G1120" s="26">
        <v>0</v>
      </c>
      <c r="H1120" s="26">
        <v>0</v>
      </c>
      <c r="I1120" s="26">
        <v>0</v>
      </c>
      <c r="J1120" s="26">
        <v>0</v>
      </c>
      <c r="K1120" s="26">
        <v>0</v>
      </c>
      <c r="L1120" s="26">
        <v>0</v>
      </c>
      <c r="M1120" s="26">
        <v>0</v>
      </c>
    </row>
    <row r="1121" spans="1:13">
      <c r="A1121" s="24" t="s">
        <v>298</v>
      </c>
      <c r="B1121" s="24" t="s">
        <v>329</v>
      </c>
      <c r="C1121" s="25">
        <v>45717</v>
      </c>
      <c r="D1121" s="24" t="s">
        <v>2659</v>
      </c>
      <c r="E1121" s="26">
        <v>0</v>
      </c>
      <c r="F1121" s="26">
        <v>0</v>
      </c>
      <c r="G1121" s="26">
        <v>0</v>
      </c>
      <c r="H1121" s="26">
        <v>0</v>
      </c>
      <c r="I1121" s="26">
        <v>0</v>
      </c>
      <c r="J1121" s="26">
        <v>0</v>
      </c>
      <c r="K1121" s="26">
        <v>0</v>
      </c>
      <c r="L1121" s="26">
        <v>0</v>
      </c>
      <c r="M1121" s="26">
        <v>0</v>
      </c>
    </row>
    <row r="1122" spans="1:13">
      <c r="A1122" s="24" t="s">
        <v>298</v>
      </c>
      <c r="B1122" s="24" t="s">
        <v>329</v>
      </c>
      <c r="C1122" s="25">
        <v>45748</v>
      </c>
      <c r="D1122" s="24" t="s">
        <v>2660</v>
      </c>
      <c r="E1122" s="26">
        <v>0</v>
      </c>
      <c r="F1122" s="26">
        <v>0</v>
      </c>
      <c r="G1122" s="26">
        <v>0</v>
      </c>
      <c r="H1122" s="26">
        <v>0</v>
      </c>
      <c r="I1122" s="26">
        <v>0</v>
      </c>
      <c r="J1122" s="26">
        <v>0</v>
      </c>
      <c r="K1122" s="26">
        <v>0</v>
      </c>
      <c r="L1122" s="26">
        <v>0</v>
      </c>
      <c r="M1122" s="26">
        <v>0</v>
      </c>
    </row>
    <row r="1123" spans="1:13">
      <c r="A1123" s="24" t="s">
        <v>298</v>
      </c>
      <c r="B1123" s="24" t="s">
        <v>329</v>
      </c>
      <c r="C1123" s="25">
        <v>45778</v>
      </c>
      <c r="D1123" s="24" t="s">
        <v>2661</v>
      </c>
      <c r="E1123" s="26">
        <v>0</v>
      </c>
      <c r="F1123" s="26">
        <v>0</v>
      </c>
      <c r="G1123" s="26">
        <v>0</v>
      </c>
      <c r="H1123" s="26">
        <v>0</v>
      </c>
      <c r="I1123" s="26">
        <v>0</v>
      </c>
      <c r="J1123" s="26">
        <v>0</v>
      </c>
      <c r="K1123" s="26">
        <v>0</v>
      </c>
      <c r="L1123" s="26">
        <v>0</v>
      </c>
      <c r="M1123" s="26">
        <v>0</v>
      </c>
    </row>
    <row r="1124" spans="1:13">
      <c r="A1124" s="24" t="s">
        <v>298</v>
      </c>
      <c r="B1124" s="24" t="s">
        <v>329</v>
      </c>
      <c r="C1124" s="25">
        <v>45809</v>
      </c>
      <c r="D1124" s="24" t="s">
        <v>2662</v>
      </c>
      <c r="E1124" s="26">
        <v>0</v>
      </c>
      <c r="F1124" s="26">
        <v>0</v>
      </c>
      <c r="G1124" s="26">
        <v>0</v>
      </c>
      <c r="H1124" s="26">
        <v>0</v>
      </c>
      <c r="I1124" s="26">
        <v>0</v>
      </c>
      <c r="J1124" s="26">
        <v>0</v>
      </c>
      <c r="K1124" s="26">
        <v>0</v>
      </c>
      <c r="L1124" s="26">
        <v>0</v>
      </c>
      <c r="M1124" s="26">
        <v>0</v>
      </c>
    </row>
    <row r="1125" spans="1:13">
      <c r="A1125" s="24" t="s">
        <v>298</v>
      </c>
      <c r="B1125" s="24" t="s">
        <v>329</v>
      </c>
      <c r="C1125" s="25">
        <v>45839</v>
      </c>
      <c r="D1125" s="24" t="s">
        <v>2663</v>
      </c>
      <c r="E1125" s="26">
        <v>-64220.959999999999</v>
      </c>
      <c r="F1125" s="26">
        <v>0</v>
      </c>
      <c r="G1125" s="26">
        <v>0</v>
      </c>
      <c r="H1125" s="26">
        <v>-64220.959999999999</v>
      </c>
      <c r="I1125" s="26">
        <v>64220.959999999999</v>
      </c>
      <c r="J1125" s="26">
        <v>0</v>
      </c>
      <c r="K1125" s="26">
        <v>64220.959999999999</v>
      </c>
      <c r="L1125" s="26">
        <v>-64220.959999999999</v>
      </c>
      <c r="M1125" s="26">
        <v>-64220.959999999999</v>
      </c>
    </row>
    <row r="1126" spans="1:13">
      <c r="A1126" s="24" t="s">
        <v>298</v>
      </c>
      <c r="B1126" s="24" t="s">
        <v>329</v>
      </c>
      <c r="C1126" s="25">
        <v>45870</v>
      </c>
      <c r="D1126" s="24" t="s">
        <v>2664</v>
      </c>
      <c r="E1126" s="26">
        <v>-27068.01</v>
      </c>
      <c r="F1126" s="26">
        <v>0</v>
      </c>
      <c r="G1126" s="26">
        <v>34621.83</v>
      </c>
      <c r="H1126" s="26">
        <v>7553.82</v>
      </c>
      <c r="I1126" s="26">
        <v>64220.959999999999</v>
      </c>
      <c r="J1126" s="26">
        <v>0</v>
      </c>
      <c r="K1126" s="26">
        <v>64220.959999999999</v>
      </c>
      <c r="L1126" s="26">
        <v>7553.82</v>
      </c>
      <c r="M1126" s="26">
        <v>-64220.959999999999</v>
      </c>
    </row>
    <row r="1127" spans="1:13">
      <c r="A1127" s="24" t="s">
        <v>298</v>
      </c>
      <c r="B1127" s="24" t="s">
        <v>329</v>
      </c>
      <c r="C1127" s="25">
        <v>45901</v>
      </c>
      <c r="D1127" s="24" t="s">
        <v>2665</v>
      </c>
      <c r="E1127" s="26">
        <v>-27068.01</v>
      </c>
      <c r="F1127" s="26">
        <v>0</v>
      </c>
      <c r="G1127" s="26">
        <v>85567.77</v>
      </c>
      <c r="H1127" s="26">
        <v>58499.76</v>
      </c>
      <c r="I1127" s="26">
        <v>64220.959999999999</v>
      </c>
      <c r="J1127" s="26">
        <v>0</v>
      </c>
      <c r="K1127" s="26">
        <v>64220.959999999999</v>
      </c>
      <c r="L1127" s="26">
        <v>58499.76</v>
      </c>
      <c r="M1127" s="26">
        <v>-64220.959999999999</v>
      </c>
    </row>
    <row r="1128" spans="1:13">
      <c r="A1128" s="24" t="s">
        <v>298</v>
      </c>
      <c r="B1128" s="24" t="s">
        <v>329</v>
      </c>
      <c r="C1128" s="25">
        <v>45931</v>
      </c>
      <c r="D1128" s="24" t="s">
        <v>2666</v>
      </c>
      <c r="E1128" s="26">
        <v>-27068.01</v>
      </c>
      <c r="F1128" s="26">
        <v>0</v>
      </c>
      <c r="G1128" s="26">
        <v>135034.48000000001</v>
      </c>
      <c r="H1128" s="26">
        <v>107966.47</v>
      </c>
      <c r="I1128" s="26">
        <v>64220.959999999999</v>
      </c>
      <c r="J1128" s="26">
        <v>0</v>
      </c>
      <c r="K1128" s="26">
        <v>64220.959999999999</v>
      </c>
      <c r="L1128" s="26">
        <v>107966.47</v>
      </c>
      <c r="M1128" s="26">
        <v>-64220.960000000028</v>
      </c>
    </row>
    <row r="1129" spans="1:13">
      <c r="A1129" s="24" t="s">
        <v>298</v>
      </c>
      <c r="B1129" s="24" t="s">
        <v>329</v>
      </c>
      <c r="C1129" s="25">
        <v>45962</v>
      </c>
      <c r="D1129" s="24" t="s">
        <v>2667</v>
      </c>
      <c r="E1129" s="26">
        <v>-27068.01</v>
      </c>
      <c r="F1129" s="26">
        <v>0</v>
      </c>
      <c r="G1129" s="26">
        <v>135034.48000000001</v>
      </c>
      <c r="H1129" s="26">
        <v>107966.47</v>
      </c>
      <c r="I1129" s="26">
        <v>64220.959999999999</v>
      </c>
      <c r="J1129" s="26">
        <v>0</v>
      </c>
      <c r="K1129" s="26">
        <v>64220.959999999999</v>
      </c>
      <c r="L1129" s="26">
        <v>107966.47</v>
      </c>
      <c r="M1129" s="26">
        <v>-64220.960000000028</v>
      </c>
    </row>
    <row r="1130" spans="1:13">
      <c r="A1130" s="24" t="s">
        <v>298</v>
      </c>
      <c r="B1130" s="24" t="s">
        <v>329</v>
      </c>
      <c r="C1130" s="25">
        <v>45992</v>
      </c>
      <c r="D1130" s="24" t="s">
        <v>2668</v>
      </c>
      <c r="E1130" s="26">
        <v>-27068.01</v>
      </c>
      <c r="F1130" s="26">
        <v>0</v>
      </c>
      <c r="G1130" s="26">
        <v>189019.3</v>
      </c>
      <c r="H1130" s="26">
        <v>161951.29</v>
      </c>
      <c r="I1130" s="26">
        <v>64220.959999999999</v>
      </c>
      <c r="J1130" s="26">
        <v>0</v>
      </c>
      <c r="K1130" s="26">
        <v>64220.959999999999</v>
      </c>
      <c r="L1130" s="26">
        <v>161951.29</v>
      </c>
      <c r="M1130" s="26">
        <v>-64220.960000000021</v>
      </c>
    </row>
    <row r="1131" spans="1:13">
      <c r="A1131" s="24" t="s">
        <v>228</v>
      </c>
      <c r="B1131" s="24" t="s">
        <v>337</v>
      </c>
      <c r="C1131" s="25">
        <v>45658</v>
      </c>
      <c r="D1131" s="24" t="s">
        <v>2657</v>
      </c>
      <c r="E1131" s="26">
        <v>0</v>
      </c>
      <c r="F1131" s="26">
        <v>0</v>
      </c>
      <c r="G1131" s="26">
        <v>0</v>
      </c>
      <c r="H1131" s="26">
        <v>0</v>
      </c>
      <c r="I1131" s="26">
        <v>0</v>
      </c>
      <c r="J1131" s="26">
        <v>0</v>
      </c>
      <c r="K1131" s="26">
        <v>0</v>
      </c>
      <c r="L1131" s="26">
        <v>0</v>
      </c>
      <c r="M1131" s="26">
        <v>0</v>
      </c>
    </row>
    <row r="1132" spans="1:13">
      <c r="A1132" s="24" t="s">
        <v>228</v>
      </c>
      <c r="B1132" s="24" t="s">
        <v>337</v>
      </c>
      <c r="C1132" s="25">
        <v>45689</v>
      </c>
      <c r="D1132" s="24" t="s">
        <v>2658</v>
      </c>
      <c r="E1132" s="26">
        <v>0</v>
      </c>
      <c r="F1132" s="26">
        <v>0</v>
      </c>
      <c r="G1132" s="26">
        <v>0</v>
      </c>
      <c r="H1132" s="26">
        <v>0</v>
      </c>
      <c r="I1132" s="26">
        <v>0</v>
      </c>
      <c r="J1132" s="26">
        <v>0</v>
      </c>
      <c r="K1132" s="26">
        <v>0</v>
      </c>
      <c r="L1132" s="26">
        <v>0</v>
      </c>
      <c r="M1132" s="26">
        <v>0</v>
      </c>
    </row>
    <row r="1133" spans="1:13">
      <c r="A1133" s="24" t="s">
        <v>228</v>
      </c>
      <c r="B1133" s="24" t="s">
        <v>337</v>
      </c>
      <c r="C1133" s="25">
        <v>45717</v>
      </c>
      <c r="D1133" s="24" t="s">
        <v>2659</v>
      </c>
      <c r="E1133" s="26">
        <v>0</v>
      </c>
      <c r="F1133" s="26">
        <v>0</v>
      </c>
      <c r="G1133" s="26">
        <v>0</v>
      </c>
      <c r="H1133" s="26">
        <v>0</v>
      </c>
      <c r="I1133" s="26">
        <v>0</v>
      </c>
      <c r="J1133" s="26">
        <v>0</v>
      </c>
      <c r="K1133" s="26">
        <v>0</v>
      </c>
      <c r="L1133" s="26">
        <v>0</v>
      </c>
      <c r="M1133" s="26">
        <v>0</v>
      </c>
    </row>
    <row r="1134" spans="1:13">
      <c r="A1134" s="24" t="s">
        <v>228</v>
      </c>
      <c r="B1134" s="24" t="s">
        <v>337</v>
      </c>
      <c r="C1134" s="25">
        <v>45748</v>
      </c>
      <c r="D1134" s="24" t="s">
        <v>2660</v>
      </c>
      <c r="E1134" s="26">
        <v>0</v>
      </c>
      <c r="F1134" s="26">
        <v>0</v>
      </c>
      <c r="G1134" s="26">
        <v>0</v>
      </c>
      <c r="H1134" s="26">
        <v>0</v>
      </c>
      <c r="I1134" s="26">
        <v>0</v>
      </c>
      <c r="J1134" s="26">
        <v>0</v>
      </c>
      <c r="K1134" s="26">
        <v>0</v>
      </c>
      <c r="L1134" s="26">
        <v>0</v>
      </c>
      <c r="M1134" s="26">
        <v>0</v>
      </c>
    </row>
    <row r="1135" spans="1:13">
      <c r="A1135" s="24" t="s">
        <v>228</v>
      </c>
      <c r="B1135" s="24" t="s">
        <v>337</v>
      </c>
      <c r="C1135" s="25">
        <v>45778</v>
      </c>
      <c r="D1135" s="24" t="s">
        <v>2661</v>
      </c>
      <c r="E1135" s="26">
        <v>0</v>
      </c>
      <c r="F1135" s="26">
        <v>0</v>
      </c>
      <c r="G1135" s="26">
        <v>0</v>
      </c>
      <c r="H1135" s="26">
        <v>0</v>
      </c>
      <c r="I1135" s="26">
        <v>0</v>
      </c>
      <c r="J1135" s="26">
        <v>0</v>
      </c>
      <c r="K1135" s="26">
        <v>0</v>
      </c>
      <c r="L1135" s="26">
        <v>0</v>
      </c>
      <c r="M1135" s="26">
        <v>0</v>
      </c>
    </row>
    <row r="1136" spans="1:13">
      <c r="A1136" s="24" t="s">
        <v>228</v>
      </c>
      <c r="B1136" s="24" t="s">
        <v>337</v>
      </c>
      <c r="C1136" s="25">
        <v>45809</v>
      </c>
      <c r="D1136" s="24" t="s">
        <v>2662</v>
      </c>
      <c r="E1136" s="26">
        <v>0</v>
      </c>
      <c r="F1136" s="26">
        <v>0</v>
      </c>
      <c r="G1136" s="26">
        <v>0</v>
      </c>
      <c r="H1136" s="26">
        <v>0</v>
      </c>
      <c r="I1136" s="26">
        <v>0</v>
      </c>
      <c r="J1136" s="26">
        <v>0</v>
      </c>
      <c r="K1136" s="26">
        <v>0</v>
      </c>
      <c r="L1136" s="26">
        <v>0</v>
      </c>
      <c r="M1136" s="26">
        <v>0</v>
      </c>
    </row>
    <row r="1137" spans="1:13">
      <c r="A1137" s="24" t="s">
        <v>228</v>
      </c>
      <c r="B1137" s="24" t="s">
        <v>337</v>
      </c>
      <c r="C1137" s="25">
        <v>45839</v>
      </c>
      <c r="D1137" s="24" t="s">
        <v>2663</v>
      </c>
      <c r="E1137" s="26">
        <v>0</v>
      </c>
      <c r="F1137" s="26">
        <v>0</v>
      </c>
      <c r="G1137" s="26">
        <v>0</v>
      </c>
      <c r="H1137" s="26">
        <v>0</v>
      </c>
      <c r="I1137" s="26">
        <v>0</v>
      </c>
      <c r="J1137" s="26">
        <v>0</v>
      </c>
      <c r="K1137" s="26">
        <v>0</v>
      </c>
      <c r="L1137" s="26">
        <v>0</v>
      </c>
      <c r="M1137" s="26">
        <v>0</v>
      </c>
    </row>
    <row r="1138" spans="1:13">
      <c r="A1138" s="24" t="s">
        <v>228</v>
      </c>
      <c r="B1138" s="24" t="s">
        <v>337</v>
      </c>
      <c r="C1138" s="25">
        <v>45870</v>
      </c>
      <c r="D1138" s="24" t="s">
        <v>2664</v>
      </c>
      <c r="E1138" s="26">
        <v>0</v>
      </c>
      <c r="F1138" s="26">
        <v>0</v>
      </c>
      <c r="G1138" s="26">
        <v>0</v>
      </c>
      <c r="H1138" s="26">
        <v>0</v>
      </c>
      <c r="I1138" s="26">
        <v>0</v>
      </c>
      <c r="J1138" s="26">
        <v>112008.3</v>
      </c>
      <c r="K1138" s="26">
        <v>112008.3</v>
      </c>
      <c r="L1138" s="26">
        <v>0</v>
      </c>
      <c r="M1138" s="26">
        <v>-112008.3</v>
      </c>
    </row>
    <row r="1139" spans="1:13">
      <c r="A1139" s="24" t="s">
        <v>228</v>
      </c>
      <c r="B1139" s="24" t="s">
        <v>337</v>
      </c>
      <c r="C1139" s="25">
        <v>45901</v>
      </c>
      <c r="D1139" s="24" t="s">
        <v>2665</v>
      </c>
      <c r="E1139" s="26">
        <v>0</v>
      </c>
      <c r="F1139" s="26">
        <v>0</v>
      </c>
      <c r="G1139" s="26">
        <v>0</v>
      </c>
      <c r="H1139" s="26">
        <v>0</v>
      </c>
      <c r="I1139" s="26">
        <v>0</v>
      </c>
      <c r="J1139" s="26">
        <v>434983.6</v>
      </c>
      <c r="K1139" s="26">
        <v>434983.6</v>
      </c>
      <c r="L1139" s="26">
        <v>0</v>
      </c>
      <c r="M1139" s="26">
        <v>-434983.6</v>
      </c>
    </row>
    <row r="1140" spans="1:13">
      <c r="A1140" s="24" t="s">
        <v>228</v>
      </c>
      <c r="B1140" s="24" t="s">
        <v>337</v>
      </c>
      <c r="C1140" s="25">
        <v>45931</v>
      </c>
      <c r="D1140" s="24" t="s">
        <v>2666</v>
      </c>
      <c r="E1140" s="26">
        <v>-121546.3</v>
      </c>
      <c r="F1140" s="26">
        <v>0</v>
      </c>
      <c r="G1140" s="26">
        <v>0</v>
      </c>
      <c r="H1140" s="26">
        <v>-121546.3</v>
      </c>
      <c r="I1140" s="26">
        <v>44263.68</v>
      </c>
      <c r="J1140" s="26">
        <v>434983.6</v>
      </c>
      <c r="K1140" s="26">
        <v>479247.28</v>
      </c>
      <c r="L1140" s="26">
        <v>-121546.3</v>
      </c>
      <c r="M1140" s="26">
        <v>-479247.28</v>
      </c>
    </row>
    <row r="1141" spans="1:13">
      <c r="A1141" s="24" t="s">
        <v>228</v>
      </c>
      <c r="B1141" s="24" t="s">
        <v>337</v>
      </c>
      <c r="C1141" s="25">
        <v>45962</v>
      </c>
      <c r="D1141" s="24" t="s">
        <v>2667</v>
      </c>
      <c r="E1141" s="26">
        <v>-121546.3</v>
      </c>
      <c r="F1141" s="26">
        <v>0</v>
      </c>
      <c r="G1141" s="26">
        <v>0</v>
      </c>
      <c r="H1141" s="26">
        <v>-121546.3</v>
      </c>
      <c r="I1141" s="26">
        <v>44263.68</v>
      </c>
      <c r="J1141" s="26">
        <v>434983.6</v>
      </c>
      <c r="K1141" s="26">
        <v>479247.28</v>
      </c>
      <c r="L1141" s="26">
        <v>-121546.3</v>
      </c>
      <c r="M1141" s="26">
        <v>-479247.28</v>
      </c>
    </row>
    <row r="1142" spans="1:13">
      <c r="A1142" s="24" t="s">
        <v>228</v>
      </c>
      <c r="B1142" s="24" t="s">
        <v>337</v>
      </c>
      <c r="C1142" s="25">
        <v>45992</v>
      </c>
      <c r="D1142" s="24" t="s">
        <v>2668</v>
      </c>
      <c r="E1142" s="26">
        <v>-121546.3</v>
      </c>
      <c r="F1142" s="26">
        <v>235324.98</v>
      </c>
      <c r="G1142" s="26">
        <v>0</v>
      </c>
      <c r="H1142" s="26">
        <v>113778.68</v>
      </c>
      <c r="I1142" s="26">
        <v>44263.68</v>
      </c>
      <c r="J1142" s="26">
        <v>434983.6</v>
      </c>
      <c r="K1142" s="26">
        <v>479247.28</v>
      </c>
      <c r="L1142" s="26">
        <v>-121546.3</v>
      </c>
      <c r="M1142" s="26">
        <v>-243922.3</v>
      </c>
    </row>
    <row r="1143" spans="1:13">
      <c r="A1143" s="24" t="s">
        <v>260</v>
      </c>
      <c r="B1143" s="24" t="s">
        <v>345</v>
      </c>
      <c r="C1143" s="25">
        <v>45658</v>
      </c>
      <c r="D1143" s="24" t="s">
        <v>2657</v>
      </c>
      <c r="E1143" s="26">
        <v>0</v>
      </c>
      <c r="F1143" s="26">
        <v>0</v>
      </c>
      <c r="G1143" s="26">
        <v>0</v>
      </c>
      <c r="H1143" s="26">
        <v>0</v>
      </c>
      <c r="I1143" s="26">
        <v>0</v>
      </c>
      <c r="J1143" s="26">
        <v>0</v>
      </c>
      <c r="K1143" s="26">
        <v>0</v>
      </c>
      <c r="L1143" s="26">
        <v>0</v>
      </c>
      <c r="M1143" s="26">
        <v>0</v>
      </c>
    </row>
    <row r="1144" spans="1:13">
      <c r="A1144" s="24" t="s">
        <v>260</v>
      </c>
      <c r="B1144" s="24" t="s">
        <v>345</v>
      </c>
      <c r="C1144" s="25">
        <v>45689</v>
      </c>
      <c r="D1144" s="24" t="s">
        <v>2658</v>
      </c>
      <c r="E1144" s="26">
        <v>0</v>
      </c>
      <c r="F1144" s="26">
        <v>0</v>
      </c>
      <c r="G1144" s="26">
        <v>0</v>
      </c>
      <c r="H1144" s="26">
        <v>0</v>
      </c>
      <c r="I1144" s="26">
        <v>0</v>
      </c>
      <c r="J1144" s="26">
        <v>0</v>
      </c>
      <c r="K1144" s="26">
        <v>0</v>
      </c>
      <c r="L1144" s="26">
        <v>0</v>
      </c>
      <c r="M1144" s="26">
        <v>0</v>
      </c>
    </row>
    <row r="1145" spans="1:13">
      <c r="A1145" s="24" t="s">
        <v>260</v>
      </c>
      <c r="B1145" s="24" t="s">
        <v>345</v>
      </c>
      <c r="C1145" s="25">
        <v>45717</v>
      </c>
      <c r="D1145" s="24" t="s">
        <v>2659</v>
      </c>
      <c r="E1145" s="26">
        <v>0</v>
      </c>
      <c r="F1145" s="26">
        <v>0</v>
      </c>
      <c r="G1145" s="26">
        <v>0</v>
      </c>
      <c r="H1145" s="26">
        <v>0</v>
      </c>
      <c r="I1145" s="26">
        <v>0</v>
      </c>
      <c r="J1145" s="26">
        <v>0</v>
      </c>
      <c r="K1145" s="26">
        <v>0</v>
      </c>
      <c r="L1145" s="26">
        <v>0</v>
      </c>
      <c r="M1145" s="26">
        <v>0</v>
      </c>
    </row>
    <row r="1146" spans="1:13">
      <c r="A1146" s="24" t="s">
        <v>260</v>
      </c>
      <c r="B1146" s="24" t="s">
        <v>345</v>
      </c>
      <c r="C1146" s="25">
        <v>45748</v>
      </c>
      <c r="D1146" s="24" t="s">
        <v>2660</v>
      </c>
      <c r="E1146" s="26">
        <v>0</v>
      </c>
      <c r="F1146" s="26">
        <v>0</v>
      </c>
      <c r="G1146" s="26">
        <v>0</v>
      </c>
      <c r="H1146" s="26">
        <v>0</v>
      </c>
      <c r="I1146" s="26">
        <v>0</v>
      </c>
      <c r="J1146" s="26">
        <v>0</v>
      </c>
      <c r="K1146" s="26">
        <v>0</v>
      </c>
      <c r="L1146" s="26">
        <v>0</v>
      </c>
      <c r="M1146" s="26">
        <v>0</v>
      </c>
    </row>
    <row r="1147" spans="1:13">
      <c r="A1147" s="24" t="s">
        <v>260</v>
      </c>
      <c r="B1147" s="24" t="s">
        <v>345</v>
      </c>
      <c r="C1147" s="25">
        <v>45778</v>
      </c>
      <c r="D1147" s="24" t="s">
        <v>2661</v>
      </c>
      <c r="E1147" s="26">
        <v>0</v>
      </c>
      <c r="F1147" s="26">
        <v>0</v>
      </c>
      <c r="G1147" s="26">
        <v>0</v>
      </c>
      <c r="H1147" s="26">
        <v>0</v>
      </c>
      <c r="I1147" s="26">
        <v>0</v>
      </c>
      <c r="J1147" s="26">
        <v>0</v>
      </c>
      <c r="K1147" s="26">
        <v>0</v>
      </c>
      <c r="L1147" s="26">
        <v>0</v>
      </c>
      <c r="M1147" s="26">
        <v>0</v>
      </c>
    </row>
    <row r="1148" spans="1:13">
      <c r="A1148" s="24" t="s">
        <v>260</v>
      </c>
      <c r="B1148" s="24" t="s">
        <v>345</v>
      </c>
      <c r="C1148" s="25">
        <v>45809</v>
      </c>
      <c r="D1148" s="24" t="s">
        <v>2662</v>
      </c>
      <c r="E1148" s="26">
        <v>0</v>
      </c>
      <c r="F1148" s="26">
        <v>0</v>
      </c>
      <c r="G1148" s="26">
        <v>0</v>
      </c>
      <c r="H1148" s="26">
        <v>0</v>
      </c>
      <c r="I1148" s="26">
        <v>0</v>
      </c>
      <c r="J1148" s="26">
        <v>0</v>
      </c>
      <c r="K1148" s="26">
        <v>0</v>
      </c>
      <c r="L1148" s="26">
        <v>0</v>
      </c>
      <c r="M1148" s="26">
        <v>0</v>
      </c>
    </row>
    <row r="1149" spans="1:13">
      <c r="A1149" s="24" t="s">
        <v>260</v>
      </c>
      <c r="B1149" s="24" t="s">
        <v>345</v>
      </c>
      <c r="C1149" s="25">
        <v>45839</v>
      </c>
      <c r="D1149" s="24" t="s">
        <v>2663</v>
      </c>
      <c r="E1149" s="26">
        <v>0</v>
      </c>
      <c r="F1149" s="26">
        <v>0</v>
      </c>
      <c r="G1149" s="26">
        <v>41201.160000000003</v>
      </c>
      <c r="H1149" s="26">
        <v>41201.160000000003</v>
      </c>
      <c r="I1149" s="26">
        <v>0</v>
      </c>
      <c r="J1149" s="26">
        <v>0</v>
      </c>
      <c r="K1149" s="26">
        <v>0</v>
      </c>
      <c r="L1149" s="26">
        <v>41201.160000000003</v>
      </c>
      <c r="M1149" s="26">
        <v>0</v>
      </c>
    </row>
    <row r="1150" spans="1:13">
      <c r="A1150" s="24" t="s">
        <v>260</v>
      </c>
      <c r="B1150" s="24" t="s">
        <v>345</v>
      </c>
      <c r="C1150" s="25">
        <v>45870</v>
      </c>
      <c r="D1150" s="24" t="s">
        <v>2664</v>
      </c>
      <c r="E1150" s="26">
        <v>0</v>
      </c>
      <c r="F1150" s="26">
        <v>0</v>
      </c>
      <c r="G1150" s="26">
        <v>41201.160000000003</v>
      </c>
      <c r="H1150" s="26">
        <v>41201.160000000003</v>
      </c>
      <c r="I1150" s="26">
        <v>0</v>
      </c>
      <c r="J1150" s="26">
        <v>315419.46999999997</v>
      </c>
      <c r="K1150" s="26">
        <v>315419.46999999997</v>
      </c>
      <c r="L1150" s="26">
        <v>41201.160000000003</v>
      </c>
      <c r="M1150" s="26">
        <v>-315419.46999999997</v>
      </c>
    </row>
    <row r="1151" spans="1:13">
      <c r="A1151" s="24" t="s">
        <v>260</v>
      </c>
      <c r="B1151" s="24" t="s">
        <v>345</v>
      </c>
      <c r="C1151" s="25">
        <v>45901</v>
      </c>
      <c r="D1151" s="24" t="s">
        <v>2665</v>
      </c>
      <c r="E1151" s="26">
        <v>-37947.96</v>
      </c>
      <c r="F1151" s="26">
        <v>0</v>
      </c>
      <c r="G1151" s="26">
        <v>104489.01</v>
      </c>
      <c r="H1151" s="26">
        <v>66541.050000000017</v>
      </c>
      <c r="I1151" s="26">
        <v>37947.96</v>
      </c>
      <c r="J1151" s="26">
        <v>252131.62</v>
      </c>
      <c r="K1151" s="26">
        <v>290079.58</v>
      </c>
      <c r="L1151" s="26">
        <v>66541.05</v>
      </c>
      <c r="M1151" s="26">
        <v>-290079.58</v>
      </c>
    </row>
    <row r="1152" spans="1:13">
      <c r="A1152" s="24" t="s">
        <v>260</v>
      </c>
      <c r="B1152" s="24" t="s">
        <v>345</v>
      </c>
      <c r="C1152" s="25">
        <v>45931</v>
      </c>
      <c r="D1152" s="24" t="s">
        <v>2666</v>
      </c>
      <c r="E1152" s="26">
        <v>-37947.96</v>
      </c>
      <c r="F1152" s="26">
        <v>0</v>
      </c>
      <c r="G1152" s="26">
        <v>104489.01</v>
      </c>
      <c r="H1152" s="26">
        <v>66541.050000000017</v>
      </c>
      <c r="I1152" s="26">
        <v>37947.96</v>
      </c>
      <c r="J1152" s="26">
        <v>252131.62</v>
      </c>
      <c r="K1152" s="26">
        <v>290079.58</v>
      </c>
      <c r="L1152" s="26">
        <v>66541.05</v>
      </c>
      <c r="M1152" s="26">
        <v>-290079.58</v>
      </c>
    </row>
    <row r="1153" spans="1:13">
      <c r="A1153" s="24" t="s">
        <v>260</v>
      </c>
      <c r="B1153" s="24" t="s">
        <v>345</v>
      </c>
      <c r="C1153" s="25">
        <v>45962</v>
      </c>
      <c r="D1153" s="24" t="s">
        <v>2667</v>
      </c>
      <c r="E1153" s="26">
        <v>-37947.96</v>
      </c>
      <c r="F1153" s="26">
        <v>0</v>
      </c>
      <c r="G1153" s="26">
        <v>71813.789999999994</v>
      </c>
      <c r="H1153" s="26">
        <v>33865.829999999987</v>
      </c>
      <c r="I1153" s="26">
        <v>37947.96</v>
      </c>
      <c r="J1153" s="26">
        <v>217827.32</v>
      </c>
      <c r="K1153" s="26">
        <v>255775.28</v>
      </c>
      <c r="L1153" s="26">
        <v>100845.35</v>
      </c>
      <c r="M1153" s="26">
        <v>-322754.8</v>
      </c>
    </row>
    <row r="1154" spans="1:13">
      <c r="A1154" s="24" t="s">
        <v>260</v>
      </c>
      <c r="B1154" s="24" t="s">
        <v>345</v>
      </c>
      <c r="C1154" s="25">
        <v>45992</v>
      </c>
      <c r="D1154" s="24" t="s">
        <v>2668</v>
      </c>
      <c r="E1154" s="26">
        <v>-116947.76</v>
      </c>
      <c r="F1154" s="26">
        <v>0</v>
      </c>
      <c r="G1154" s="26">
        <v>71813.789999999994</v>
      </c>
      <c r="H1154" s="26">
        <v>-45133.970000000023</v>
      </c>
      <c r="I1154" s="26">
        <v>37947.96</v>
      </c>
      <c r="J1154" s="26">
        <v>217827.32</v>
      </c>
      <c r="K1154" s="26">
        <v>255775.28</v>
      </c>
      <c r="L1154" s="26">
        <v>21845.55</v>
      </c>
      <c r="M1154" s="26">
        <v>-322754.8</v>
      </c>
    </row>
    <row r="1155" spans="1:13">
      <c r="A1155" s="24" t="s">
        <v>124</v>
      </c>
      <c r="B1155" s="24" t="s">
        <v>345</v>
      </c>
      <c r="C1155" s="25">
        <v>45658</v>
      </c>
      <c r="D1155" s="24" t="s">
        <v>2657</v>
      </c>
      <c r="E1155" s="26">
        <v>0</v>
      </c>
      <c r="F1155" s="26">
        <v>0</v>
      </c>
      <c r="G1155" s="26">
        <v>0</v>
      </c>
      <c r="H1155" s="26">
        <v>0</v>
      </c>
      <c r="I1155" s="26">
        <v>0</v>
      </c>
      <c r="J1155" s="26">
        <v>0</v>
      </c>
      <c r="K1155" s="26">
        <v>0</v>
      </c>
      <c r="L1155" s="26">
        <v>0</v>
      </c>
      <c r="M1155" s="26">
        <v>0</v>
      </c>
    </row>
    <row r="1156" spans="1:13">
      <c r="A1156" s="24" t="s">
        <v>124</v>
      </c>
      <c r="B1156" s="24" t="s">
        <v>345</v>
      </c>
      <c r="C1156" s="25">
        <v>45689</v>
      </c>
      <c r="D1156" s="24" t="s">
        <v>2658</v>
      </c>
      <c r="E1156" s="26">
        <v>0</v>
      </c>
      <c r="F1156" s="26">
        <v>0</v>
      </c>
      <c r="G1156" s="26">
        <v>0</v>
      </c>
      <c r="H1156" s="26">
        <v>0</v>
      </c>
      <c r="I1156" s="26">
        <v>0</v>
      </c>
      <c r="J1156" s="26">
        <v>0</v>
      </c>
      <c r="K1156" s="26">
        <v>0</v>
      </c>
      <c r="L1156" s="26">
        <v>0</v>
      </c>
      <c r="M1156" s="26">
        <v>0</v>
      </c>
    </row>
    <row r="1157" spans="1:13">
      <c r="A1157" s="24" t="s">
        <v>124</v>
      </c>
      <c r="B1157" s="24" t="s">
        <v>345</v>
      </c>
      <c r="C1157" s="25">
        <v>45717</v>
      </c>
      <c r="D1157" s="24" t="s">
        <v>2659</v>
      </c>
      <c r="E1157" s="26">
        <v>0</v>
      </c>
      <c r="F1157" s="26">
        <v>0</v>
      </c>
      <c r="G1157" s="26">
        <v>0</v>
      </c>
      <c r="H1157" s="26">
        <v>0</v>
      </c>
      <c r="I1157" s="26">
        <v>0</v>
      </c>
      <c r="J1157" s="26">
        <v>0</v>
      </c>
      <c r="K1157" s="26">
        <v>0</v>
      </c>
      <c r="L1157" s="26">
        <v>0</v>
      </c>
      <c r="M1157" s="26">
        <v>0</v>
      </c>
    </row>
    <row r="1158" spans="1:13">
      <c r="A1158" s="24" t="s">
        <v>124</v>
      </c>
      <c r="B1158" s="24" t="s">
        <v>345</v>
      </c>
      <c r="C1158" s="25">
        <v>45748</v>
      </c>
      <c r="D1158" s="24" t="s">
        <v>2660</v>
      </c>
      <c r="E1158" s="26">
        <v>0</v>
      </c>
      <c r="F1158" s="26">
        <v>0</v>
      </c>
      <c r="G1158" s="26">
        <v>0</v>
      </c>
      <c r="H1158" s="26">
        <v>0</v>
      </c>
      <c r="I1158" s="26">
        <v>0</v>
      </c>
      <c r="J1158" s="26">
        <v>0</v>
      </c>
      <c r="K1158" s="26">
        <v>0</v>
      </c>
      <c r="L1158" s="26">
        <v>0</v>
      </c>
      <c r="M1158" s="26">
        <v>0</v>
      </c>
    </row>
    <row r="1159" spans="1:13">
      <c r="A1159" s="24" t="s">
        <v>124</v>
      </c>
      <c r="B1159" s="24" t="s">
        <v>345</v>
      </c>
      <c r="C1159" s="25">
        <v>45778</v>
      </c>
      <c r="D1159" s="24" t="s">
        <v>2661</v>
      </c>
      <c r="E1159" s="26">
        <v>0</v>
      </c>
      <c r="F1159" s="26">
        <v>0</v>
      </c>
      <c r="G1159" s="26">
        <v>0</v>
      </c>
      <c r="H1159" s="26">
        <v>0</v>
      </c>
      <c r="I1159" s="26">
        <v>0</v>
      </c>
      <c r="J1159" s="26">
        <v>0</v>
      </c>
      <c r="K1159" s="26">
        <v>0</v>
      </c>
      <c r="L1159" s="26">
        <v>0</v>
      </c>
      <c r="M1159" s="26">
        <v>0</v>
      </c>
    </row>
    <row r="1160" spans="1:13">
      <c r="A1160" s="24" t="s">
        <v>124</v>
      </c>
      <c r="B1160" s="24" t="s">
        <v>345</v>
      </c>
      <c r="C1160" s="25">
        <v>45809</v>
      </c>
      <c r="D1160" s="24" t="s">
        <v>2662</v>
      </c>
      <c r="E1160" s="26">
        <v>0</v>
      </c>
      <c r="F1160" s="26">
        <v>0</v>
      </c>
      <c r="G1160" s="26">
        <v>0</v>
      </c>
      <c r="H1160" s="26">
        <v>0</v>
      </c>
      <c r="I1160" s="26">
        <v>0</v>
      </c>
      <c r="J1160" s="26">
        <v>0</v>
      </c>
      <c r="K1160" s="26">
        <v>0</v>
      </c>
      <c r="L1160" s="26">
        <v>0</v>
      </c>
      <c r="M1160" s="26">
        <v>0</v>
      </c>
    </row>
    <row r="1161" spans="1:13">
      <c r="A1161" s="24" t="s">
        <v>124</v>
      </c>
      <c r="B1161" s="24" t="s">
        <v>345</v>
      </c>
      <c r="C1161" s="25">
        <v>45839</v>
      </c>
      <c r="D1161" s="24" t="s">
        <v>2663</v>
      </c>
      <c r="E1161" s="26">
        <v>0</v>
      </c>
      <c r="F1161" s="26">
        <v>0</v>
      </c>
      <c r="G1161" s="26">
        <v>11835.65</v>
      </c>
      <c r="H1161" s="26">
        <v>11835.65</v>
      </c>
      <c r="I1161" s="26">
        <v>0</v>
      </c>
      <c r="J1161" s="26">
        <v>0</v>
      </c>
      <c r="K1161" s="26">
        <v>0</v>
      </c>
      <c r="L1161" s="26">
        <v>11835.65</v>
      </c>
      <c r="M1161" s="26">
        <v>0</v>
      </c>
    </row>
    <row r="1162" spans="1:13">
      <c r="A1162" s="24" t="s">
        <v>124</v>
      </c>
      <c r="B1162" s="24" t="s">
        <v>345</v>
      </c>
      <c r="C1162" s="25">
        <v>45870</v>
      </c>
      <c r="D1162" s="24" t="s">
        <v>2664</v>
      </c>
      <c r="E1162" s="26">
        <v>0</v>
      </c>
      <c r="F1162" s="26">
        <v>0</v>
      </c>
      <c r="G1162" s="26">
        <v>22432.45</v>
      </c>
      <c r="H1162" s="26">
        <v>22432.45</v>
      </c>
      <c r="I1162" s="26">
        <v>0</v>
      </c>
      <c r="J1162" s="26">
        <v>0</v>
      </c>
      <c r="K1162" s="26">
        <v>0</v>
      </c>
      <c r="L1162" s="26">
        <v>22432.45</v>
      </c>
      <c r="M1162" s="26">
        <v>0</v>
      </c>
    </row>
    <row r="1163" spans="1:13">
      <c r="A1163" s="24" t="s">
        <v>124</v>
      </c>
      <c r="B1163" s="24" t="s">
        <v>345</v>
      </c>
      <c r="C1163" s="25">
        <v>45901</v>
      </c>
      <c r="D1163" s="24" t="s">
        <v>2665</v>
      </c>
      <c r="E1163" s="26">
        <v>0</v>
      </c>
      <c r="F1163" s="26">
        <v>0</v>
      </c>
      <c r="G1163" s="26">
        <v>22432.45</v>
      </c>
      <c r="H1163" s="26">
        <v>22432.45</v>
      </c>
      <c r="I1163" s="26">
        <v>0</v>
      </c>
      <c r="J1163" s="26">
        <v>0</v>
      </c>
      <c r="K1163" s="26">
        <v>0</v>
      </c>
      <c r="L1163" s="26">
        <v>22432.45</v>
      </c>
      <c r="M1163" s="26">
        <v>0</v>
      </c>
    </row>
    <row r="1164" spans="1:13">
      <c r="A1164" s="24" t="s">
        <v>124</v>
      </c>
      <c r="B1164" s="24" t="s">
        <v>345</v>
      </c>
      <c r="C1164" s="25">
        <v>45931</v>
      </c>
      <c r="D1164" s="24" t="s">
        <v>2666</v>
      </c>
      <c r="E1164" s="26">
        <v>-15322.64</v>
      </c>
      <c r="F1164" s="26">
        <v>0</v>
      </c>
      <c r="G1164" s="26">
        <v>34395.769999999997</v>
      </c>
      <c r="H1164" s="26">
        <v>19073.13</v>
      </c>
      <c r="I1164" s="26">
        <v>0</v>
      </c>
      <c r="J1164" s="26">
        <v>0</v>
      </c>
      <c r="K1164" s="26">
        <v>0</v>
      </c>
      <c r="L1164" s="26">
        <v>19073.13</v>
      </c>
      <c r="M1164" s="26">
        <v>0</v>
      </c>
    </row>
    <row r="1165" spans="1:13">
      <c r="A1165" s="24" t="s">
        <v>124</v>
      </c>
      <c r="B1165" s="24" t="s">
        <v>345</v>
      </c>
      <c r="C1165" s="25">
        <v>45962</v>
      </c>
      <c r="D1165" s="24" t="s">
        <v>2667</v>
      </c>
      <c r="E1165" s="26">
        <v>-57073.35</v>
      </c>
      <c r="F1165" s="26">
        <v>0</v>
      </c>
      <c r="G1165" s="26">
        <v>34395.769999999997</v>
      </c>
      <c r="H1165" s="26">
        <v>-22677.58</v>
      </c>
      <c r="I1165" s="26">
        <v>0</v>
      </c>
      <c r="J1165" s="26">
        <v>16642.11</v>
      </c>
      <c r="K1165" s="26">
        <v>16642.11</v>
      </c>
      <c r="L1165" s="26">
        <v>-22677.58</v>
      </c>
      <c r="M1165" s="26">
        <v>-16642.11</v>
      </c>
    </row>
    <row r="1166" spans="1:13">
      <c r="A1166" s="24" t="s">
        <v>124</v>
      </c>
      <c r="B1166" s="24" t="s">
        <v>345</v>
      </c>
      <c r="C1166" s="25">
        <v>45992</v>
      </c>
      <c r="D1166" s="24" t="s">
        <v>2668</v>
      </c>
      <c r="E1166" s="26">
        <v>-58725.04</v>
      </c>
      <c r="F1166" s="26">
        <v>9899.93</v>
      </c>
      <c r="G1166" s="26">
        <v>32313.71999999999</v>
      </c>
      <c r="H1166" s="26">
        <v>-16511.39000000001</v>
      </c>
      <c r="I1166" s="26">
        <v>0</v>
      </c>
      <c r="J1166" s="26">
        <v>25097.55</v>
      </c>
      <c r="K1166" s="26">
        <v>25097.55</v>
      </c>
      <c r="L1166" s="26">
        <v>-16511.39</v>
      </c>
      <c r="M1166" s="26">
        <v>-25097.55000000001</v>
      </c>
    </row>
    <row r="1167" spans="1:13">
      <c r="A1167" s="24" t="s">
        <v>96</v>
      </c>
      <c r="B1167" s="24" t="s">
        <v>318</v>
      </c>
      <c r="C1167" s="25">
        <v>45658</v>
      </c>
      <c r="D1167" s="24" t="s">
        <v>2657</v>
      </c>
      <c r="E1167" s="26">
        <v>0</v>
      </c>
      <c r="F1167" s="26">
        <v>0</v>
      </c>
      <c r="G1167" s="26">
        <v>0</v>
      </c>
      <c r="H1167" s="26">
        <v>0</v>
      </c>
      <c r="I1167" s="26">
        <v>0</v>
      </c>
      <c r="J1167" s="26">
        <v>0</v>
      </c>
      <c r="K1167" s="26">
        <v>0</v>
      </c>
      <c r="L1167" s="26">
        <v>0</v>
      </c>
      <c r="M1167" s="26">
        <v>0</v>
      </c>
    </row>
    <row r="1168" spans="1:13">
      <c r="A1168" s="24" t="s">
        <v>96</v>
      </c>
      <c r="B1168" s="24" t="s">
        <v>318</v>
      </c>
      <c r="C1168" s="25">
        <v>45689</v>
      </c>
      <c r="D1168" s="24" t="s">
        <v>2658</v>
      </c>
      <c r="E1168" s="26">
        <v>0</v>
      </c>
      <c r="F1168" s="26">
        <v>0</v>
      </c>
      <c r="G1168" s="26">
        <v>0</v>
      </c>
      <c r="H1168" s="26">
        <v>0</v>
      </c>
      <c r="I1168" s="26">
        <v>0</v>
      </c>
      <c r="J1168" s="26">
        <v>0</v>
      </c>
      <c r="K1168" s="26">
        <v>0</v>
      </c>
      <c r="L1168" s="26">
        <v>0</v>
      </c>
      <c r="M1168" s="26">
        <v>0</v>
      </c>
    </row>
    <row r="1169" spans="1:13">
      <c r="A1169" s="24" t="s">
        <v>96</v>
      </c>
      <c r="B1169" s="24" t="s">
        <v>318</v>
      </c>
      <c r="C1169" s="25">
        <v>45717</v>
      </c>
      <c r="D1169" s="24" t="s">
        <v>2659</v>
      </c>
      <c r="E1169" s="26">
        <v>0</v>
      </c>
      <c r="F1169" s="26">
        <v>0</v>
      </c>
      <c r="G1169" s="26">
        <v>0</v>
      </c>
      <c r="H1169" s="26">
        <v>0</v>
      </c>
      <c r="I1169" s="26">
        <v>0</v>
      </c>
      <c r="J1169" s="26">
        <v>0</v>
      </c>
      <c r="K1169" s="26">
        <v>0</v>
      </c>
      <c r="L1169" s="26">
        <v>0</v>
      </c>
      <c r="M1169" s="26">
        <v>0</v>
      </c>
    </row>
    <row r="1170" spans="1:13">
      <c r="A1170" s="24" t="s">
        <v>96</v>
      </c>
      <c r="B1170" s="24" t="s">
        <v>318</v>
      </c>
      <c r="C1170" s="25">
        <v>45748</v>
      </c>
      <c r="D1170" s="24" t="s">
        <v>2660</v>
      </c>
      <c r="E1170" s="26">
        <v>0</v>
      </c>
      <c r="F1170" s="26">
        <v>0</v>
      </c>
      <c r="G1170" s="26">
        <v>0</v>
      </c>
      <c r="H1170" s="26">
        <v>0</v>
      </c>
      <c r="I1170" s="26">
        <v>0</v>
      </c>
      <c r="J1170" s="26">
        <v>0</v>
      </c>
      <c r="K1170" s="26">
        <v>0</v>
      </c>
      <c r="L1170" s="26">
        <v>0</v>
      </c>
      <c r="M1170" s="26">
        <v>0</v>
      </c>
    </row>
    <row r="1171" spans="1:13">
      <c r="A1171" s="24" t="s">
        <v>96</v>
      </c>
      <c r="B1171" s="24" t="s">
        <v>318</v>
      </c>
      <c r="C1171" s="25">
        <v>45778</v>
      </c>
      <c r="D1171" s="24" t="s">
        <v>2661</v>
      </c>
      <c r="E1171" s="26">
        <v>0</v>
      </c>
      <c r="F1171" s="26">
        <v>0</v>
      </c>
      <c r="G1171" s="26">
        <v>0</v>
      </c>
      <c r="H1171" s="26">
        <v>0</v>
      </c>
      <c r="I1171" s="26">
        <v>0</v>
      </c>
      <c r="J1171" s="26">
        <v>0</v>
      </c>
      <c r="K1171" s="26">
        <v>0</v>
      </c>
      <c r="L1171" s="26">
        <v>0</v>
      </c>
      <c r="M1171" s="26">
        <v>0</v>
      </c>
    </row>
    <row r="1172" spans="1:13">
      <c r="A1172" s="24" t="s">
        <v>96</v>
      </c>
      <c r="B1172" s="24" t="s">
        <v>318</v>
      </c>
      <c r="C1172" s="25">
        <v>45809</v>
      </c>
      <c r="D1172" s="24" t="s">
        <v>2662</v>
      </c>
      <c r="E1172" s="26">
        <v>0</v>
      </c>
      <c r="F1172" s="26">
        <v>0</v>
      </c>
      <c r="G1172" s="26">
        <v>0</v>
      </c>
      <c r="H1172" s="26">
        <v>0</v>
      </c>
      <c r="I1172" s="26">
        <v>0</v>
      </c>
      <c r="J1172" s="26">
        <v>0</v>
      </c>
      <c r="K1172" s="26">
        <v>0</v>
      </c>
      <c r="L1172" s="26">
        <v>0</v>
      </c>
      <c r="M1172" s="26">
        <v>0</v>
      </c>
    </row>
    <row r="1173" spans="1:13">
      <c r="A1173" s="24" t="s">
        <v>96</v>
      </c>
      <c r="B1173" s="24" t="s">
        <v>318</v>
      </c>
      <c r="C1173" s="25">
        <v>45839</v>
      </c>
      <c r="D1173" s="24" t="s">
        <v>2663</v>
      </c>
      <c r="E1173" s="26">
        <v>0</v>
      </c>
      <c r="F1173" s="26">
        <v>0</v>
      </c>
      <c r="G1173" s="26">
        <v>87840.4</v>
      </c>
      <c r="H1173" s="26">
        <v>87840.4</v>
      </c>
      <c r="I1173" s="26">
        <v>0</v>
      </c>
      <c r="J1173" s="26">
        <v>0</v>
      </c>
      <c r="K1173" s="26">
        <v>0</v>
      </c>
      <c r="L1173" s="26">
        <v>87840.4</v>
      </c>
      <c r="M1173" s="26">
        <v>0</v>
      </c>
    </row>
    <row r="1174" spans="1:13">
      <c r="A1174" s="24" t="s">
        <v>96</v>
      </c>
      <c r="B1174" s="24" t="s">
        <v>318</v>
      </c>
      <c r="C1174" s="25">
        <v>45870</v>
      </c>
      <c r="D1174" s="24" t="s">
        <v>2664</v>
      </c>
      <c r="E1174" s="26">
        <v>0</v>
      </c>
      <c r="F1174" s="26">
        <v>0</v>
      </c>
      <c r="G1174" s="26">
        <v>87840.4</v>
      </c>
      <c r="H1174" s="26">
        <v>87840.4</v>
      </c>
      <c r="I1174" s="26">
        <v>0</v>
      </c>
      <c r="J1174" s="26">
        <v>0</v>
      </c>
      <c r="K1174" s="26">
        <v>0</v>
      </c>
      <c r="L1174" s="26">
        <v>87840.4</v>
      </c>
      <c r="M1174" s="26">
        <v>0</v>
      </c>
    </row>
    <row r="1175" spans="1:13">
      <c r="A1175" s="24" t="s">
        <v>96</v>
      </c>
      <c r="B1175" s="24" t="s">
        <v>318</v>
      </c>
      <c r="C1175" s="25">
        <v>45901</v>
      </c>
      <c r="D1175" s="24" t="s">
        <v>2665</v>
      </c>
      <c r="E1175" s="26">
        <v>0</v>
      </c>
      <c r="F1175" s="26">
        <v>0</v>
      </c>
      <c r="G1175" s="26">
        <v>0</v>
      </c>
      <c r="H1175" s="26">
        <v>0</v>
      </c>
      <c r="I1175" s="26">
        <v>0</v>
      </c>
      <c r="J1175" s="26">
        <v>0</v>
      </c>
      <c r="K1175" s="26">
        <v>0</v>
      </c>
      <c r="L1175" s="26">
        <v>87840.4</v>
      </c>
      <c r="M1175" s="26">
        <v>-87840.4</v>
      </c>
    </row>
    <row r="1176" spans="1:13">
      <c r="A1176" s="24" t="s">
        <v>96</v>
      </c>
      <c r="B1176" s="24" t="s">
        <v>318</v>
      </c>
      <c r="C1176" s="25">
        <v>45931</v>
      </c>
      <c r="D1176" s="24" t="s">
        <v>2666</v>
      </c>
      <c r="E1176" s="26">
        <v>-35862.14</v>
      </c>
      <c r="F1176" s="26">
        <v>0</v>
      </c>
      <c r="G1176" s="26">
        <v>0</v>
      </c>
      <c r="H1176" s="26">
        <v>-35862.14</v>
      </c>
      <c r="I1176" s="26">
        <v>0</v>
      </c>
      <c r="J1176" s="26">
        <v>482560.06000000011</v>
      </c>
      <c r="K1176" s="26">
        <v>482560.06000000011</v>
      </c>
      <c r="L1176" s="26">
        <v>145324.39000000001</v>
      </c>
      <c r="M1176" s="26">
        <v>-663746.59000000008</v>
      </c>
    </row>
    <row r="1177" spans="1:13">
      <c r="A1177" s="24" t="s">
        <v>96</v>
      </c>
      <c r="B1177" s="24" t="s">
        <v>318</v>
      </c>
      <c r="C1177" s="25">
        <v>45962</v>
      </c>
      <c r="D1177" s="24" t="s">
        <v>2667</v>
      </c>
      <c r="E1177" s="26">
        <v>-35862.14</v>
      </c>
      <c r="F1177" s="26">
        <v>0</v>
      </c>
      <c r="G1177" s="26">
        <v>34734.52999999997</v>
      </c>
      <c r="H1177" s="26">
        <v>-1127.6100000000299</v>
      </c>
      <c r="I1177" s="26">
        <v>0</v>
      </c>
      <c r="J1177" s="26">
        <v>392046.5500000001</v>
      </c>
      <c r="K1177" s="26">
        <v>392046.5500000001</v>
      </c>
      <c r="L1177" s="26">
        <v>235837.9</v>
      </c>
      <c r="M1177" s="26">
        <v>-629012.06000000017</v>
      </c>
    </row>
    <row r="1178" spans="1:13">
      <c r="A1178" s="24" t="s">
        <v>96</v>
      </c>
      <c r="B1178" s="24" t="s">
        <v>318</v>
      </c>
      <c r="C1178" s="25">
        <v>45992</v>
      </c>
      <c r="D1178" s="24" t="s">
        <v>2668</v>
      </c>
      <c r="E1178" s="26">
        <v>-35862.14</v>
      </c>
      <c r="F1178" s="26">
        <v>0</v>
      </c>
      <c r="G1178" s="26">
        <v>34734.52999999997</v>
      </c>
      <c r="H1178" s="26">
        <v>-1127.6100000000299</v>
      </c>
      <c r="I1178" s="26">
        <v>0</v>
      </c>
      <c r="J1178" s="26">
        <v>392046.5500000001</v>
      </c>
      <c r="K1178" s="26">
        <v>392046.5500000001</v>
      </c>
      <c r="L1178" s="26">
        <v>235837.9</v>
      </c>
      <c r="M1178" s="26">
        <v>-629012.06000000017</v>
      </c>
    </row>
    <row r="1179" spans="1:13">
      <c r="A1179" s="24" t="s">
        <v>269</v>
      </c>
      <c r="B1179" s="24" t="s">
        <v>337</v>
      </c>
      <c r="C1179" s="25">
        <v>45658</v>
      </c>
      <c r="D1179" s="24" t="s">
        <v>2657</v>
      </c>
      <c r="E1179" s="26">
        <v>0</v>
      </c>
      <c r="F1179" s="26">
        <v>0</v>
      </c>
      <c r="G1179" s="26">
        <v>0</v>
      </c>
      <c r="H1179" s="26">
        <v>0</v>
      </c>
      <c r="I1179" s="26">
        <v>0</v>
      </c>
      <c r="J1179" s="26">
        <v>0</v>
      </c>
      <c r="K1179" s="26">
        <v>0</v>
      </c>
      <c r="L1179" s="26">
        <v>0</v>
      </c>
      <c r="M1179" s="26">
        <v>0</v>
      </c>
    </row>
    <row r="1180" spans="1:13">
      <c r="A1180" s="24" t="s">
        <v>269</v>
      </c>
      <c r="B1180" s="24" t="s">
        <v>337</v>
      </c>
      <c r="C1180" s="25">
        <v>45689</v>
      </c>
      <c r="D1180" s="24" t="s">
        <v>2658</v>
      </c>
      <c r="E1180" s="26">
        <v>0</v>
      </c>
      <c r="F1180" s="26">
        <v>0</v>
      </c>
      <c r="G1180" s="26">
        <v>0</v>
      </c>
      <c r="H1180" s="26">
        <v>0</v>
      </c>
      <c r="I1180" s="26">
        <v>0</v>
      </c>
      <c r="J1180" s="26">
        <v>0</v>
      </c>
      <c r="K1180" s="26">
        <v>0</v>
      </c>
      <c r="L1180" s="26">
        <v>0</v>
      </c>
      <c r="M1180" s="26">
        <v>0</v>
      </c>
    </row>
    <row r="1181" spans="1:13">
      <c r="A1181" s="24" t="s">
        <v>269</v>
      </c>
      <c r="B1181" s="24" t="s">
        <v>337</v>
      </c>
      <c r="C1181" s="25">
        <v>45717</v>
      </c>
      <c r="D1181" s="24" t="s">
        <v>2659</v>
      </c>
      <c r="E1181" s="26">
        <v>0</v>
      </c>
      <c r="F1181" s="26">
        <v>0</v>
      </c>
      <c r="G1181" s="26">
        <v>0</v>
      </c>
      <c r="H1181" s="26">
        <v>0</v>
      </c>
      <c r="I1181" s="26">
        <v>0</v>
      </c>
      <c r="J1181" s="26">
        <v>0</v>
      </c>
      <c r="K1181" s="26">
        <v>0</v>
      </c>
      <c r="L1181" s="26">
        <v>0</v>
      </c>
      <c r="M1181" s="26">
        <v>0</v>
      </c>
    </row>
    <row r="1182" spans="1:13">
      <c r="A1182" s="24" t="s">
        <v>269</v>
      </c>
      <c r="B1182" s="24" t="s">
        <v>337</v>
      </c>
      <c r="C1182" s="25">
        <v>45748</v>
      </c>
      <c r="D1182" s="24" t="s">
        <v>2660</v>
      </c>
      <c r="E1182" s="26">
        <v>0</v>
      </c>
      <c r="F1182" s="26">
        <v>0</v>
      </c>
      <c r="G1182" s="26">
        <v>0</v>
      </c>
      <c r="H1182" s="26">
        <v>0</v>
      </c>
      <c r="I1182" s="26">
        <v>0</v>
      </c>
      <c r="J1182" s="26">
        <v>0</v>
      </c>
      <c r="K1182" s="26">
        <v>0</v>
      </c>
      <c r="L1182" s="26">
        <v>0</v>
      </c>
      <c r="M1182" s="26">
        <v>0</v>
      </c>
    </row>
    <row r="1183" spans="1:13">
      <c r="A1183" s="24" t="s">
        <v>269</v>
      </c>
      <c r="B1183" s="24" t="s">
        <v>337</v>
      </c>
      <c r="C1183" s="25">
        <v>45778</v>
      </c>
      <c r="D1183" s="24" t="s">
        <v>2661</v>
      </c>
      <c r="E1183" s="26">
        <v>0</v>
      </c>
      <c r="F1183" s="26">
        <v>0</v>
      </c>
      <c r="G1183" s="26">
        <v>0</v>
      </c>
      <c r="H1183" s="26">
        <v>0</v>
      </c>
      <c r="I1183" s="26">
        <v>0</v>
      </c>
      <c r="J1183" s="26">
        <v>0</v>
      </c>
      <c r="K1183" s="26">
        <v>0</v>
      </c>
      <c r="L1183" s="26">
        <v>0</v>
      </c>
      <c r="M1183" s="26">
        <v>0</v>
      </c>
    </row>
    <row r="1184" spans="1:13">
      <c r="A1184" s="24" t="s">
        <v>269</v>
      </c>
      <c r="B1184" s="24" t="s">
        <v>337</v>
      </c>
      <c r="C1184" s="25">
        <v>45809</v>
      </c>
      <c r="D1184" s="24" t="s">
        <v>2662</v>
      </c>
      <c r="E1184" s="26">
        <v>0</v>
      </c>
      <c r="F1184" s="26">
        <v>0</v>
      </c>
      <c r="G1184" s="26">
        <v>0</v>
      </c>
      <c r="H1184" s="26">
        <v>0</v>
      </c>
      <c r="I1184" s="26">
        <v>0</v>
      </c>
      <c r="J1184" s="26">
        <v>0</v>
      </c>
      <c r="K1184" s="26">
        <v>0</v>
      </c>
      <c r="L1184" s="26">
        <v>0</v>
      </c>
      <c r="M1184" s="26">
        <v>0</v>
      </c>
    </row>
    <row r="1185" spans="1:13">
      <c r="A1185" s="24" t="s">
        <v>269</v>
      </c>
      <c r="B1185" s="24" t="s">
        <v>337</v>
      </c>
      <c r="C1185" s="25">
        <v>45839</v>
      </c>
      <c r="D1185" s="24" t="s">
        <v>2663</v>
      </c>
      <c r="E1185" s="26">
        <v>-65587.070000000007</v>
      </c>
      <c r="F1185" s="26">
        <v>0</v>
      </c>
      <c r="G1185" s="26">
        <v>31900.9</v>
      </c>
      <c r="H1185" s="26">
        <v>-33686.170000000013</v>
      </c>
      <c r="I1185" s="26">
        <v>65587.070000000007</v>
      </c>
      <c r="J1185" s="26">
        <v>0</v>
      </c>
      <c r="K1185" s="26">
        <v>65587.070000000007</v>
      </c>
      <c r="L1185" s="26">
        <v>-33686.170000000013</v>
      </c>
      <c r="M1185" s="26">
        <v>-65587.070000000007</v>
      </c>
    </row>
    <row r="1186" spans="1:13">
      <c r="A1186" s="24" t="s">
        <v>269</v>
      </c>
      <c r="B1186" s="24" t="s">
        <v>337</v>
      </c>
      <c r="C1186" s="25">
        <v>45870</v>
      </c>
      <c r="D1186" s="24" t="s">
        <v>2664</v>
      </c>
      <c r="E1186" s="26">
        <v>-65587.070000000007</v>
      </c>
      <c r="F1186" s="26">
        <v>0</v>
      </c>
      <c r="G1186" s="26">
        <v>67773.09</v>
      </c>
      <c r="H1186" s="26">
        <v>2186.01999999999</v>
      </c>
      <c r="I1186" s="26">
        <v>65587.070000000007</v>
      </c>
      <c r="J1186" s="26">
        <v>368302.4</v>
      </c>
      <c r="K1186" s="26">
        <v>433889.47</v>
      </c>
      <c r="L1186" s="26">
        <v>2186.0199999999968</v>
      </c>
      <c r="M1186" s="26">
        <v>-433889.47000000009</v>
      </c>
    </row>
    <row r="1187" spans="1:13">
      <c r="A1187" s="24" t="s">
        <v>269</v>
      </c>
      <c r="B1187" s="24" t="s">
        <v>337</v>
      </c>
      <c r="C1187" s="25">
        <v>45901</v>
      </c>
      <c r="D1187" s="24" t="s">
        <v>2665</v>
      </c>
      <c r="E1187" s="26">
        <v>-65587.070000000007</v>
      </c>
      <c r="F1187" s="26">
        <v>0</v>
      </c>
      <c r="G1187" s="26">
        <v>67773.09</v>
      </c>
      <c r="H1187" s="26">
        <v>2186.01999999999</v>
      </c>
      <c r="I1187" s="26">
        <v>65587.070000000007</v>
      </c>
      <c r="J1187" s="26">
        <v>368302.4</v>
      </c>
      <c r="K1187" s="26">
        <v>433889.47</v>
      </c>
      <c r="L1187" s="26">
        <v>2186.0199999999968</v>
      </c>
      <c r="M1187" s="26">
        <v>-433889.47000000009</v>
      </c>
    </row>
    <row r="1188" spans="1:13">
      <c r="A1188" s="24" t="s">
        <v>269</v>
      </c>
      <c r="B1188" s="24" t="s">
        <v>337</v>
      </c>
      <c r="C1188" s="25">
        <v>45931</v>
      </c>
      <c r="D1188" s="24" t="s">
        <v>2666</v>
      </c>
      <c r="E1188" s="26">
        <v>-65587.070000000007</v>
      </c>
      <c r="F1188" s="26">
        <v>0</v>
      </c>
      <c r="G1188" s="26">
        <v>98093.049999999988</v>
      </c>
      <c r="H1188" s="26">
        <v>32505.979999999981</v>
      </c>
      <c r="I1188" s="26">
        <v>65587.070000000007</v>
      </c>
      <c r="J1188" s="26">
        <v>337982.44</v>
      </c>
      <c r="K1188" s="26">
        <v>403569.51</v>
      </c>
      <c r="L1188" s="26">
        <v>32505.98</v>
      </c>
      <c r="M1188" s="26">
        <v>-403569.51</v>
      </c>
    </row>
    <row r="1189" spans="1:13">
      <c r="A1189" s="24" t="s">
        <v>269</v>
      </c>
      <c r="B1189" s="24" t="s">
        <v>337</v>
      </c>
      <c r="C1189" s="25">
        <v>45962</v>
      </c>
      <c r="D1189" s="24" t="s">
        <v>2667</v>
      </c>
      <c r="E1189" s="26">
        <v>-65587.070000000007</v>
      </c>
      <c r="F1189" s="26">
        <v>0</v>
      </c>
      <c r="G1189" s="26">
        <v>98093.049999999988</v>
      </c>
      <c r="H1189" s="26">
        <v>32505.979999999981</v>
      </c>
      <c r="I1189" s="26">
        <v>65587.070000000007</v>
      </c>
      <c r="J1189" s="26">
        <v>337982.44</v>
      </c>
      <c r="K1189" s="26">
        <v>403569.51</v>
      </c>
      <c r="L1189" s="26">
        <v>32505.98</v>
      </c>
      <c r="M1189" s="26">
        <v>-403569.51</v>
      </c>
    </row>
    <row r="1190" spans="1:13">
      <c r="A1190" s="24" t="s">
        <v>269</v>
      </c>
      <c r="B1190" s="24" t="s">
        <v>337</v>
      </c>
      <c r="C1190" s="25">
        <v>45992</v>
      </c>
      <c r="D1190" s="24" t="s">
        <v>2668</v>
      </c>
      <c r="E1190" s="26">
        <v>-65587.070000000007</v>
      </c>
      <c r="F1190" s="26">
        <v>0</v>
      </c>
      <c r="G1190" s="26">
        <v>134854.46</v>
      </c>
      <c r="H1190" s="26">
        <v>69267.389999999985</v>
      </c>
      <c r="I1190" s="26">
        <v>65587.070000000007</v>
      </c>
      <c r="J1190" s="26">
        <v>301221.03000000003</v>
      </c>
      <c r="K1190" s="26">
        <v>366808.1</v>
      </c>
      <c r="L1190" s="26">
        <v>69267.39</v>
      </c>
      <c r="M1190" s="26">
        <v>-366808.10000000009</v>
      </c>
    </row>
    <row r="1191" spans="1:13">
      <c r="A1191" s="24" t="s">
        <v>40</v>
      </c>
      <c r="B1191" s="24" t="s">
        <v>329</v>
      </c>
      <c r="C1191" s="25">
        <v>45658</v>
      </c>
      <c r="D1191" s="24" t="s">
        <v>2657</v>
      </c>
      <c r="E1191" s="26">
        <v>0</v>
      </c>
      <c r="F1191" s="26">
        <v>0</v>
      </c>
      <c r="G1191" s="26">
        <v>0</v>
      </c>
      <c r="H1191" s="26">
        <v>0</v>
      </c>
      <c r="I1191" s="26">
        <v>0</v>
      </c>
      <c r="J1191" s="26">
        <v>0</v>
      </c>
      <c r="K1191" s="26">
        <v>0</v>
      </c>
      <c r="L1191" s="26">
        <v>0</v>
      </c>
      <c r="M1191" s="26">
        <v>0</v>
      </c>
    </row>
    <row r="1192" spans="1:13">
      <c r="A1192" s="24" t="s">
        <v>40</v>
      </c>
      <c r="B1192" s="24" t="s">
        <v>329</v>
      </c>
      <c r="C1192" s="25">
        <v>45689</v>
      </c>
      <c r="D1192" s="24" t="s">
        <v>2658</v>
      </c>
      <c r="E1192" s="26">
        <v>0</v>
      </c>
      <c r="F1192" s="26">
        <v>0</v>
      </c>
      <c r="G1192" s="26">
        <v>0</v>
      </c>
      <c r="H1192" s="26">
        <v>0</v>
      </c>
      <c r="I1192" s="26">
        <v>0</v>
      </c>
      <c r="J1192" s="26">
        <v>0</v>
      </c>
      <c r="K1192" s="26">
        <v>0</v>
      </c>
      <c r="L1192" s="26">
        <v>0</v>
      </c>
      <c r="M1192" s="26">
        <v>0</v>
      </c>
    </row>
    <row r="1193" spans="1:13">
      <c r="A1193" s="24" t="s">
        <v>40</v>
      </c>
      <c r="B1193" s="24" t="s">
        <v>329</v>
      </c>
      <c r="C1193" s="25">
        <v>45717</v>
      </c>
      <c r="D1193" s="24" t="s">
        <v>2659</v>
      </c>
      <c r="E1193" s="26">
        <v>0</v>
      </c>
      <c r="F1193" s="26">
        <v>0</v>
      </c>
      <c r="G1193" s="26">
        <v>0</v>
      </c>
      <c r="H1193" s="26">
        <v>0</v>
      </c>
      <c r="I1193" s="26">
        <v>0</v>
      </c>
      <c r="J1193" s="26">
        <v>0</v>
      </c>
      <c r="K1193" s="26">
        <v>0</v>
      </c>
      <c r="L1193" s="26">
        <v>0</v>
      </c>
      <c r="M1193" s="26">
        <v>0</v>
      </c>
    </row>
    <row r="1194" spans="1:13">
      <c r="A1194" s="24" t="s">
        <v>40</v>
      </c>
      <c r="B1194" s="24" t="s">
        <v>329</v>
      </c>
      <c r="C1194" s="25">
        <v>45748</v>
      </c>
      <c r="D1194" s="24" t="s">
        <v>2660</v>
      </c>
      <c r="E1194" s="26">
        <v>0</v>
      </c>
      <c r="F1194" s="26">
        <v>0</v>
      </c>
      <c r="G1194" s="26">
        <v>0</v>
      </c>
      <c r="H1194" s="26">
        <v>0</v>
      </c>
      <c r="I1194" s="26">
        <v>0</v>
      </c>
      <c r="J1194" s="26">
        <v>0</v>
      </c>
      <c r="K1194" s="26">
        <v>0</v>
      </c>
      <c r="L1194" s="26">
        <v>0</v>
      </c>
      <c r="M1194" s="26">
        <v>0</v>
      </c>
    </row>
    <row r="1195" spans="1:13">
      <c r="A1195" s="24" t="s">
        <v>40</v>
      </c>
      <c r="B1195" s="24" t="s">
        <v>329</v>
      </c>
      <c r="C1195" s="25">
        <v>45778</v>
      </c>
      <c r="D1195" s="24" t="s">
        <v>2661</v>
      </c>
      <c r="E1195" s="26">
        <v>0</v>
      </c>
      <c r="F1195" s="26">
        <v>0</v>
      </c>
      <c r="G1195" s="26">
        <v>0</v>
      </c>
      <c r="H1195" s="26">
        <v>0</v>
      </c>
      <c r="I1195" s="26">
        <v>0</v>
      </c>
      <c r="J1195" s="26">
        <v>0</v>
      </c>
      <c r="K1195" s="26">
        <v>0</v>
      </c>
      <c r="L1195" s="26">
        <v>0</v>
      </c>
      <c r="M1195" s="26">
        <v>0</v>
      </c>
    </row>
    <row r="1196" spans="1:13">
      <c r="A1196" s="24" t="s">
        <v>40</v>
      </c>
      <c r="B1196" s="24" t="s">
        <v>329</v>
      </c>
      <c r="C1196" s="25">
        <v>45809</v>
      </c>
      <c r="D1196" s="24" t="s">
        <v>2662</v>
      </c>
      <c r="E1196" s="26">
        <v>0</v>
      </c>
      <c r="F1196" s="26">
        <v>0</v>
      </c>
      <c r="G1196" s="26">
        <v>0</v>
      </c>
      <c r="H1196" s="26">
        <v>0</v>
      </c>
      <c r="I1196" s="26">
        <v>0</v>
      </c>
      <c r="J1196" s="26">
        <v>0</v>
      </c>
      <c r="K1196" s="26">
        <v>0</v>
      </c>
      <c r="L1196" s="26">
        <v>0</v>
      </c>
      <c r="M1196" s="26">
        <v>0</v>
      </c>
    </row>
    <row r="1197" spans="1:13">
      <c r="A1197" s="24" t="s">
        <v>40</v>
      </c>
      <c r="B1197" s="24" t="s">
        <v>329</v>
      </c>
      <c r="C1197" s="25">
        <v>45839</v>
      </c>
      <c r="D1197" s="24" t="s">
        <v>2663</v>
      </c>
      <c r="E1197" s="26">
        <v>0</v>
      </c>
      <c r="F1197" s="26">
        <v>0</v>
      </c>
      <c r="G1197" s="26">
        <v>0</v>
      </c>
      <c r="H1197" s="26">
        <v>0</v>
      </c>
      <c r="I1197" s="26">
        <v>0</v>
      </c>
      <c r="J1197" s="26">
        <v>0</v>
      </c>
      <c r="K1197" s="26">
        <v>0</v>
      </c>
      <c r="L1197" s="26">
        <v>0</v>
      </c>
      <c r="M1197" s="26">
        <v>0</v>
      </c>
    </row>
    <row r="1198" spans="1:13">
      <c r="A1198" s="24" t="s">
        <v>40</v>
      </c>
      <c r="B1198" s="24" t="s">
        <v>329</v>
      </c>
      <c r="C1198" s="25">
        <v>45870</v>
      </c>
      <c r="D1198" s="24" t="s">
        <v>2664</v>
      </c>
      <c r="E1198" s="26">
        <v>-74048.2</v>
      </c>
      <c r="F1198" s="26">
        <v>0</v>
      </c>
      <c r="G1198" s="26">
        <v>0</v>
      </c>
      <c r="H1198" s="26">
        <v>-74048.2</v>
      </c>
      <c r="I1198" s="26">
        <v>0</v>
      </c>
      <c r="J1198" s="26">
        <v>0</v>
      </c>
      <c r="K1198" s="26">
        <v>0</v>
      </c>
      <c r="L1198" s="26">
        <v>-74048.2</v>
      </c>
      <c r="M1198" s="26">
        <v>0</v>
      </c>
    </row>
    <row r="1199" spans="1:13">
      <c r="A1199" s="24" t="s">
        <v>40</v>
      </c>
      <c r="B1199" s="24" t="s">
        <v>329</v>
      </c>
      <c r="C1199" s="25">
        <v>45901</v>
      </c>
      <c r="D1199" s="24" t="s">
        <v>2665</v>
      </c>
      <c r="E1199" s="26">
        <v>-187845.66</v>
      </c>
      <c r="F1199" s="26">
        <v>154922.67000000001</v>
      </c>
      <c r="G1199" s="26">
        <v>0</v>
      </c>
      <c r="H1199" s="26">
        <v>-32922.989999999991</v>
      </c>
      <c r="I1199" s="26">
        <v>0</v>
      </c>
      <c r="J1199" s="26">
        <v>0</v>
      </c>
      <c r="K1199" s="26">
        <v>0</v>
      </c>
      <c r="L1199" s="26">
        <v>-187845.66</v>
      </c>
      <c r="M1199" s="26">
        <v>154922.67000000001</v>
      </c>
    </row>
    <row r="1200" spans="1:13">
      <c r="A1200" s="24" t="s">
        <v>40</v>
      </c>
      <c r="B1200" s="24" t="s">
        <v>329</v>
      </c>
      <c r="C1200" s="25">
        <v>45931</v>
      </c>
      <c r="D1200" s="24" t="s">
        <v>2666</v>
      </c>
      <c r="E1200" s="26">
        <v>-258929.23</v>
      </c>
      <c r="F1200" s="26">
        <v>154922.67000000001</v>
      </c>
      <c r="G1200" s="26">
        <v>0</v>
      </c>
      <c r="H1200" s="26">
        <v>-104006.56</v>
      </c>
      <c r="I1200" s="26">
        <v>0</v>
      </c>
      <c r="J1200" s="26">
        <v>0</v>
      </c>
      <c r="K1200" s="26">
        <v>0</v>
      </c>
      <c r="L1200" s="26">
        <v>-258929.23</v>
      </c>
      <c r="M1200" s="26">
        <v>154922.67000000001</v>
      </c>
    </row>
    <row r="1201" spans="1:13">
      <c r="A1201" s="24" t="s">
        <v>40</v>
      </c>
      <c r="B1201" s="24" t="s">
        <v>329</v>
      </c>
      <c r="C1201" s="25">
        <v>45962</v>
      </c>
      <c r="D1201" s="24" t="s">
        <v>2667</v>
      </c>
      <c r="E1201" s="26">
        <v>-258929.23</v>
      </c>
      <c r="F1201" s="26">
        <v>154922.67000000001</v>
      </c>
      <c r="G1201" s="26">
        <v>0</v>
      </c>
      <c r="H1201" s="26">
        <v>-104006.56</v>
      </c>
      <c r="I1201" s="26">
        <v>0</v>
      </c>
      <c r="J1201" s="26">
        <v>0</v>
      </c>
      <c r="K1201" s="26">
        <v>0</v>
      </c>
      <c r="L1201" s="26">
        <v>-258929.23</v>
      </c>
      <c r="M1201" s="26">
        <v>154922.67000000001</v>
      </c>
    </row>
    <row r="1202" spans="1:13">
      <c r="A1202" s="24" t="s">
        <v>40</v>
      </c>
      <c r="B1202" s="24" t="s">
        <v>329</v>
      </c>
      <c r="C1202" s="25">
        <v>45992</v>
      </c>
      <c r="D1202" s="24" t="s">
        <v>2668</v>
      </c>
      <c r="E1202" s="26">
        <v>-258929.23</v>
      </c>
      <c r="F1202" s="26">
        <v>154922.67000000001</v>
      </c>
      <c r="G1202" s="26">
        <v>0</v>
      </c>
      <c r="H1202" s="26">
        <v>-104006.56</v>
      </c>
      <c r="I1202" s="26">
        <v>0</v>
      </c>
      <c r="J1202" s="26">
        <v>807544.05</v>
      </c>
      <c r="K1202" s="26">
        <v>807544.05</v>
      </c>
      <c r="L1202" s="26">
        <v>-258929.23</v>
      </c>
      <c r="M1202" s="26">
        <v>-652621.38000000012</v>
      </c>
    </row>
    <row r="1203" spans="1:13">
      <c r="A1203" s="24" t="s">
        <v>127</v>
      </c>
      <c r="B1203" s="24" t="s">
        <v>329</v>
      </c>
      <c r="C1203" s="25">
        <v>45658</v>
      </c>
      <c r="D1203" s="24" t="s">
        <v>2657</v>
      </c>
      <c r="E1203" s="26">
        <v>0</v>
      </c>
      <c r="F1203" s="26">
        <v>0</v>
      </c>
      <c r="G1203" s="26">
        <v>0</v>
      </c>
      <c r="H1203" s="26">
        <v>0</v>
      </c>
      <c r="I1203" s="26">
        <v>0</v>
      </c>
      <c r="J1203" s="26">
        <v>0</v>
      </c>
      <c r="K1203" s="26">
        <v>0</v>
      </c>
      <c r="L1203" s="26">
        <v>0</v>
      </c>
      <c r="M1203" s="26">
        <v>0</v>
      </c>
    </row>
    <row r="1204" spans="1:13">
      <c r="A1204" s="24" t="s">
        <v>127</v>
      </c>
      <c r="B1204" s="24" t="s">
        <v>329</v>
      </c>
      <c r="C1204" s="25">
        <v>45689</v>
      </c>
      <c r="D1204" s="24" t="s">
        <v>2658</v>
      </c>
      <c r="E1204" s="26">
        <v>0</v>
      </c>
      <c r="F1204" s="26">
        <v>0</v>
      </c>
      <c r="G1204" s="26">
        <v>0</v>
      </c>
      <c r="H1204" s="26">
        <v>0</v>
      </c>
      <c r="I1204" s="26">
        <v>0</v>
      </c>
      <c r="J1204" s="26">
        <v>0</v>
      </c>
      <c r="K1204" s="26">
        <v>0</v>
      </c>
      <c r="L1204" s="26">
        <v>0</v>
      </c>
      <c r="M1204" s="26">
        <v>0</v>
      </c>
    </row>
    <row r="1205" spans="1:13">
      <c r="A1205" s="24" t="s">
        <v>127</v>
      </c>
      <c r="B1205" s="24" t="s">
        <v>329</v>
      </c>
      <c r="C1205" s="25">
        <v>45717</v>
      </c>
      <c r="D1205" s="24" t="s">
        <v>2659</v>
      </c>
      <c r="E1205" s="26">
        <v>0</v>
      </c>
      <c r="F1205" s="26">
        <v>0</v>
      </c>
      <c r="G1205" s="26">
        <v>0</v>
      </c>
      <c r="H1205" s="26">
        <v>0</v>
      </c>
      <c r="I1205" s="26">
        <v>0</v>
      </c>
      <c r="J1205" s="26">
        <v>0</v>
      </c>
      <c r="K1205" s="26">
        <v>0</v>
      </c>
      <c r="L1205" s="26">
        <v>0</v>
      </c>
      <c r="M1205" s="26">
        <v>0</v>
      </c>
    </row>
    <row r="1206" spans="1:13">
      <c r="A1206" s="24" t="s">
        <v>127</v>
      </c>
      <c r="B1206" s="24" t="s">
        <v>329</v>
      </c>
      <c r="C1206" s="25">
        <v>45748</v>
      </c>
      <c r="D1206" s="24" t="s">
        <v>2660</v>
      </c>
      <c r="E1206" s="26">
        <v>0</v>
      </c>
      <c r="F1206" s="26">
        <v>0</v>
      </c>
      <c r="G1206" s="26">
        <v>0</v>
      </c>
      <c r="H1206" s="26">
        <v>0</v>
      </c>
      <c r="I1206" s="26">
        <v>0</v>
      </c>
      <c r="J1206" s="26">
        <v>0</v>
      </c>
      <c r="K1206" s="26">
        <v>0</v>
      </c>
      <c r="L1206" s="26">
        <v>0</v>
      </c>
      <c r="M1206" s="26">
        <v>0</v>
      </c>
    </row>
    <row r="1207" spans="1:13">
      <c r="A1207" s="24" t="s">
        <v>127</v>
      </c>
      <c r="B1207" s="24" t="s">
        <v>329</v>
      </c>
      <c r="C1207" s="25">
        <v>45778</v>
      </c>
      <c r="D1207" s="24" t="s">
        <v>2661</v>
      </c>
      <c r="E1207" s="26">
        <v>0</v>
      </c>
      <c r="F1207" s="26">
        <v>0</v>
      </c>
      <c r="G1207" s="26">
        <v>0</v>
      </c>
      <c r="H1207" s="26">
        <v>0</v>
      </c>
      <c r="I1207" s="26">
        <v>0</v>
      </c>
      <c r="J1207" s="26">
        <v>0</v>
      </c>
      <c r="K1207" s="26">
        <v>0</v>
      </c>
      <c r="L1207" s="26">
        <v>0</v>
      </c>
      <c r="M1207" s="26">
        <v>0</v>
      </c>
    </row>
    <row r="1208" spans="1:13">
      <c r="A1208" s="24" t="s">
        <v>127</v>
      </c>
      <c r="B1208" s="24" t="s">
        <v>329</v>
      </c>
      <c r="C1208" s="25">
        <v>45809</v>
      </c>
      <c r="D1208" s="24" t="s">
        <v>2662</v>
      </c>
      <c r="E1208" s="26">
        <v>0</v>
      </c>
      <c r="F1208" s="26">
        <v>0</v>
      </c>
      <c r="G1208" s="26">
        <v>0</v>
      </c>
      <c r="H1208" s="26">
        <v>0</v>
      </c>
      <c r="I1208" s="26">
        <v>0</v>
      </c>
      <c r="J1208" s="26">
        <v>0</v>
      </c>
      <c r="K1208" s="26">
        <v>0</v>
      </c>
      <c r="L1208" s="26">
        <v>0</v>
      </c>
      <c r="M1208" s="26">
        <v>0</v>
      </c>
    </row>
    <row r="1209" spans="1:13">
      <c r="A1209" s="24" t="s">
        <v>127</v>
      </c>
      <c r="B1209" s="24" t="s">
        <v>329</v>
      </c>
      <c r="C1209" s="25">
        <v>45839</v>
      </c>
      <c r="D1209" s="24" t="s">
        <v>2663</v>
      </c>
      <c r="E1209" s="26">
        <v>0</v>
      </c>
      <c r="F1209" s="26">
        <v>0</v>
      </c>
      <c r="G1209" s="26">
        <v>22849</v>
      </c>
      <c r="H1209" s="26">
        <v>22849</v>
      </c>
      <c r="I1209" s="26">
        <v>0</v>
      </c>
      <c r="J1209" s="26">
        <v>0</v>
      </c>
      <c r="K1209" s="26">
        <v>0</v>
      </c>
      <c r="L1209" s="26">
        <v>22849</v>
      </c>
      <c r="M1209" s="26">
        <v>0</v>
      </c>
    </row>
    <row r="1210" spans="1:13">
      <c r="A1210" s="24" t="s">
        <v>127</v>
      </c>
      <c r="B1210" s="24" t="s">
        <v>329</v>
      </c>
      <c r="C1210" s="25">
        <v>45870</v>
      </c>
      <c r="D1210" s="24" t="s">
        <v>2664</v>
      </c>
      <c r="E1210" s="26">
        <v>0</v>
      </c>
      <c r="F1210" s="26">
        <v>0</v>
      </c>
      <c r="G1210" s="26">
        <v>50323.1</v>
      </c>
      <c r="H1210" s="26">
        <v>50323.1</v>
      </c>
      <c r="I1210" s="26">
        <v>0</v>
      </c>
      <c r="J1210" s="26">
        <v>242361.43</v>
      </c>
      <c r="K1210" s="26">
        <v>242361.43</v>
      </c>
      <c r="L1210" s="26">
        <v>50323.1</v>
      </c>
      <c r="M1210" s="26">
        <v>-242361.43</v>
      </c>
    </row>
    <row r="1211" spans="1:13">
      <c r="A1211" s="24" t="s">
        <v>127</v>
      </c>
      <c r="B1211" s="24" t="s">
        <v>329</v>
      </c>
      <c r="C1211" s="25">
        <v>45901</v>
      </c>
      <c r="D1211" s="24" t="s">
        <v>2665</v>
      </c>
      <c r="E1211" s="26">
        <v>0</v>
      </c>
      <c r="F1211" s="26">
        <v>0</v>
      </c>
      <c r="G1211" s="26">
        <v>50323.1</v>
      </c>
      <c r="H1211" s="26">
        <v>50323.1</v>
      </c>
      <c r="I1211" s="26">
        <v>0</v>
      </c>
      <c r="J1211" s="26">
        <v>242361.43</v>
      </c>
      <c r="K1211" s="26">
        <v>242361.43</v>
      </c>
      <c r="L1211" s="26">
        <v>50323.1</v>
      </c>
      <c r="M1211" s="26">
        <v>-242361.43</v>
      </c>
    </row>
    <row r="1212" spans="1:13">
      <c r="A1212" s="24" t="s">
        <v>127</v>
      </c>
      <c r="B1212" s="24" t="s">
        <v>329</v>
      </c>
      <c r="C1212" s="25">
        <v>45931</v>
      </c>
      <c r="D1212" s="24" t="s">
        <v>2666</v>
      </c>
      <c r="E1212" s="26">
        <v>-4567.6400000000003</v>
      </c>
      <c r="F1212" s="26">
        <v>0</v>
      </c>
      <c r="G1212" s="26">
        <v>64974.58</v>
      </c>
      <c r="H1212" s="26">
        <v>60406.94</v>
      </c>
      <c r="I1212" s="26">
        <v>4567.6400000000003</v>
      </c>
      <c r="J1212" s="26">
        <v>227709.95</v>
      </c>
      <c r="K1212" s="26">
        <v>232277.59</v>
      </c>
      <c r="L1212" s="26">
        <v>60406.94</v>
      </c>
      <c r="M1212" s="26">
        <v>-232277.59</v>
      </c>
    </row>
    <row r="1213" spans="1:13">
      <c r="A1213" s="24" t="s">
        <v>127</v>
      </c>
      <c r="B1213" s="24" t="s">
        <v>329</v>
      </c>
      <c r="C1213" s="25">
        <v>45962</v>
      </c>
      <c r="D1213" s="24" t="s">
        <v>2667</v>
      </c>
      <c r="E1213" s="26">
        <v>-4567.6400000000003</v>
      </c>
      <c r="F1213" s="26">
        <v>0</v>
      </c>
      <c r="G1213" s="26">
        <v>64974.58</v>
      </c>
      <c r="H1213" s="26">
        <v>60406.94</v>
      </c>
      <c r="I1213" s="26">
        <v>4567.6400000000003</v>
      </c>
      <c r="J1213" s="26">
        <v>227709.95</v>
      </c>
      <c r="K1213" s="26">
        <v>232277.59</v>
      </c>
      <c r="L1213" s="26">
        <v>60406.94</v>
      </c>
      <c r="M1213" s="26">
        <v>-232277.59</v>
      </c>
    </row>
    <row r="1214" spans="1:13">
      <c r="A1214" s="24" t="s">
        <v>127</v>
      </c>
      <c r="B1214" s="24" t="s">
        <v>329</v>
      </c>
      <c r="C1214" s="25">
        <v>45992</v>
      </c>
      <c r="D1214" s="24" t="s">
        <v>2668</v>
      </c>
      <c r="E1214" s="26">
        <v>-4567.6400000000003</v>
      </c>
      <c r="F1214" s="26">
        <v>0</v>
      </c>
      <c r="G1214" s="26">
        <v>91706.540000000008</v>
      </c>
      <c r="H1214" s="26">
        <v>87138.900000000009</v>
      </c>
      <c r="I1214" s="26">
        <v>4567.6400000000003</v>
      </c>
      <c r="J1214" s="26">
        <v>200977.99</v>
      </c>
      <c r="K1214" s="26">
        <v>205545.63</v>
      </c>
      <c r="L1214" s="26">
        <v>87138.9</v>
      </c>
      <c r="M1214" s="26">
        <v>-205545.62999999989</v>
      </c>
    </row>
    <row r="1215" spans="1:13">
      <c r="A1215" s="24" t="s">
        <v>120</v>
      </c>
      <c r="B1215" s="24" t="s">
        <v>318</v>
      </c>
      <c r="C1215" s="25">
        <v>45658</v>
      </c>
      <c r="D1215" s="24" t="s">
        <v>2657</v>
      </c>
      <c r="E1215" s="26">
        <v>0</v>
      </c>
      <c r="F1215" s="26">
        <v>0</v>
      </c>
      <c r="G1215" s="26">
        <v>0</v>
      </c>
      <c r="H1215" s="26">
        <v>0</v>
      </c>
      <c r="I1215" s="26">
        <v>0</v>
      </c>
      <c r="J1215" s="26">
        <v>0</v>
      </c>
      <c r="K1215" s="26">
        <v>0</v>
      </c>
      <c r="L1215" s="26">
        <v>0</v>
      </c>
      <c r="M1215" s="26">
        <v>0</v>
      </c>
    </row>
    <row r="1216" spans="1:13">
      <c r="A1216" s="24" t="s">
        <v>120</v>
      </c>
      <c r="B1216" s="24" t="s">
        <v>318</v>
      </c>
      <c r="C1216" s="25">
        <v>45689</v>
      </c>
      <c r="D1216" s="24" t="s">
        <v>2658</v>
      </c>
      <c r="E1216" s="26">
        <v>0</v>
      </c>
      <c r="F1216" s="26">
        <v>0</v>
      </c>
      <c r="G1216" s="26">
        <v>0</v>
      </c>
      <c r="H1216" s="26">
        <v>0</v>
      </c>
      <c r="I1216" s="26">
        <v>0</v>
      </c>
      <c r="J1216" s="26">
        <v>0</v>
      </c>
      <c r="K1216" s="26">
        <v>0</v>
      </c>
      <c r="L1216" s="26">
        <v>0</v>
      </c>
      <c r="M1216" s="26">
        <v>0</v>
      </c>
    </row>
    <row r="1217" spans="1:13">
      <c r="A1217" s="24" t="s">
        <v>120</v>
      </c>
      <c r="B1217" s="24" t="s">
        <v>318</v>
      </c>
      <c r="C1217" s="25">
        <v>45717</v>
      </c>
      <c r="D1217" s="24" t="s">
        <v>2659</v>
      </c>
      <c r="E1217" s="26">
        <v>0</v>
      </c>
      <c r="F1217" s="26">
        <v>0</v>
      </c>
      <c r="G1217" s="26">
        <v>0</v>
      </c>
      <c r="H1217" s="26">
        <v>0</v>
      </c>
      <c r="I1217" s="26">
        <v>0</v>
      </c>
      <c r="J1217" s="26">
        <v>0</v>
      </c>
      <c r="K1217" s="26">
        <v>0</v>
      </c>
      <c r="L1217" s="26">
        <v>0</v>
      </c>
      <c r="M1217" s="26">
        <v>0</v>
      </c>
    </row>
    <row r="1218" spans="1:13">
      <c r="A1218" s="24" t="s">
        <v>120</v>
      </c>
      <c r="B1218" s="24" t="s">
        <v>318</v>
      </c>
      <c r="C1218" s="25">
        <v>45748</v>
      </c>
      <c r="D1218" s="24" t="s">
        <v>2660</v>
      </c>
      <c r="E1218" s="26">
        <v>0</v>
      </c>
      <c r="F1218" s="26">
        <v>0</v>
      </c>
      <c r="G1218" s="26">
        <v>0</v>
      </c>
      <c r="H1218" s="26">
        <v>0</v>
      </c>
      <c r="I1218" s="26">
        <v>0</v>
      </c>
      <c r="J1218" s="26">
        <v>0</v>
      </c>
      <c r="K1218" s="26">
        <v>0</v>
      </c>
      <c r="L1218" s="26">
        <v>0</v>
      </c>
      <c r="M1218" s="26">
        <v>0</v>
      </c>
    </row>
    <row r="1219" spans="1:13">
      <c r="A1219" s="24" t="s">
        <v>120</v>
      </c>
      <c r="B1219" s="24" t="s">
        <v>318</v>
      </c>
      <c r="C1219" s="25">
        <v>45778</v>
      </c>
      <c r="D1219" s="24" t="s">
        <v>2661</v>
      </c>
      <c r="E1219" s="26">
        <v>0</v>
      </c>
      <c r="F1219" s="26">
        <v>0</v>
      </c>
      <c r="G1219" s="26">
        <v>0</v>
      </c>
      <c r="H1219" s="26">
        <v>0</v>
      </c>
      <c r="I1219" s="26">
        <v>0</v>
      </c>
      <c r="J1219" s="26">
        <v>0</v>
      </c>
      <c r="K1219" s="26">
        <v>0</v>
      </c>
      <c r="L1219" s="26">
        <v>0</v>
      </c>
      <c r="M1219" s="26">
        <v>0</v>
      </c>
    </row>
    <row r="1220" spans="1:13">
      <c r="A1220" s="24" t="s">
        <v>120</v>
      </c>
      <c r="B1220" s="24" t="s">
        <v>318</v>
      </c>
      <c r="C1220" s="25">
        <v>45809</v>
      </c>
      <c r="D1220" s="24" t="s">
        <v>2662</v>
      </c>
      <c r="E1220" s="26">
        <v>0</v>
      </c>
      <c r="F1220" s="26">
        <v>0</v>
      </c>
      <c r="G1220" s="26">
        <v>0</v>
      </c>
      <c r="H1220" s="26">
        <v>0</v>
      </c>
      <c r="I1220" s="26">
        <v>0</v>
      </c>
      <c r="J1220" s="26">
        <v>0</v>
      </c>
      <c r="K1220" s="26">
        <v>0</v>
      </c>
      <c r="L1220" s="26">
        <v>0</v>
      </c>
      <c r="M1220" s="26">
        <v>0</v>
      </c>
    </row>
    <row r="1221" spans="1:13">
      <c r="A1221" s="24" t="s">
        <v>120</v>
      </c>
      <c r="B1221" s="24" t="s">
        <v>318</v>
      </c>
      <c r="C1221" s="25">
        <v>45839</v>
      </c>
      <c r="D1221" s="24" t="s">
        <v>2663</v>
      </c>
      <c r="E1221" s="26">
        <v>0</v>
      </c>
      <c r="F1221" s="26">
        <v>0</v>
      </c>
      <c r="G1221" s="26">
        <v>53899.27</v>
      </c>
      <c r="H1221" s="26">
        <v>53899.27</v>
      </c>
      <c r="I1221" s="26">
        <v>0</v>
      </c>
      <c r="J1221" s="26">
        <v>476720.18999999989</v>
      </c>
      <c r="K1221" s="26">
        <v>476720.18999999989</v>
      </c>
      <c r="L1221" s="26">
        <v>53899.27</v>
      </c>
      <c r="M1221" s="26">
        <v>-476720.18999999989</v>
      </c>
    </row>
    <row r="1222" spans="1:13">
      <c r="A1222" s="24" t="s">
        <v>120</v>
      </c>
      <c r="B1222" s="24" t="s">
        <v>318</v>
      </c>
      <c r="C1222" s="25">
        <v>45870</v>
      </c>
      <c r="D1222" s="24" t="s">
        <v>2664</v>
      </c>
      <c r="E1222" s="26">
        <v>0</v>
      </c>
      <c r="F1222" s="26">
        <v>0</v>
      </c>
      <c r="G1222" s="26">
        <v>93900.549999999988</v>
      </c>
      <c r="H1222" s="26">
        <v>93900.549999999988</v>
      </c>
      <c r="I1222" s="26">
        <v>0</v>
      </c>
      <c r="J1222" s="26">
        <v>436718.91</v>
      </c>
      <c r="K1222" s="26">
        <v>436718.91</v>
      </c>
      <c r="L1222" s="26">
        <v>93900.549999999988</v>
      </c>
      <c r="M1222" s="26">
        <v>-436718.91</v>
      </c>
    </row>
    <row r="1223" spans="1:13">
      <c r="A1223" s="24" t="s">
        <v>120</v>
      </c>
      <c r="B1223" s="24" t="s">
        <v>318</v>
      </c>
      <c r="C1223" s="25">
        <v>45901</v>
      </c>
      <c r="D1223" s="24" t="s">
        <v>2665</v>
      </c>
      <c r="E1223" s="26">
        <v>0</v>
      </c>
      <c r="F1223" s="26">
        <v>0</v>
      </c>
      <c r="G1223" s="26">
        <v>93900.549999999988</v>
      </c>
      <c r="H1223" s="26">
        <v>93900.549999999988</v>
      </c>
      <c r="I1223" s="26">
        <v>0</v>
      </c>
      <c r="J1223" s="26">
        <v>436718.91</v>
      </c>
      <c r="K1223" s="26">
        <v>436718.91</v>
      </c>
      <c r="L1223" s="26">
        <v>93900.549999999988</v>
      </c>
      <c r="M1223" s="26">
        <v>-436718.91</v>
      </c>
    </row>
    <row r="1224" spans="1:13">
      <c r="A1224" s="24" t="s">
        <v>120</v>
      </c>
      <c r="B1224" s="24" t="s">
        <v>318</v>
      </c>
      <c r="C1224" s="25">
        <v>45931</v>
      </c>
      <c r="D1224" s="24" t="s">
        <v>2666</v>
      </c>
      <c r="E1224" s="26">
        <v>-117564.14</v>
      </c>
      <c r="F1224" s="26">
        <v>0</v>
      </c>
      <c r="G1224" s="26">
        <v>150263.51999999999</v>
      </c>
      <c r="H1224" s="26">
        <v>32699.37999999999</v>
      </c>
      <c r="I1224" s="26">
        <v>117564.14</v>
      </c>
      <c r="J1224" s="26">
        <v>380355.93999999989</v>
      </c>
      <c r="K1224" s="26">
        <v>497920.08</v>
      </c>
      <c r="L1224" s="26">
        <v>32699.37999999999</v>
      </c>
      <c r="M1224" s="26">
        <v>-497920.08</v>
      </c>
    </row>
    <row r="1225" spans="1:13">
      <c r="A1225" s="24" t="s">
        <v>120</v>
      </c>
      <c r="B1225" s="24" t="s">
        <v>318</v>
      </c>
      <c r="C1225" s="25">
        <v>45962</v>
      </c>
      <c r="D1225" s="24" t="s">
        <v>2667</v>
      </c>
      <c r="E1225" s="26">
        <v>-117564.14</v>
      </c>
      <c r="F1225" s="26">
        <v>0</v>
      </c>
      <c r="G1225" s="26">
        <v>185533</v>
      </c>
      <c r="H1225" s="26">
        <v>67968.86</v>
      </c>
      <c r="I1225" s="26">
        <v>117564.14</v>
      </c>
      <c r="J1225" s="26">
        <v>345086.46</v>
      </c>
      <c r="K1225" s="26">
        <v>462650.6</v>
      </c>
      <c r="L1225" s="26">
        <v>67968.859999999986</v>
      </c>
      <c r="M1225" s="26">
        <v>-462650.6</v>
      </c>
    </row>
    <row r="1226" spans="1:13">
      <c r="A1226" s="24" t="s">
        <v>120</v>
      </c>
      <c r="B1226" s="24" t="s">
        <v>318</v>
      </c>
      <c r="C1226" s="25">
        <v>45992</v>
      </c>
      <c r="D1226" s="24" t="s">
        <v>2668</v>
      </c>
      <c r="E1226" s="26">
        <v>17168.55</v>
      </c>
      <c r="F1226" s="26">
        <v>0</v>
      </c>
      <c r="G1226" s="26">
        <v>50800.31</v>
      </c>
      <c r="H1226" s="26">
        <v>67968.86</v>
      </c>
      <c r="I1226" s="26">
        <v>117564.14</v>
      </c>
      <c r="J1226" s="26">
        <v>345086.46</v>
      </c>
      <c r="K1226" s="26">
        <v>462650.6</v>
      </c>
      <c r="L1226" s="26">
        <v>67968.859999999986</v>
      </c>
      <c r="M1226" s="26">
        <v>-462650.6</v>
      </c>
    </row>
    <row r="1227" spans="1:13">
      <c r="A1227" s="24" t="s">
        <v>183</v>
      </c>
      <c r="B1227" s="24" t="s">
        <v>345</v>
      </c>
      <c r="C1227" s="25">
        <v>45658</v>
      </c>
      <c r="D1227" s="24" t="s">
        <v>2657</v>
      </c>
      <c r="E1227" s="26">
        <v>0</v>
      </c>
      <c r="F1227" s="26">
        <v>0</v>
      </c>
      <c r="G1227" s="26">
        <v>0</v>
      </c>
      <c r="H1227" s="26">
        <v>0</v>
      </c>
      <c r="I1227" s="26">
        <v>0</v>
      </c>
      <c r="J1227" s="26">
        <v>0</v>
      </c>
      <c r="K1227" s="26">
        <v>0</v>
      </c>
      <c r="L1227" s="26">
        <v>0</v>
      </c>
      <c r="M1227" s="26">
        <v>0</v>
      </c>
    </row>
    <row r="1228" spans="1:13">
      <c r="A1228" s="24" t="s">
        <v>183</v>
      </c>
      <c r="B1228" s="24" t="s">
        <v>345</v>
      </c>
      <c r="C1228" s="25">
        <v>45689</v>
      </c>
      <c r="D1228" s="24" t="s">
        <v>2658</v>
      </c>
      <c r="E1228" s="26">
        <v>0</v>
      </c>
      <c r="F1228" s="26">
        <v>0</v>
      </c>
      <c r="G1228" s="26">
        <v>0</v>
      </c>
      <c r="H1228" s="26">
        <v>0</v>
      </c>
      <c r="I1228" s="26">
        <v>0</v>
      </c>
      <c r="J1228" s="26">
        <v>0</v>
      </c>
      <c r="K1228" s="26">
        <v>0</v>
      </c>
      <c r="L1228" s="26">
        <v>0</v>
      </c>
      <c r="M1228" s="26">
        <v>0</v>
      </c>
    </row>
    <row r="1229" spans="1:13">
      <c r="A1229" s="24" t="s">
        <v>183</v>
      </c>
      <c r="B1229" s="24" t="s">
        <v>345</v>
      </c>
      <c r="C1229" s="25">
        <v>45717</v>
      </c>
      <c r="D1229" s="24" t="s">
        <v>2659</v>
      </c>
      <c r="E1229" s="26">
        <v>0</v>
      </c>
      <c r="F1229" s="26">
        <v>0</v>
      </c>
      <c r="G1229" s="26">
        <v>0</v>
      </c>
      <c r="H1229" s="26">
        <v>0</v>
      </c>
      <c r="I1229" s="26">
        <v>0</v>
      </c>
      <c r="J1229" s="26">
        <v>0</v>
      </c>
      <c r="K1229" s="26">
        <v>0</v>
      </c>
      <c r="L1229" s="26">
        <v>0</v>
      </c>
      <c r="M1229" s="26">
        <v>0</v>
      </c>
    </row>
    <row r="1230" spans="1:13">
      <c r="A1230" s="24" t="s">
        <v>183</v>
      </c>
      <c r="B1230" s="24" t="s">
        <v>345</v>
      </c>
      <c r="C1230" s="25">
        <v>45748</v>
      </c>
      <c r="D1230" s="24" t="s">
        <v>2660</v>
      </c>
      <c r="E1230" s="26">
        <v>0</v>
      </c>
      <c r="F1230" s="26">
        <v>0</v>
      </c>
      <c r="G1230" s="26">
        <v>0</v>
      </c>
      <c r="H1230" s="26">
        <v>0</v>
      </c>
      <c r="I1230" s="26">
        <v>0</v>
      </c>
      <c r="J1230" s="26">
        <v>0</v>
      </c>
      <c r="K1230" s="26">
        <v>0</v>
      </c>
      <c r="L1230" s="26">
        <v>0</v>
      </c>
      <c r="M1230" s="26">
        <v>0</v>
      </c>
    </row>
    <row r="1231" spans="1:13">
      <c r="A1231" s="24" t="s">
        <v>183</v>
      </c>
      <c r="B1231" s="24" t="s">
        <v>345</v>
      </c>
      <c r="C1231" s="25">
        <v>45778</v>
      </c>
      <c r="D1231" s="24" t="s">
        <v>2661</v>
      </c>
      <c r="E1231" s="26">
        <v>0</v>
      </c>
      <c r="F1231" s="26">
        <v>0</v>
      </c>
      <c r="G1231" s="26">
        <v>0</v>
      </c>
      <c r="H1231" s="26">
        <v>0</v>
      </c>
      <c r="I1231" s="26">
        <v>0</v>
      </c>
      <c r="J1231" s="26">
        <v>0</v>
      </c>
      <c r="K1231" s="26">
        <v>0</v>
      </c>
      <c r="L1231" s="26">
        <v>0</v>
      </c>
      <c r="M1231" s="26">
        <v>0</v>
      </c>
    </row>
    <row r="1232" spans="1:13">
      <c r="A1232" s="24" t="s">
        <v>183</v>
      </c>
      <c r="B1232" s="24" t="s">
        <v>345</v>
      </c>
      <c r="C1232" s="25">
        <v>45809</v>
      </c>
      <c r="D1232" s="24" t="s">
        <v>2662</v>
      </c>
      <c r="E1232" s="26">
        <v>0</v>
      </c>
      <c r="F1232" s="26">
        <v>0</v>
      </c>
      <c r="G1232" s="26">
        <v>0</v>
      </c>
      <c r="H1232" s="26">
        <v>0</v>
      </c>
      <c r="I1232" s="26">
        <v>0</v>
      </c>
      <c r="J1232" s="26">
        <v>0</v>
      </c>
      <c r="K1232" s="26">
        <v>0</v>
      </c>
      <c r="L1232" s="26">
        <v>0</v>
      </c>
      <c r="M1232" s="26">
        <v>0</v>
      </c>
    </row>
    <row r="1233" spans="1:13">
      <c r="A1233" s="24" t="s">
        <v>183</v>
      </c>
      <c r="B1233" s="24" t="s">
        <v>345</v>
      </c>
      <c r="C1233" s="25">
        <v>45839</v>
      </c>
      <c r="D1233" s="24" t="s">
        <v>2663</v>
      </c>
      <c r="E1233" s="26">
        <v>0</v>
      </c>
      <c r="F1233" s="26">
        <v>0</v>
      </c>
      <c r="G1233" s="26">
        <v>38458.07</v>
      </c>
      <c r="H1233" s="26">
        <v>38458.07</v>
      </c>
      <c r="I1233" s="26">
        <v>0</v>
      </c>
      <c r="J1233" s="26">
        <v>0</v>
      </c>
      <c r="K1233" s="26">
        <v>0</v>
      </c>
      <c r="L1233" s="26">
        <v>38458.07</v>
      </c>
      <c r="M1233" s="26">
        <v>0</v>
      </c>
    </row>
    <row r="1234" spans="1:13">
      <c r="A1234" s="24" t="s">
        <v>183</v>
      </c>
      <c r="B1234" s="24" t="s">
        <v>345</v>
      </c>
      <c r="C1234" s="25">
        <v>45870</v>
      </c>
      <c r="D1234" s="24" t="s">
        <v>2664</v>
      </c>
      <c r="E1234" s="26">
        <v>-99969.26</v>
      </c>
      <c r="F1234" s="26">
        <v>0</v>
      </c>
      <c r="G1234" s="26">
        <v>38458.07</v>
      </c>
      <c r="H1234" s="26">
        <v>-61511.19</v>
      </c>
      <c r="I1234" s="26">
        <v>99969.26</v>
      </c>
      <c r="J1234" s="26">
        <v>0</v>
      </c>
      <c r="K1234" s="26">
        <v>99969.26</v>
      </c>
      <c r="L1234" s="26">
        <v>-61511.19</v>
      </c>
      <c r="M1234" s="26">
        <v>-99969.25999999998</v>
      </c>
    </row>
    <row r="1235" spans="1:13">
      <c r="A1235" s="24" t="s">
        <v>183</v>
      </c>
      <c r="B1235" s="24" t="s">
        <v>345</v>
      </c>
      <c r="C1235" s="25">
        <v>45901</v>
      </c>
      <c r="D1235" s="24" t="s">
        <v>2665</v>
      </c>
      <c r="E1235" s="26">
        <v>-99969.26</v>
      </c>
      <c r="F1235" s="26">
        <v>0</v>
      </c>
      <c r="G1235" s="26">
        <v>38458.07</v>
      </c>
      <c r="H1235" s="26">
        <v>-61511.19</v>
      </c>
      <c r="I1235" s="26">
        <v>99969.26</v>
      </c>
      <c r="J1235" s="26">
        <v>0</v>
      </c>
      <c r="K1235" s="26">
        <v>99969.26</v>
      </c>
      <c r="L1235" s="26">
        <v>-61511.19</v>
      </c>
      <c r="M1235" s="26">
        <v>-99969.25999999998</v>
      </c>
    </row>
    <row r="1236" spans="1:13">
      <c r="A1236" s="24" t="s">
        <v>183</v>
      </c>
      <c r="B1236" s="24" t="s">
        <v>345</v>
      </c>
      <c r="C1236" s="25">
        <v>45931</v>
      </c>
      <c r="D1236" s="24" t="s">
        <v>2666</v>
      </c>
      <c r="E1236" s="26">
        <v>-99969.26</v>
      </c>
      <c r="F1236" s="26">
        <v>0</v>
      </c>
      <c r="G1236" s="26">
        <v>38458.07</v>
      </c>
      <c r="H1236" s="26">
        <v>-61511.19</v>
      </c>
      <c r="I1236" s="26">
        <v>99969.26</v>
      </c>
      <c r="J1236" s="26">
        <v>0</v>
      </c>
      <c r="K1236" s="26">
        <v>99969.26</v>
      </c>
      <c r="L1236" s="26">
        <v>-61511.19</v>
      </c>
      <c r="M1236" s="26">
        <v>-99969.25999999998</v>
      </c>
    </row>
    <row r="1237" spans="1:13">
      <c r="A1237" s="24" t="s">
        <v>183</v>
      </c>
      <c r="B1237" s="24" t="s">
        <v>345</v>
      </c>
      <c r="C1237" s="25">
        <v>45962</v>
      </c>
      <c r="D1237" s="24" t="s">
        <v>2667</v>
      </c>
      <c r="E1237" s="26">
        <v>-152295.71</v>
      </c>
      <c r="F1237" s="26">
        <v>0</v>
      </c>
      <c r="G1237" s="26">
        <v>81106.209999999992</v>
      </c>
      <c r="H1237" s="26">
        <v>-71189.5</v>
      </c>
      <c r="I1237" s="26">
        <v>152295.71</v>
      </c>
      <c r="J1237" s="26">
        <v>0</v>
      </c>
      <c r="K1237" s="26">
        <v>152295.71</v>
      </c>
      <c r="L1237" s="26">
        <v>-71189.5</v>
      </c>
      <c r="M1237" s="26">
        <v>-152295.71</v>
      </c>
    </row>
    <row r="1238" spans="1:13">
      <c r="A1238" s="24" t="s">
        <v>183</v>
      </c>
      <c r="B1238" s="24" t="s">
        <v>345</v>
      </c>
      <c r="C1238" s="25">
        <v>45992</v>
      </c>
      <c r="D1238" s="24" t="s">
        <v>2668</v>
      </c>
      <c r="E1238" s="26">
        <v>-152295.71</v>
      </c>
      <c r="F1238" s="26">
        <v>0</v>
      </c>
      <c r="G1238" s="26">
        <v>97102.76</v>
      </c>
      <c r="H1238" s="26">
        <v>-55192.95</v>
      </c>
      <c r="I1238" s="26">
        <v>152295.71</v>
      </c>
      <c r="J1238" s="26">
        <v>0</v>
      </c>
      <c r="K1238" s="26">
        <v>152295.71</v>
      </c>
      <c r="L1238" s="26">
        <v>-55192.95</v>
      </c>
      <c r="M1238" s="26">
        <v>-152295.71</v>
      </c>
    </row>
    <row r="1239" spans="1:13">
      <c r="A1239" s="24" t="s">
        <v>61</v>
      </c>
      <c r="B1239" s="24" t="s">
        <v>345</v>
      </c>
      <c r="C1239" s="25">
        <v>45658</v>
      </c>
      <c r="D1239" s="24" t="s">
        <v>2657</v>
      </c>
      <c r="E1239" s="26">
        <v>0</v>
      </c>
      <c r="F1239" s="26">
        <v>0</v>
      </c>
      <c r="G1239" s="26">
        <v>0</v>
      </c>
      <c r="H1239" s="26">
        <v>0</v>
      </c>
      <c r="I1239" s="26">
        <v>0</v>
      </c>
      <c r="J1239" s="26">
        <v>0</v>
      </c>
      <c r="K1239" s="26">
        <v>0</v>
      </c>
      <c r="L1239" s="26">
        <v>0</v>
      </c>
      <c r="M1239" s="26">
        <v>0</v>
      </c>
    </row>
    <row r="1240" spans="1:13">
      <c r="A1240" s="24" t="s">
        <v>61</v>
      </c>
      <c r="B1240" s="24" t="s">
        <v>345</v>
      </c>
      <c r="C1240" s="25">
        <v>45689</v>
      </c>
      <c r="D1240" s="24" t="s">
        <v>2658</v>
      </c>
      <c r="E1240" s="26">
        <v>0</v>
      </c>
      <c r="F1240" s="26">
        <v>0</v>
      </c>
      <c r="G1240" s="26">
        <v>0</v>
      </c>
      <c r="H1240" s="26">
        <v>0</v>
      </c>
      <c r="I1240" s="26">
        <v>0</v>
      </c>
      <c r="J1240" s="26">
        <v>0</v>
      </c>
      <c r="K1240" s="26">
        <v>0</v>
      </c>
      <c r="L1240" s="26">
        <v>0</v>
      </c>
      <c r="M1240" s="26">
        <v>0</v>
      </c>
    </row>
    <row r="1241" spans="1:13">
      <c r="A1241" s="24" t="s">
        <v>61</v>
      </c>
      <c r="B1241" s="24" t="s">
        <v>345</v>
      </c>
      <c r="C1241" s="25">
        <v>45717</v>
      </c>
      <c r="D1241" s="24" t="s">
        <v>2659</v>
      </c>
      <c r="E1241" s="26">
        <v>0</v>
      </c>
      <c r="F1241" s="26">
        <v>0</v>
      </c>
      <c r="G1241" s="26">
        <v>0</v>
      </c>
      <c r="H1241" s="26">
        <v>0</v>
      </c>
      <c r="I1241" s="26">
        <v>0</v>
      </c>
      <c r="J1241" s="26">
        <v>0</v>
      </c>
      <c r="K1241" s="26">
        <v>0</v>
      </c>
      <c r="L1241" s="26">
        <v>0</v>
      </c>
      <c r="M1241" s="26">
        <v>0</v>
      </c>
    </row>
    <row r="1242" spans="1:13">
      <c r="A1242" s="24" t="s">
        <v>61</v>
      </c>
      <c r="B1242" s="24" t="s">
        <v>345</v>
      </c>
      <c r="C1242" s="25">
        <v>45748</v>
      </c>
      <c r="D1242" s="24" t="s">
        <v>2660</v>
      </c>
      <c r="E1242" s="26">
        <v>0</v>
      </c>
      <c r="F1242" s="26">
        <v>0</v>
      </c>
      <c r="G1242" s="26">
        <v>0</v>
      </c>
      <c r="H1242" s="26">
        <v>0</v>
      </c>
      <c r="I1242" s="26">
        <v>0</v>
      </c>
      <c r="J1242" s="26">
        <v>0</v>
      </c>
      <c r="K1242" s="26">
        <v>0</v>
      </c>
      <c r="L1242" s="26">
        <v>0</v>
      </c>
      <c r="M1242" s="26">
        <v>0</v>
      </c>
    </row>
    <row r="1243" spans="1:13">
      <c r="A1243" s="24" t="s">
        <v>61</v>
      </c>
      <c r="B1243" s="24" t="s">
        <v>345</v>
      </c>
      <c r="C1243" s="25">
        <v>45778</v>
      </c>
      <c r="D1243" s="24" t="s">
        <v>2661</v>
      </c>
      <c r="E1243" s="26">
        <v>0</v>
      </c>
      <c r="F1243" s="26">
        <v>0</v>
      </c>
      <c r="G1243" s="26">
        <v>0</v>
      </c>
      <c r="H1243" s="26">
        <v>0</v>
      </c>
      <c r="I1243" s="26">
        <v>0</v>
      </c>
      <c r="J1243" s="26">
        <v>0</v>
      </c>
      <c r="K1243" s="26">
        <v>0</v>
      </c>
      <c r="L1243" s="26">
        <v>0</v>
      </c>
      <c r="M1243" s="26">
        <v>0</v>
      </c>
    </row>
    <row r="1244" spans="1:13">
      <c r="A1244" s="24" t="s">
        <v>61</v>
      </c>
      <c r="B1244" s="24" t="s">
        <v>345</v>
      </c>
      <c r="C1244" s="25">
        <v>45809</v>
      </c>
      <c r="D1244" s="24" t="s">
        <v>2662</v>
      </c>
      <c r="E1244" s="26">
        <v>0</v>
      </c>
      <c r="F1244" s="26">
        <v>0</v>
      </c>
      <c r="G1244" s="26">
        <v>0</v>
      </c>
      <c r="H1244" s="26">
        <v>0</v>
      </c>
      <c r="I1244" s="26">
        <v>0</v>
      </c>
      <c r="J1244" s="26">
        <v>0</v>
      </c>
      <c r="K1244" s="26">
        <v>0</v>
      </c>
      <c r="L1244" s="26">
        <v>0</v>
      </c>
      <c r="M1244" s="26">
        <v>0</v>
      </c>
    </row>
    <row r="1245" spans="1:13">
      <c r="A1245" s="24" t="s">
        <v>61</v>
      </c>
      <c r="B1245" s="24" t="s">
        <v>345</v>
      </c>
      <c r="C1245" s="25">
        <v>45839</v>
      </c>
      <c r="D1245" s="24" t="s">
        <v>2663</v>
      </c>
      <c r="E1245" s="26">
        <v>0</v>
      </c>
      <c r="F1245" s="26">
        <v>0</v>
      </c>
      <c r="G1245" s="26">
        <v>58620.26</v>
      </c>
      <c r="H1245" s="26">
        <v>58620.26</v>
      </c>
      <c r="I1245" s="26">
        <v>0</v>
      </c>
      <c r="J1245" s="26">
        <v>0</v>
      </c>
      <c r="K1245" s="26">
        <v>0</v>
      </c>
      <c r="L1245" s="26">
        <v>58620.26</v>
      </c>
      <c r="M1245" s="26">
        <v>0</v>
      </c>
    </row>
    <row r="1246" spans="1:13">
      <c r="A1246" s="24" t="s">
        <v>61</v>
      </c>
      <c r="B1246" s="24" t="s">
        <v>345</v>
      </c>
      <c r="C1246" s="25">
        <v>45870</v>
      </c>
      <c r="D1246" s="24" t="s">
        <v>2664</v>
      </c>
      <c r="E1246" s="26">
        <v>0</v>
      </c>
      <c r="F1246" s="26">
        <v>0</v>
      </c>
      <c r="G1246" s="26">
        <v>58620.26</v>
      </c>
      <c r="H1246" s="26">
        <v>58620.26</v>
      </c>
      <c r="I1246" s="26">
        <v>0</v>
      </c>
      <c r="J1246" s="26">
        <v>0</v>
      </c>
      <c r="K1246" s="26">
        <v>0</v>
      </c>
      <c r="L1246" s="26">
        <v>58620.26</v>
      </c>
      <c r="M1246" s="26">
        <v>0</v>
      </c>
    </row>
    <row r="1247" spans="1:13">
      <c r="A1247" s="24" t="s">
        <v>61</v>
      </c>
      <c r="B1247" s="24" t="s">
        <v>345</v>
      </c>
      <c r="C1247" s="25">
        <v>45901</v>
      </c>
      <c r="D1247" s="24" t="s">
        <v>2665</v>
      </c>
      <c r="E1247" s="26">
        <v>-204040.02</v>
      </c>
      <c r="F1247" s="26">
        <v>0</v>
      </c>
      <c r="G1247" s="26">
        <v>88208.83</v>
      </c>
      <c r="H1247" s="26">
        <v>-115831.19</v>
      </c>
      <c r="I1247" s="26">
        <v>0</v>
      </c>
      <c r="J1247" s="26">
        <v>126844.2</v>
      </c>
      <c r="K1247" s="26">
        <v>126844.2</v>
      </c>
      <c r="L1247" s="26">
        <v>-90670.949999999983</v>
      </c>
      <c r="M1247" s="26">
        <v>-152004.44</v>
      </c>
    </row>
    <row r="1248" spans="1:13">
      <c r="A1248" s="24" t="s">
        <v>61</v>
      </c>
      <c r="B1248" s="24" t="s">
        <v>345</v>
      </c>
      <c r="C1248" s="25">
        <v>45931</v>
      </c>
      <c r="D1248" s="24" t="s">
        <v>2666</v>
      </c>
      <c r="E1248" s="26">
        <v>-204040.02</v>
      </c>
      <c r="F1248" s="26">
        <v>0</v>
      </c>
      <c r="G1248" s="26">
        <v>121645.27</v>
      </c>
      <c r="H1248" s="26">
        <v>-82394.749999999985</v>
      </c>
      <c r="I1248" s="26">
        <v>0</v>
      </c>
      <c r="J1248" s="26">
        <v>93407.75999999998</v>
      </c>
      <c r="K1248" s="26">
        <v>93407.75999999998</v>
      </c>
      <c r="L1248" s="26">
        <v>-57234.50999999998</v>
      </c>
      <c r="M1248" s="26">
        <v>-118568</v>
      </c>
    </row>
    <row r="1249" spans="1:13">
      <c r="A1249" s="24" t="s">
        <v>61</v>
      </c>
      <c r="B1249" s="24" t="s">
        <v>345</v>
      </c>
      <c r="C1249" s="25">
        <v>45962</v>
      </c>
      <c r="D1249" s="24" t="s">
        <v>2667</v>
      </c>
      <c r="E1249" s="26">
        <v>-204040.02</v>
      </c>
      <c r="F1249" s="26">
        <v>0</v>
      </c>
      <c r="G1249" s="26">
        <v>121645.27</v>
      </c>
      <c r="H1249" s="26">
        <v>-82394.749999999985</v>
      </c>
      <c r="I1249" s="26">
        <v>0</v>
      </c>
      <c r="J1249" s="26">
        <v>93407.75999999998</v>
      </c>
      <c r="K1249" s="26">
        <v>93407.75999999998</v>
      </c>
      <c r="L1249" s="26">
        <v>-57234.50999999998</v>
      </c>
      <c r="M1249" s="26">
        <v>-118568</v>
      </c>
    </row>
    <row r="1250" spans="1:13">
      <c r="A1250" s="24" t="s">
        <v>61</v>
      </c>
      <c r="B1250" s="24" t="s">
        <v>345</v>
      </c>
      <c r="C1250" s="25">
        <v>45992</v>
      </c>
      <c r="D1250" s="24" t="s">
        <v>2668</v>
      </c>
      <c r="E1250" s="26">
        <v>-204040.02</v>
      </c>
      <c r="F1250" s="26">
        <v>0</v>
      </c>
      <c r="G1250" s="26">
        <v>145980.01</v>
      </c>
      <c r="H1250" s="26">
        <v>-58060.00999999998</v>
      </c>
      <c r="I1250" s="26">
        <v>0</v>
      </c>
      <c r="J1250" s="26">
        <v>69073.01999999999</v>
      </c>
      <c r="K1250" s="26">
        <v>69073.01999999999</v>
      </c>
      <c r="L1250" s="26">
        <v>-32899.769999999968</v>
      </c>
      <c r="M1250" s="26">
        <v>-94233.26</v>
      </c>
    </row>
    <row r="1251" spans="1:13">
      <c r="A1251" s="24" t="s">
        <v>211</v>
      </c>
      <c r="B1251" s="24" t="s">
        <v>337</v>
      </c>
      <c r="C1251" s="25">
        <v>45658</v>
      </c>
      <c r="D1251" s="24" t="s">
        <v>2657</v>
      </c>
      <c r="E1251" s="26">
        <v>0</v>
      </c>
      <c r="F1251" s="26">
        <v>0</v>
      </c>
      <c r="G1251" s="26">
        <v>0</v>
      </c>
      <c r="H1251" s="26">
        <v>0</v>
      </c>
      <c r="I1251" s="26">
        <v>0</v>
      </c>
      <c r="J1251" s="26">
        <v>0</v>
      </c>
      <c r="K1251" s="26">
        <v>0</v>
      </c>
      <c r="L1251" s="26">
        <v>0</v>
      </c>
      <c r="M1251" s="26">
        <v>0</v>
      </c>
    </row>
    <row r="1252" spans="1:13">
      <c r="A1252" s="24" t="s">
        <v>211</v>
      </c>
      <c r="B1252" s="24" t="s">
        <v>337</v>
      </c>
      <c r="C1252" s="25">
        <v>45689</v>
      </c>
      <c r="D1252" s="24" t="s">
        <v>2658</v>
      </c>
      <c r="E1252" s="26">
        <v>0</v>
      </c>
      <c r="F1252" s="26">
        <v>0</v>
      </c>
      <c r="G1252" s="26">
        <v>0</v>
      </c>
      <c r="H1252" s="26">
        <v>0</v>
      </c>
      <c r="I1252" s="26">
        <v>0</v>
      </c>
      <c r="J1252" s="26">
        <v>0</v>
      </c>
      <c r="K1252" s="26">
        <v>0</v>
      </c>
      <c r="L1252" s="26">
        <v>0</v>
      </c>
      <c r="M1252" s="26">
        <v>0</v>
      </c>
    </row>
    <row r="1253" spans="1:13">
      <c r="A1253" s="24" t="s">
        <v>211</v>
      </c>
      <c r="B1253" s="24" t="s">
        <v>337</v>
      </c>
      <c r="C1253" s="25">
        <v>45717</v>
      </c>
      <c r="D1253" s="24" t="s">
        <v>2659</v>
      </c>
      <c r="E1253" s="26">
        <v>0</v>
      </c>
      <c r="F1253" s="26">
        <v>0</v>
      </c>
      <c r="G1253" s="26">
        <v>0</v>
      </c>
      <c r="H1253" s="26">
        <v>0</v>
      </c>
      <c r="I1253" s="26">
        <v>0</v>
      </c>
      <c r="J1253" s="26">
        <v>0</v>
      </c>
      <c r="K1253" s="26">
        <v>0</v>
      </c>
      <c r="L1253" s="26">
        <v>0</v>
      </c>
      <c r="M1253" s="26">
        <v>0</v>
      </c>
    </row>
    <row r="1254" spans="1:13">
      <c r="A1254" s="24" t="s">
        <v>211</v>
      </c>
      <c r="B1254" s="24" t="s">
        <v>337</v>
      </c>
      <c r="C1254" s="25">
        <v>45748</v>
      </c>
      <c r="D1254" s="24" t="s">
        <v>2660</v>
      </c>
      <c r="E1254" s="26">
        <v>0</v>
      </c>
      <c r="F1254" s="26">
        <v>0</v>
      </c>
      <c r="G1254" s="26">
        <v>0</v>
      </c>
      <c r="H1254" s="26">
        <v>0</v>
      </c>
      <c r="I1254" s="26">
        <v>0</v>
      </c>
      <c r="J1254" s="26">
        <v>0</v>
      </c>
      <c r="K1254" s="26">
        <v>0</v>
      </c>
      <c r="L1254" s="26">
        <v>0</v>
      </c>
      <c r="M1254" s="26">
        <v>0</v>
      </c>
    </row>
    <row r="1255" spans="1:13">
      <c r="A1255" s="24" t="s">
        <v>211</v>
      </c>
      <c r="B1255" s="24" t="s">
        <v>337</v>
      </c>
      <c r="C1255" s="25">
        <v>45778</v>
      </c>
      <c r="D1255" s="24" t="s">
        <v>2661</v>
      </c>
      <c r="E1255" s="26">
        <v>0</v>
      </c>
      <c r="F1255" s="26">
        <v>0</v>
      </c>
      <c r="G1255" s="26">
        <v>0</v>
      </c>
      <c r="H1255" s="26">
        <v>0</v>
      </c>
      <c r="I1255" s="26">
        <v>0</v>
      </c>
      <c r="J1255" s="26">
        <v>0</v>
      </c>
      <c r="K1255" s="26">
        <v>0</v>
      </c>
      <c r="L1255" s="26">
        <v>0</v>
      </c>
      <c r="M1255" s="26">
        <v>0</v>
      </c>
    </row>
    <row r="1256" spans="1:13">
      <c r="A1256" s="24" t="s">
        <v>211</v>
      </c>
      <c r="B1256" s="24" t="s">
        <v>337</v>
      </c>
      <c r="C1256" s="25">
        <v>45809</v>
      </c>
      <c r="D1256" s="24" t="s">
        <v>2662</v>
      </c>
      <c r="E1256" s="26">
        <v>0</v>
      </c>
      <c r="F1256" s="26">
        <v>0</v>
      </c>
      <c r="G1256" s="26">
        <v>0</v>
      </c>
      <c r="H1256" s="26">
        <v>0</v>
      </c>
      <c r="I1256" s="26">
        <v>0</v>
      </c>
      <c r="J1256" s="26">
        <v>0</v>
      </c>
      <c r="K1256" s="26">
        <v>0</v>
      </c>
      <c r="L1256" s="26">
        <v>0</v>
      </c>
      <c r="M1256" s="26">
        <v>0</v>
      </c>
    </row>
    <row r="1257" spans="1:13">
      <c r="A1257" s="24" t="s">
        <v>211</v>
      </c>
      <c r="B1257" s="24" t="s">
        <v>337</v>
      </c>
      <c r="C1257" s="25">
        <v>45839</v>
      </c>
      <c r="D1257" s="24" t="s">
        <v>2663</v>
      </c>
      <c r="E1257" s="26">
        <v>0</v>
      </c>
      <c r="F1257" s="26">
        <v>0</v>
      </c>
      <c r="G1257" s="26">
        <v>0</v>
      </c>
      <c r="H1257" s="26">
        <v>0</v>
      </c>
      <c r="I1257" s="26">
        <v>0</v>
      </c>
      <c r="J1257" s="26">
        <v>0</v>
      </c>
      <c r="K1257" s="26">
        <v>0</v>
      </c>
      <c r="L1257" s="26">
        <v>0</v>
      </c>
      <c r="M1257" s="26">
        <v>0</v>
      </c>
    </row>
    <row r="1258" spans="1:13">
      <c r="A1258" s="24" t="s">
        <v>211</v>
      </c>
      <c r="B1258" s="24" t="s">
        <v>337</v>
      </c>
      <c r="C1258" s="25">
        <v>45870</v>
      </c>
      <c r="D1258" s="24" t="s">
        <v>2664</v>
      </c>
      <c r="E1258" s="26">
        <v>0</v>
      </c>
      <c r="F1258" s="26">
        <v>0</v>
      </c>
      <c r="G1258" s="26">
        <v>16436.14</v>
      </c>
      <c r="H1258" s="26">
        <v>16436.14</v>
      </c>
      <c r="I1258" s="26">
        <v>0</v>
      </c>
      <c r="J1258" s="26">
        <v>0</v>
      </c>
      <c r="K1258" s="26">
        <v>0</v>
      </c>
      <c r="L1258" s="26">
        <v>16436.14</v>
      </c>
      <c r="M1258" s="26">
        <v>0</v>
      </c>
    </row>
    <row r="1259" spans="1:13">
      <c r="A1259" s="24" t="s">
        <v>211</v>
      </c>
      <c r="B1259" s="24" t="s">
        <v>337</v>
      </c>
      <c r="C1259" s="25">
        <v>45901</v>
      </c>
      <c r="D1259" s="24" t="s">
        <v>2665</v>
      </c>
      <c r="E1259" s="26">
        <v>0</v>
      </c>
      <c r="F1259" s="26">
        <v>0</v>
      </c>
      <c r="G1259" s="26">
        <v>27199.7</v>
      </c>
      <c r="H1259" s="26">
        <v>27199.7</v>
      </c>
      <c r="I1259" s="26">
        <v>0</v>
      </c>
      <c r="J1259" s="26">
        <v>0</v>
      </c>
      <c r="K1259" s="26">
        <v>0</v>
      </c>
      <c r="L1259" s="26">
        <v>27199.7</v>
      </c>
      <c r="M1259" s="26">
        <v>0</v>
      </c>
    </row>
    <row r="1260" spans="1:13">
      <c r="A1260" s="24" t="s">
        <v>211</v>
      </c>
      <c r="B1260" s="24" t="s">
        <v>337</v>
      </c>
      <c r="C1260" s="25">
        <v>45931</v>
      </c>
      <c r="D1260" s="24" t="s">
        <v>2666</v>
      </c>
      <c r="E1260" s="26">
        <v>0</v>
      </c>
      <c r="F1260" s="26">
        <v>8904.5400000000009</v>
      </c>
      <c r="G1260" s="26">
        <v>31508.560000000001</v>
      </c>
      <c r="H1260" s="26">
        <v>40413.1</v>
      </c>
      <c r="I1260" s="26">
        <v>0</v>
      </c>
      <c r="J1260" s="26">
        <v>0</v>
      </c>
      <c r="K1260" s="26">
        <v>0</v>
      </c>
      <c r="L1260" s="26">
        <v>40413.1</v>
      </c>
      <c r="M1260" s="26">
        <v>0</v>
      </c>
    </row>
    <row r="1261" spans="1:13">
      <c r="A1261" s="24" t="s">
        <v>211</v>
      </c>
      <c r="B1261" s="24" t="s">
        <v>337</v>
      </c>
      <c r="C1261" s="25">
        <v>45962</v>
      </c>
      <c r="D1261" s="24" t="s">
        <v>2667</v>
      </c>
      <c r="E1261" s="26">
        <v>-103576.06</v>
      </c>
      <c r="F1261" s="26">
        <v>35160.990000000013</v>
      </c>
      <c r="G1261" s="26">
        <v>5252.1099999999933</v>
      </c>
      <c r="H1261" s="26">
        <v>-63162.96</v>
      </c>
      <c r="I1261" s="26">
        <v>103576.06</v>
      </c>
      <c r="J1261" s="26">
        <v>0</v>
      </c>
      <c r="K1261" s="26">
        <v>103576.06</v>
      </c>
      <c r="L1261" s="26">
        <v>-63162.96</v>
      </c>
      <c r="M1261" s="26">
        <v>-103576.06</v>
      </c>
    </row>
    <row r="1262" spans="1:13">
      <c r="A1262" s="24" t="s">
        <v>211</v>
      </c>
      <c r="B1262" s="24" t="s">
        <v>337</v>
      </c>
      <c r="C1262" s="25">
        <v>45992</v>
      </c>
      <c r="D1262" s="24" t="s">
        <v>2668</v>
      </c>
      <c r="E1262" s="26">
        <v>-103576.06</v>
      </c>
      <c r="F1262" s="26">
        <v>35160.990000000013</v>
      </c>
      <c r="G1262" s="26">
        <v>16394.439999999999</v>
      </c>
      <c r="H1262" s="26">
        <v>-52020.63</v>
      </c>
      <c r="I1262" s="26">
        <v>103576.06</v>
      </c>
      <c r="J1262" s="26">
        <v>0</v>
      </c>
      <c r="K1262" s="26">
        <v>103576.06</v>
      </c>
      <c r="L1262" s="26">
        <v>-52020.63</v>
      </c>
      <c r="M1262" s="26">
        <v>-103576.06</v>
      </c>
    </row>
    <row r="1263" spans="1:13">
      <c r="A1263" s="24" t="s">
        <v>73</v>
      </c>
      <c r="B1263" s="24" t="s">
        <v>329</v>
      </c>
      <c r="C1263" s="25">
        <v>45658</v>
      </c>
      <c r="D1263" s="24" t="s">
        <v>2657</v>
      </c>
      <c r="E1263" s="26">
        <v>0</v>
      </c>
      <c r="F1263" s="26">
        <v>0</v>
      </c>
      <c r="G1263" s="26">
        <v>0</v>
      </c>
      <c r="H1263" s="26">
        <v>0</v>
      </c>
      <c r="I1263" s="26">
        <v>0</v>
      </c>
      <c r="J1263" s="26">
        <v>0</v>
      </c>
      <c r="K1263" s="26">
        <v>0</v>
      </c>
      <c r="L1263" s="26">
        <v>0</v>
      </c>
      <c r="M1263" s="26">
        <v>0</v>
      </c>
    </row>
    <row r="1264" spans="1:13">
      <c r="A1264" s="24" t="s">
        <v>73</v>
      </c>
      <c r="B1264" s="24" t="s">
        <v>329</v>
      </c>
      <c r="C1264" s="25">
        <v>45689</v>
      </c>
      <c r="D1264" s="24" t="s">
        <v>2658</v>
      </c>
      <c r="E1264" s="26">
        <v>0</v>
      </c>
      <c r="F1264" s="26">
        <v>0</v>
      </c>
      <c r="G1264" s="26">
        <v>0</v>
      </c>
      <c r="H1264" s="26">
        <v>0</v>
      </c>
      <c r="I1264" s="26">
        <v>0</v>
      </c>
      <c r="J1264" s="26">
        <v>0</v>
      </c>
      <c r="K1264" s="26">
        <v>0</v>
      </c>
      <c r="L1264" s="26">
        <v>0</v>
      </c>
      <c r="M1264" s="26">
        <v>0</v>
      </c>
    </row>
    <row r="1265" spans="1:13">
      <c r="A1265" s="24" t="s">
        <v>73</v>
      </c>
      <c r="B1265" s="24" t="s">
        <v>329</v>
      </c>
      <c r="C1265" s="25">
        <v>45717</v>
      </c>
      <c r="D1265" s="24" t="s">
        <v>2659</v>
      </c>
      <c r="E1265" s="26">
        <v>0</v>
      </c>
      <c r="F1265" s="26">
        <v>0</v>
      </c>
      <c r="G1265" s="26">
        <v>0</v>
      </c>
      <c r="H1265" s="26">
        <v>0</v>
      </c>
      <c r="I1265" s="26">
        <v>0</v>
      </c>
      <c r="J1265" s="26">
        <v>0</v>
      </c>
      <c r="K1265" s="26">
        <v>0</v>
      </c>
      <c r="L1265" s="26">
        <v>0</v>
      </c>
      <c r="M1265" s="26">
        <v>0</v>
      </c>
    </row>
    <row r="1266" spans="1:13">
      <c r="A1266" s="24" t="s">
        <v>73</v>
      </c>
      <c r="B1266" s="24" t="s">
        <v>329</v>
      </c>
      <c r="C1266" s="25">
        <v>45748</v>
      </c>
      <c r="D1266" s="24" t="s">
        <v>2660</v>
      </c>
      <c r="E1266" s="26">
        <v>0</v>
      </c>
      <c r="F1266" s="26">
        <v>0</v>
      </c>
      <c r="G1266" s="26">
        <v>0</v>
      </c>
      <c r="H1266" s="26">
        <v>0</v>
      </c>
      <c r="I1266" s="26">
        <v>0</v>
      </c>
      <c r="J1266" s="26">
        <v>0</v>
      </c>
      <c r="K1266" s="26">
        <v>0</v>
      </c>
      <c r="L1266" s="26">
        <v>0</v>
      </c>
      <c r="M1266" s="26">
        <v>0</v>
      </c>
    </row>
    <row r="1267" spans="1:13">
      <c r="A1267" s="24" t="s">
        <v>73</v>
      </c>
      <c r="B1267" s="24" t="s">
        <v>329</v>
      </c>
      <c r="C1267" s="25">
        <v>45778</v>
      </c>
      <c r="D1267" s="24" t="s">
        <v>2661</v>
      </c>
      <c r="E1267" s="26">
        <v>0</v>
      </c>
      <c r="F1267" s="26">
        <v>0</v>
      </c>
      <c r="G1267" s="26">
        <v>0</v>
      </c>
      <c r="H1267" s="26">
        <v>0</v>
      </c>
      <c r="I1267" s="26">
        <v>0</v>
      </c>
      <c r="J1267" s="26">
        <v>0</v>
      </c>
      <c r="K1267" s="26">
        <v>0</v>
      </c>
      <c r="L1267" s="26">
        <v>0</v>
      </c>
      <c r="M1267" s="26">
        <v>0</v>
      </c>
    </row>
    <row r="1268" spans="1:13">
      <c r="A1268" s="24" t="s">
        <v>73</v>
      </c>
      <c r="B1268" s="24" t="s">
        <v>329</v>
      </c>
      <c r="C1268" s="25">
        <v>45809</v>
      </c>
      <c r="D1268" s="24" t="s">
        <v>2662</v>
      </c>
      <c r="E1268" s="26">
        <v>0</v>
      </c>
      <c r="F1268" s="26">
        <v>0</v>
      </c>
      <c r="G1268" s="26">
        <v>0</v>
      </c>
      <c r="H1268" s="26">
        <v>0</v>
      </c>
      <c r="I1268" s="26">
        <v>0</v>
      </c>
      <c r="J1268" s="26">
        <v>0</v>
      </c>
      <c r="K1268" s="26">
        <v>0</v>
      </c>
      <c r="L1268" s="26">
        <v>0</v>
      </c>
      <c r="M1268" s="26">
        <v>0</v>
      </c>
    </row>
    <row r="1269" spans="1:13">
      <c r="A1269" s="24" t="s">
        <v>73</v>
      </c>
      <c r="B1269" s="24" t="s">
        <v>329</v>
      </c>
      <c r="C1269" s="25">
        <v>45839</v>
      </c>
      <c r="D1269" s="24" t="s">
        <v>2663</v>
      </c>
      <c r="E1269" s="26">
        <v>0</v>
      </c>
      <c r="F1269" s="26">
        <v>0</v>
      </c>
      <c r="G1269" s="26">
        <v>0</v>
      </c>
      <c r="H1269" s="26">
        <v>0</v>
      </c>
      <c r="I1269" s="26">
        <v>0</v>
      </c>
      <c r="J1269" s="26">
        <v>0</v>
      </c>
      <c r="K1269" s="26">
        <v>0</v>
      </c>
      <c r="L1269" s="26">
        <v>0</v>
      </c>
      <c r="M1269" s="26">
        <v>0</v>
      </c>
    </row>
    <row r="1270" spans="1:13">
      <c r="A1270" s="24" t="s">
        <v>73</v>
      </c>
      <c r="B1270" s="24" t="s">
        <v>329</v>
      </c>
      <c r="C1270" s="25">
        <v>45870</v>
      </c>
      <c r="D1270" s="24" t="s">
        <v>2664</v>
      </c>
      <c r="E1270" s="26">
        <v>-35862.61</v>
      </c>
      <c r="F1270" s="26">
        <v>0</v>
      </c>
      <c r="G1270" s="26">
        <v>0</v>
      </c>
      <c r="H1270" s="26">
        <v>-35862.61</v>
      </c>
      <c r="I1270" s="26">
        <v>35862.61</v>
      </c>
      <c r="J1270" s="26">
        <v>0</v>
      </c>
      <c r="K1270" s="26">
        <v>35862.61</v>
      </c>
      <c r="L1270" s="26">
        <v>-35862.61</v>
      </c>
      <c r="M1270" s="26">
        <v>-35862.61</v>
      </c>
    </row>
    <row r="1271" spans="1:13">
      <c r="A1271" s="24" t="s">
        <v>73</v>
      </c>
      <c r="B1271" s="24" t="s">
        <v>329</v>
      </c>
      <c r="C1271" s="25">
        <v>45901</v>
      </c>
      <c r="D1271" s="24" t="s">
        <v>2665</v>
      </c>
      <c r="E1271" s="26">
        <v>-101272.49</v>
      </c>
      <c r="F1271" s="26">
        <v>0</v>
      </c>
      <c r="G1271" s="26">
        <v>0</v>
      </c>
      <c r="H1271" s="26">
        <v>-101272.49</v>
      </c>
      <c r="I1271" s="26">
        <v>35862.61</v>
      </c>
      <c r="J1271" s="26">
        <v>0</v>
      </c>
      <c r="K1271" s="26">
        <v>35862.61</v>
      </c>
      <c r="L1271" s="26">
        <v>-73924.100000000006</v>
      </c>
      <c r="M1271" s="26">
        <v>-63210.999999999971</v>
      </c>
    </row>
    <row r="1272" spans="1:13">
      <c r="A1272" s="24" t="s">
        <v>73</v>
      </c>
      <c r="B1272" s="24" t="s">
        <v>329</v>
      </c>
      <c r="C1272" s="25">
        <v>45931</v>
      </c>
      <c r="D1272" s="24" t="s">
        <v>2666</v>
      </c>
      <c r="E1272" s="26">
        <v>-101272.49</v>
      </c>
      <c r="F1272" s="26">
        <v>0</v>
      </c>
      <c r="G1272" s="26">
        <v>0</v>
      </c>
      <c r="H1272" s="26">
        <v>-101272.49</v>
      </c>
      <c r="I1272" s="26">
        <v>35862.61</v>
      </c>
      <c r="J1272" s="26">
        <v>0</v>
      </c>
      <c r="K1272" s="26">
        <v>35862.61</v>
      </c>
      <c r="L1272" s="26">
        <v>-73924.100000000006</v>
      </c>
      <c r="M1272" s="26">
        <v>-63210.999999999971</v>
      </c>
    </row>
    <row r="1273" spans="1:13">
      <c r="A1273" s="24" t="s">
        <v>73</v>
      </c>
      <c r="B1273" s="24" t="s">
        <v>329</v>
      </c>
      <c r="C1273" s="25">
        <v>45962</v>
      </c>
      <c r="D1273" s="24" t="s">
        <v>2667</v>
      </c>
      <c r="E1273" s="26">
        <v>-101272.49</v>
      </c>
      <c r="F1273" s="26">
        <v>0</v>
      </c>
      <c r="G1273" s="26">
        <v>0</v>
      </c>
      <c r="H1273" s="26">
        <v>-101272.49</v>
      </c>
      <c r="I1273" s="26">
        <v>35862.61</v>
      </c>
      <c r="J1273" s="26">
        <v>0</v>
      </c>
      <c r="K1273" s="26">
        <v>35862.61</v>
      </c>
      <c r="L1273" s="26">
        <v>-41960.52</v>
      </c>
      <c r="M1273" s="26">
        <v>-95174.579999999973</v>
      </c>
    </row>
    <row r="1274" spans="1:13">
      <c r="A1274" s="24" t="s">
        <v>73</v>
      </c>
      <c r="B1274" s="24" t="s">
        <v>329</v>
      </c>
      <c r="C1274" s="25">
        <v>45992</v>
      </c>
      <c r="D1274" s="24" t="s">
        <v>2668</v>
      </c>
      <c r="E1274" s="26">
        <v>-101272.49</v>
      </c>
      <c r="F1274" s="26">
        <v>0</v>
      </c>
      <c r="G1274" s="26">
        <v>0</v>
      </c>
      <c r="H1274" s="26">
        <v>-101272.49</v>
      </c>
      <c r="I1274" s="26">
        <v>35862.61</v>
      </c>
      <c r="J1274" s="26">
        <v>0</v>
      </c>
      <c r="K1274" s="26">
        <v>35862.61</v>
      </c>
      <c r="L1274" s="26">
        <v>-41960.52</v>
      </c>
      <c r="M1274" s="26">
        <v>-95174.579999999973</v>
      </c>
    </row>
    <row r="1275" spans="1:13">
      <c r="A1275" s="24" t="s">
        <v>190</v>
      </c>
      <c r="B1275" s="24" t="s">
        <v>337</v>
      </c>
      <c r="C1275" s="25">
        <v>45658</v>
      </c>
      <c r="D1275" s="24" t="s">
        <v>2657</v>
      </c>
      <c r="E1275" s="26">
        <v>0</v>
      </c>
      <c r="F1275" s="26">
        <v>0</v>
      </c>
      <c r="G1275" s="26">
        <v>0</v>
      </c>
      <c r="H1275" s="26">
        <v>0</v>
      </c>
      <c r="I1275" s="26">
        <v>0</v>
      </c>
      <c r="J1275" s="26">
        <v>0</v>
      </c>
      <c r="K1275" s="26">
        <v>0</v>
      </c>
      <c r="L1275" s="26">
        <v>0</v>
      </c>
      <c r="M1275" s="26">
        <v>0</v>
      </c>
    </row>
    <row r="1276" spans="1:13">
      <c r="A1276" s="24" t="s">
        <v>190</v>
      </c>
      <c r="B1276" s="24" t="s">
        <v>337</v>
      </c>
      <c r="C1276" s="25">
        <v>45689</v>
      </c>
      <c r="D1276" s="24" t="s">
        <v>2658</v>
      </c>
      <c r="E1276" s="26">
        <v>0</v>
      </c>
      <c r="F1276" s="26">
        <v>0</v>
      </c>
      <c r="G1276" s="26">
        <v>0</v>
      </c>
      <c r="H1276" s="26">
        <v>0</v>
      </c>
      <c r="I1276" s="26">
        <v>0</v>
      </c>
      <c r="J1276" s="26">
        <v>0</v>
      </c>
      <c r="K1276" s="26">
        <v>0</v>
      </c>
      <c r="L1276" s="26">
        <v>0</v>
      </c>
      <c r="M1276" s="26">
        <v>0</v>
      </c>
    </row>
    <row r="1277" spans="1:13">
      <c r="A1277" s="24" t="s">
        <v>190</v>
      </c>
      <c r="B1277" s="24" t="s">
        <v>337</v>
      </c>
      <c r="C1277" s="25">
        <v>45717</v>
      </c>
      <c r="D1277" s="24" t="s">
        <v>2659</v>
      </c>
      <c r="E1277" s="26">
        <v>0</v>
      </c>
      <c r="F1277" s="26">
        <v>0</v>
      </c>
      <c r="G1277" s="26">
        <v>0</v>
      </c>
      <c r="H1277" s="26">
        <v>0</v>
      </c>
      <c r="I1277" s="26">
        <v>0</v>
      </c>
      <c r="J1277" s="26">
        <v>0</v>
      </c>
      <c r="K1277" s="26">
        <v>0</v>
      </c>
      <c r="L1277" s="26">
        <v>0</v>
      </c>
      <c r="M1277" s="26">
        <v>0</v>
      </c>
    </row>
    <row r="1278" spans="1:13">
      <c r="A1278" s="24" t="s">
        <v>190</v>
      </c>
      <c r="B1278" s="24" t="s">
        <v>337</v>
      </c>
      <c r="C1278" s="25">
        <v>45748</v>
      </c>
      <c r="D1278" s="24" t="s">
        <v>2660</v>
      </c>
      <c r="E1278" s="26">
        <v>0</v>
      </c>
      <c r="F1278" s="26">
        <v>0</v>
      </c>
      <c r="G1278" s="26">
        <v>0</v>
      </c>
      <c r="H1278" s="26">
        <v>0</v>
      </c>
      <c r="I1278" s="26">
        <v>0</v>
      </c>
      <c r="J1278" s="26">
        <v>0</v>
      </c>
      <c r="K1278" s="26">
        <v>0</v>
      </c>
      <c r="L1278" s="26">
        <v>0</v>
      </c>
      <c r="M1278" s="26">
        <v>0</v>
      </c>
    </row>
    <row r="1279" spans="1:13">
      <c r="A1279" s="24" t="s">
        <v>190</v>
      </c>
      <c r="B1279" s="24" t="s">
        <v>337</v>
      </c>
      <c r="C1279" s="25">
        <v>45778</v>
      </c>
      <c r="D1279" s="24" t="s">
        <v>2661</v>
      </c>
      <c r="E1279" s="26">
        <v>0</v>
      </c>
      <c r="F1279" s="26">
        <v>0</v>
      </c>
      <c r="G1279" s="26">
        <v>0</v>
      </c>
      <c r="H1279" s="26">
        <v>0</v>
      </c>
      <c r="I1279" s="26">
        <v>0</v>
      </c>
      <c r="J1279" s="26">
        <v>0</v>
      </c>
      <c r="K1279" s="26">
        <v>0</v>
      </c>
      <c r="L1279" s="26">
        <v>0</v>
      </c>
      <c r="M1279" s="26">
        <v>0</v>
      </c>
    </row>
    <row r="1280" spans="1:13">
      <c r="A1280" s="24" t="s">
        <v>190</v>
      </c>
      <c r="B1280" s="24" t="s">
        <v>337</v>
      </c>
      <c r="C1280" s="25">
        <v>45809</v>
      </c>
      <c r="D1280" s="24" t="s">
        <v>2662</v>
      </c>
      <c r="E1280" s="26">
        <v>0</v>
      </c>
      <c r="F1280" s="26">
        <v>0</v>
      </c>
      <c r="G1280" s="26">
        <v>0</v>
      </c>
      <c r="H1280" s="26">
        <v>0</v>
      </c>
      <c r="I1280" s="26">
        <v>0</v>
      </c>
      <c r="J1280" s="26">
        <v>0</v>
      </c>
      <c r="K1280" s="26">
        <v>0</v>
      </c>
      <c r="L1280" s="26">
        <v>0</v>
      </c>
      <c r="M1280" s="26">
        <v>0</v>
      </c>
    </row>
    <row r="1281" spans="1:13">
      <c r="A1281" s="24" t="s">
        <v>190</v>
      </c>
      <c r="B1281" s="24" t="s">
        <v>337</v>
      </c>
      <c r="C1281" s="25">
        <v>45839</v>
      </c>
      <c r="D1281" s="24" t="s">
        <v>2663</v>
      </c>
      <c r="E1281" s="26">
        <v>0</v>
      </c>
      <c r="F1281" s="26">
        <v>0</v>
      </c>
      <c r="G1281" s="26">
        <v>0</v>
      </c>
      <c r="H1281" s="26">
        <v>0</v>
      </c>
      <c r="I1281" s="26">
        <v>0</v>
      </c>
      <c r="J1281" s="26">
        <v>0</v>
      </c>
      <c r="K1281" s="26">
        <v>0</v>
      </c>
      <c r="L1281" s="26">
        <v>0</v>
      </c>
      <c r="M1281" s="26">
        <v>0</v>
      </c>
    </row>
    <row r="1282" spans="1:13">
      <c r="A1282" s="24" t="s">
        <v>190</v>
      </c>
      <c r="B1282" s="24" t="s">
        <v>337</v>
      </c>
      <c r="C1282" s="25">
        <v>45870</v>
      </c>
      <c r="D1282" s="24" t="s">
        <v>2664</v>
      </c>
      <c r="E1282" s="26">
        <v>0</v>
      </c>
      <c r="F1282" s="26">
        <v>0</v>
      </c>
      <c r="G1282" s="26">
        <v>0</v>
      </c>
      <c r="H1282" s="26">
        <v>0</v>
      </c>
      <c r="I1282" s="26">
        <v>0</v>
      </c>
      <c r="J1282" s="26">
        <v>0</v>
      </c>
      <c r="K1282" s="26">
        <v>0</v>
      </c>
      <c r="L1282" s="26">
        <v>0</v>
      </c>
      <c r="M1282" s="26">
        <v>0</v>
      </c>
    </row>
    <row r="1283" spans="1:13">
      <c r="A1283" s="24" t="s">
        <v>190</v>
      </c>
      <c r="B1283" s="24" t="s">
        <v>337</v>
      </c>
      <c r="C1283" s="25">
        <v>45901</v>
      </c>
      <c r="D1283" s="24" t="s">
        <v>2665</v>
      </c>
      <c r="E1283" s="26">
        <v>-15313.05</v>
      </c>
      <c r="F1283" s="26">
        <v>0</v>
      </c>
      <c r="G1283" s="26">
        <v>33463.800000000003</v>
      </c>
      <c r="H1283" s="26">
        <v>18150.75</v>
      </c>
      <c r="I1283" s="26">
        <v>0</v>
      </c>
      <c r="J1283" s="26">
        <v>0</v>
      </c>
      <c r="K1283" s="26">
        <v>0</v>
      </c>
      <c r="L1283" s="26">
        <v>18150.75</v>
      </c>
      <c r="M1283" s="26">
        <v>0</v>
      </c>
    </row>
    <row r="1284" spans="1:13">
      <c r="A1284" s="24" t="s">
        <v>190</v>
      </c>
      <c r="B1284" s="24" t="s">
        <v>337</v>
      </c>
      <c r="C1284" s="25">
        <v>45931</v>
      </c>
      <c r="D1284" s="24" t="s">
        <v>2666</v>
      </c>
      <c r="E1284" s="26">
        <v>-15313.05</v>
      </c>
      <c r="F1284" s="26">
        <v>0</v>
      </c>
      <c r="G1284" s="26">
        <v>100604.2</v>
      </c>
      <c r="H1284" s="26">
        <v>85291.15</v>
      </c>
      <c r="I1284" s="26">
        <v>0</v>
      </c>
      <c r="J1284" s="26">
        <v>445862.35</v>
      </c>
      <c r="K1284" s="26">
        <v>445862.35</v>
      </c>
      <c r="L1284" s="26">
        <v>85291.15</v>
      </c>
      <c r="M1284" s="26">
        <v>-445862.35000000009</v>
      </c>
    </row>
    <row r="1285" spans="1:13">
      <c r="A1285" s="24" t="s">
        <v>190</v>
      </c>
      <c r="B1285" s="24" t="s">
        <v>337</v>
      </c>
      <c r="C1285" s="25">
        <v>45962</v>
      </c>
      <c r="D1285" s="24" t="s">
        <v>2667</v>
      </c>
      <c r="E1285" s="26">
        <v>-15313.05</v>
      </c>
      <c r="F1285" s="26">
        <v>0</v>
      </c>
      <c r="G1285" s="26">
        <v>164246.54999999999</v>
      </c>
      <c r="H1285" s="26">
        <v>148933.5</v>
      </c>
      <c r="I1285" s="26">
        <v>0</v>
      </c>
      <c r="J1285" s="26">
        <v>1241726.1100000001</v>
      </c>
      <c r="K1285" s="26">
        <v>1241726.1100000001</v>
      </c>
      <c r="L1285" s="26">
        <v>148933.5</v>
      </c>
      <c r="M1285" s="26">
        <v>-1241726.1100000001</v>
      </c>
    </row>
    <row r="1286" spans="1:13">
      <c r="A1286" s="24" t="s">
        <v>190</v>
      </c>
      <c r="B1286" s="24" t="s">
        <v>337</v>
      </c>
      <c r="C1286" s="25">
        <v>45992</v>
      </c>
      <c r="D1286" s="24" t="s">
        <v>2668</v>
      </c>
      <c r="E1286" s="26">
        <v>-15313.05</v>
      </c>
      <c r="F1286" s="26">
        <v>0</v>
      </c>
      <c r="G1286" s="26">
        <v>200897.12</v>
      </c>
      <c r="H1286" s="26">
        <v>185584.07</v>
      </c>
      <c r="I1286" s="26">
        <v>0</v>
      </c>
      <c r="J1286" s="26">
        <v>1205075.54</v>
      </c>
      <c r="K1286" s="26">
        <v>1205075.54</v>
      </c>
      <c r="L1286" s="26">
        <v>185584.07</v>
      </c>
      <c r="M1286" s="26">
        <v>-1205075.54</v>
      </c>
    </row>
    <row r="1287" spans="1:13">
      <c r="A1287" s="24" t="s">
        <v>138</v>
      </c>
      <c r="B1287" s="24" t="s">
        <v>324</v>
      </c>
      <c r="C1287" s="25">
        <v>45658</v>
      </c>
      <c r="D1287" s="24" t="s">
        <v>2657</v>
      </c>
      <c r="E1287" s="26">
        <v>0</v>
      </c>
      <c r="F1287" s="26">
        <v>0</v>
      </c>
      <c r="G1287" s="26">
        <v>0</v>
      </c>
      <c r="H1287" s="26">
        <v>0</v>
      </c>
      <c r="I1287" s="26">
        <v>0</v>
      </c>
      <c r="J1287" s="26">
        <v>0</v>
      </c>
      <c r="K1287" s="26">
        <v>0</v>
      </c>
      <c r="L1287" s="26">
        <v>0</v>
      </c>
      <c r="M1287" s="26">
        <v>0</v>
      </c>
    </row>
    <row r="1288" spans="1:13">
      <c r="A1288" s="24" t="s">
        <v>138</v>
      </c>
      <c r="B1288" s="24" t="s">
        <v>324</v>
      </c>
      <c r="C1288" s="25">
        <v>45689</v>
      </c>
      <c r="D1288" s="24" t="s">
        <v>2658</v>
      </c>
      <c r="E1288" s="26">
        <v>0</v>
      </c>
      <c r="F1288" s="26">
        <v>0</v>
      </c>
      <c r="G1288" s="26">
        <v>0</v>
      </c>
      <c r="H1288" s="26">
        <v>0</v>
      </c>
      <c r="I1288" s="26">
        <v>0</v>
      </c>
      <c r="J1288" s="26">
        <v>0</v>
      </c>
      <c r="K1288" s="26">
        <v>0</v>
      </c>
      <c r="L1288" s="26">
        <v>0</v>
      </c>
      <c r="M1288" s="26">
        <v>0</v>
      </c>
    </row>
    <row r="1289" spans="1:13">
      <c r="A1289" s="24" t="s">
        <v>138</v>
      </c>
      <c r="B1289" s="24" t="s">
        <v>324</v>
      </c>
      <c r="C1289" s="25">
        <v>45717</v>
      </c>
      <c r="D1289" s="24" t="s">
        <v>2659</v>
      </c>
      <c r="E1289" s="26">
        <v>0</v>
      </c>
      <c r="F1289" s="26">
        <v>0</v>
      </c>
      <c r="G1289" s="26">
        <v>0</v>
      </c>
      <c r="H1289" s="26">
        <v>0</v>
      </c>
      <c r="I1289" s="26">
        <v>0</v>
      </c>
      <c r="J1289" s="26">
        <v>0</v>
      </c>
      <c r="K1289" s="26">
        <v>0</v>
      </c>
      <c r="L1289" s="26">
        <v>0</v>
      </c>
      <c r="M1289" s="26">
        <v>0</v>
      </c>
    </row>
    <row r="1290" spans="1:13">
      <c r="A1290" s="24" t="s">
        <v>138</v>
      </c>
      <c r="B1290" s="24" t="s">
        <v>324</v>
      </c>
      <c r="C1290" s="25">
        <v>45748</v>
      </c>
      <c r="D1290" s="24" t="s">
        <v>2660</v>
      </c>
      <c r="E1290" s="26">
        <v>0</v>
      </c>
      <c r="F1290" s="26">
        <v>0</v>
      </c>
      <c r="G1290" s="26">
        <v>0</v>
      </c>
      <c r="H1290" s="26">
        <v>0</v>
      </c>
      <c r="I1290" s="26">
        <v>0</v>
      </c>
      <c r="J1290" s="26">
        <v>0</v>
      </c>
      <c r="K1290" s="26">
        <v>0</v>
      </c>
      <c r="L1290" s="26">
        <v>0</v>
      </c>
      <c r="M1290" s="26">
        <v>0</v>
      </c>
    </row>
    <row r="1291" spans="1:13">
      <c r="A1291" s="24" t="s">
        <v>138</v>
      </c>
      <c r="B1291" s="24" t="s">
        <v>324</v>
      </c>
      <c r="C1291" s="25">
        <v>45778</v>
      </c>
      <c r="D1291" s="24" t="s">
        <v>2661</v>
      </c>
      <c r="E1291" s="26">
        <v>0</v>
      </c>
      <c r="F1291" s="26">
        <v>0</v>
      </c>
      <c r="G1291" s="26">
        <v>0</v>
      </c>
      <c r="H1291" s="26">
        <v>0</v>
      </c>
      <c r="I1291" s="26">
        <v>0</v>
      </c>
      <c r="J1291" s="26">
        <v>0</v>
      </c>
      <c r="K1291" s="26">
        <v>0</v>
      </c>
      <c r="L1291" s="26">
        <v>0</v>
      </c>
      <c r="M1291" s="26">
        <v>0</v>
      </c>
    </row>
    <row r="1292" spans="1:13">
      <c r="A1292" s="24" t="s">
        <v>138</v>
      </c>
      <c r="B1292" s="24" t="s">
        <v>324</v>
      </c>
      <c r="C1292" s="25">
        <v>45809</v>
      </c>
      <c r="D1292" s="24" t="s">
        <v>2662</v>
      </c>
      <c r="E1292" s="26">
        <v>0</v>
      </c>
      <c r="F1292" s="26">
        <v>0</v>
      </c>
      <c r="G1292" s="26">
        <v>0</v>
      </c>
      <c r="H1292" s="26">
        <v>0</v>
      </c>
      <c r="I1292" s="26">
        <v>0</v>
      </c>
      <c r="J1292" s="26">
        <v>0</v>
      </c>
      <c r="K1292" s="26">
        <v>0</v>
      </c>
      <c r="L1292" s="26">
        <v>0</v>
      </c>
      <c r="M1292" s="26">
        <v>0</v>
      </c>
    </row>
    <row r="1293" spans="1:13">
      <c r="A1293" s="24" t="s">
        <v>138</v>
      </c>
      <c r="B1293" s="24" t="s">
        <v>324</v>
      </c>
      <c r="C1293" s="25">
        <v>45839</v>
      </c>
      <c r="D1293" s="24" t="s">
        <v>2663</v>
      </c>
      <c r="E1293" s="26">
        <v>0</v>
      </c>
      <c r="F1293" s="26">
        <v>0</v>
      </c>
      <c r="G1293" s="26">
        <v>0</v>
      </c>
      <c r="H1293" s="26">
        <v>0</v>
      </c>
      <c r="I1293" s="26">
        <v>0</v>
      </c>
      <c r="J1293" s="26">
        <v>0</v>
      </c>
      <c r="K1293" s="26">
        <v>0</v>
      </c>
      <c r="L1293" s="26">
        <v>0</v>
      </c>
      <c r="M1293" s="26">
        <v>0</v>
      </c>
    </row>
    <row r="1294" spans="1:13">
      <c r="A1294" s="24" t="s">
        <v>138</v>
      </c>
      <c r="B1294" s="24" t="s">
        <v>324</v>
      </c>
      <c r="C1294" s="25">
        <v>45870</v>
      </c>
      <c r="D1294" s="24" t="s">
        <v>2664</v>
      </c>
      <c r="E1294" s="26">
        <v>0</v>
      </c>
      <c r="F1294" s="26">
        <v>45546.03</v>
      </c>
      <c r="G1294" s="26">
        <v>0</v>
      </c>
      <c r="H1294" s="26">
        <v>45546.03</v>
      </c>
      <c r="I1294" s="26">
        <v>0</v>
      </c>
      <c r="J1294" s="26">
        <v>0</v>
      </c>
      <c r="K1294" s="26">
        <v>0</v>
      </c>
      <c r="L1294" s="26">
        <v>0</v>
      </c>
      <c r="M1294" s="26">
        <v>45546.03</v>
      </c>
    </row>
    <row r="1295" spans="1:13">
      <c r="A1295" s="24" t="s">
        <v>138</v>
      </c>
      <c r="B1295" s="24" t="s">
        <v>324</v>
      </c>
      <c r="C1295" s="25">
        <v>45901</v>
      </c>
      <c r="D1295" s="24" t="s">
        <v>2665</v>
      </c>
      <c r="E1295" s="26">
        <v>-65357.77</v>
      </c>
      <c r="F1295" s="26">
        <v>223729.2</v>
      </c>
      <c r="G1295" s="26">
        <v>0</v>
      </c>
      <c r="H1295" s="26">
        <v>158371.43</v>
      </c>
      <c r="I1295" s="26">
        <v>65357.77</v>
      </c>
      <c r="J1295" s="26">
        <v>0</v>
      </c>
      <c r="K1295" s="26">
        <v>65357.77</v>
      </c>
      <c r="L1295" s="26">
        <v>-65357.77</v>
      </c>
      <c r="M1295" s="26">
        <v>158371.43</v>
      </c>
    </row>
    <row r="1296" spans="1:13">
      <c r="A1296" s="24" t="s">
        <v>138</v>
      </c>
      <c r="B1296" s="24" t="s">
        <v>324</v>
      </c>
      <c r="C1296" s="25">
        <v>45931</v>
      </c>
      <c r="D1296" s="24" t="s">
        <v>2666</v>
      </c>
      <c r="E1296" s="26">
        <v>-163548</v>
      </c>
      <c r="F1296" s="26">
        <v>223729.2</v>
      </c>
      <c r="G1296" s="26">
        <v>0</v>
      </c>
      <c r="H1296" s="26">
        <v>60181.200000000012</v>
      </c>
      <c r="I1296" s="26">
        <v>65357.77</v>
      </c>
      <c r="J1296" s="26">
        <v>0</v>
      </c>
      <c r="K1296" s="26">
        <v>65357.77</v>
      </c>
      <c r="L1296" s="26">
        <v>-126436.71</v>
      </c>
      <c r="M1296" s="26">
        <v>121260.14</v>
      </c>
    </row>
    <row r="1297" spans="1:13">
      <c r="A1297" s="24" t="s">
        <v>138</v>
      </c>
      <c r="B1297" s="24" t="s">
        <v>324</v>
      </c>
      <c r="C1297" s="25">
        <v>45962</v>
      </c>
      <c r="D1297" s="24" t="s">
        <v>2667</v>
      </c>
      <c r="E1297" s="26">
        <v>-163548</v>
      </c>
      <c r="F1297" s="26">
        <v>223729.2</v>
      </c>
      <c r="G1297" s="26">
        <v>0</v>
      </c>
      <c r="H1297" s="26">
        <v>60181.200000000012</v>
      </c>
      <c r="I1297" s="26">
        <v>65357.77</v>
      </c>
      <c r="J1297" s="26">
        <v>235080.3</v>
      </c>
      <c r="K1297" s="26">
        <v>300438.07</v>
      </c>
      <c r="L1297" s="26">
        <v>-64627.399999999987</v>
      </c>
      <c r="M1297" s="26">
        <v>-175629.47</v>
      </c>
    </row>
    <row r="1298" spans="1:13">
      <c r="A1298" s="24" t="s">
        <v>138</v>
      </c>
      <c r="B1298" s="24" t="s">
        <v>324</v>
      </c>
      <c r="C1298" s="25">
        <v>45992</v>
      </c>
      <c r="D1298" s="24" t="s">
        <v>2668</v>
      </c>
      <c r="E1298" s="26">
        <v>-271378.64</v>
      </c>
      <c r="F1298" s="26">
        <v>223729.2</v>
      </c>
      <c r="G1298" s="26">
        <v>0</v>
      </c>
      <c r="H1298" s="26">
        <v>-47649.440000000002</v>
      </c>
      <c r="I1298" s="26">
        <v>173188.41</v>
      </c>
      <c r="J1298" s="26">
        <v>235080.3</v>
      </c>
      <c r="K1298" s="26">
        <v>408268.71</v>
      </c>
      <c r="L1298" s="26">
        <v>-172458.04</v>
      </c>
      <c r="M1298" s="26">
        <v>-283460.11</v>
      </c>
    </row>
    <row r="1299" spans="1:13">
      <c r="A1299" s="24" t="s">
        <v>69</v>
      </c>
      <c r="B1299" s="24" t="s">
        <v>318</v>
      </c>
      <c r="C1299" s="25">
        <v>45658</v>
      </c>
      <c r="D1299" s="24" t="s">
        <v>2657</v>
      </c>
      <c r="E1299" s="26">
        <v>0</v>
      </c>
      <c r="F1299" s="26">
        <v>0</v>
      </c>
      <c r="G1299" s="26">
        <v>0</v>
      </c>
      <c r="H1299" s="26">
        <v>0</v>
      </c>
      <c r="I1299" s="26">
        <v>0</v>
      </c>
      <c r="J1299" s="26">
        <v>0</v>
      </c>
      <c r="K1299" s="26">
        <v>0</v>
      </c>
      <c r="L1299" s="26">
        <v>0</v>
      </c>
      <c r="M1299" s="26">
        <v>0</v>
      </c>
    </row>
    <row r="1300" spans="1:13">
      <c r="A1300" s="24" t="s">
        <v>69</v>
      </c>
      <c r="B1300" s="24" t="s">
        <v>318</v>
      </c>
      <c r="C1300" s="25">
        <v>45689</v>
      </c>
      <c r="D1300" s="24" t="s">
        <v>2658</v>
      </c>
      <c r="E1300" s="26">
        <v>0</v>
      </c>
      <c r="F1300" s="26">
        <v>0</v>
      </c>
      <c r="G1300" s="26">
        <v>0</v>
      </c>
      <c r="H1300" s="26">
        <v>0</v>
      </c>
      <c r="I1300" s="26">
        <v>0</v>
      </c>
      <c r="J1300" s="26">
        <v>0</v>
      </c>
      <c r="K1300" s="26">
        <v>0</v>
      </c>
      <c r="L1300" s="26">
        <v>0</v>
      </c>
      <c r="M1300" s="26">
        <v>0</v>
      </c>
    </row>
    <row r="1301" spans="1:13">
      <c r="A1301" s="24" t="s">
        <v>69</v>
      </c>
      <c r="B1301" s="24" t="s">
        <v>318</v>
      </c>
      <c r="C1301" s="25">
        <v>45717</v>
      </c>
      <c r="D1301" s="24" t="s">
        <v>2659</v>
      </c>
      <c r="E1301" s="26">
        <v>0</v>
      </c>
      <c r="F1301" s="26">
        <v>0</v>
      </c>
      <c r="G1301" s="26">
        <v>0</v>
      </c>
      <c r="H1301" s="26">
        <v>0</v>
      </c>
      <c r="I1301" s="26">
        <v>0</v>
      </c>
      <c r="J1301" s="26">
        <v>0</v>
      </c>
      <c r="K1301" s="26">
        <v>0</v>
      </c>
      <c r="L1301" s="26">
        <v>0</v>
      </c>
      <c r="M1301" s="26">
        <v>0</v>
      </c>
    </row>
    <row r="1302" spans="1:13">
      <c r="A1302" s="24" t="s">
        <v>69</v>
      </c>
      <c r="B1302" s="24" t="s">
        <v>318</v>
      </c>
      <c r="C1302" s="25">
        <v>45748</v>
      </c>
      <c r="D1302" s="24" t="s">
        <v>2660</v>
      </c>
      <c r="E1302" s="26">
        <v>0</v>
      </c>
      <c r="F1302" s="26">
        <v>0</v>
      </c>
      <c r="G1302" s="26">
        <v>0</v>
      </c>
      <c r="H1302" s="26">
        <v>0</v>
      </c>
      <c r="I1302" s="26">
        <v>0</v>
      </c>
      <c r="J1302" s="26">
        <v>0</v>
      </c>
      <c r="K1302" s="26">
        <v>0</v>
      </c>
      <c r="L1302" s="26">
        <v>0</v>
      </c>
      <c r="M1302" s="26">
        <v>0</v>
      </c>
    </row>
    <row r="1303" spans="1:13">
      <c r="A1303" s="24" t="s">
        <v>69</v>
      </c>
      <c r="B1303" s="24" t="s">
        <v>318</v>
      </c>
      <c r="C1303" s="25">
        <v>45778</v>
      </c>
      <c r="D1303" s="24" t="s">
        <v>2661</v>
      </c>
      <c r="E1303" s="26">
        <v>0</v>
      </c>
      <c r="F1303" s="26">
        <v>0</v>
      </c>
      <c r="G1303" s="26">
        <v>0</v>
      </c>
      <c r="H1303" s="26">
        <v>0</v>
      </c>
      <c r="I1303" s="26">
        <v>0</v>
      </c>
      <c r="J1303" s="26">
        <v>0</v>
      </c>
      <c r="K1303" s="26">
        <v>0</v>
      </c>
      <c r="L1303" s="26">
        <v>0</v>
      </c>
      <c r="M1303" s="26">
        <v>0</v>
      </c>
    </row>
    <row r="1304" spans="1:13">
      <c r="A1304" s="24" t="s">
        <v>69</v>
      </c>
      <c r="B1304" s="24" t="s">
        <v>318</v>
      </c>
      <c r="C1304" s="25">
        <v>45809</v>
      </c>
      <c r="D1304" s="24" t="s">
        <v>2662</v>
      </c>
      <c r="E1304" s="26">
        <v>0</v>
      </c>
      <c r="F1304" s="26">
        <v>0</v>
      </c>
      <c r="G1304" s="26">
        <v>0</v>
      </c>
      <c r="H1304" s="26">
        <v>0</v>
      </c>
      <c r="I1304" s="26">
        <v>0</v>
      </c>
      <c r="J1304" s="26">
        <v>0</v>
      </c>
      <c r="K1304" s="26">
        <v>0</v>
      </c>
      <c r="L1304" s="26">
        <v>0</v>
      </c>
      <c r="M1304" s="26">
        <v>0</v>
      </c>
    </row>
    <row r="1305" spans="1:13">
      <c r="A1305" s="24" t="s">
        <v>69</v>
      </c>
      <c r="B1305" s="24" t="s">
        <v>318</v>
      </c>
      <c r="C1305" s="25">
        <v>45839</v>
      </c>
      <c r="D1305" s="24" t="s">
        <v>2663</v>
      </c>
      <c r="E1305" s="26">
        <v>0</v>
      </c>
      <c r="F1305" s="26">
        <v>0</v>
      </c>
      <c r="G1305" s="26">
        <v>0</v>
      </c>
      <c r="H1305" s="26">
        <v>0</v>
      </c>
      <c r="I1305" s="26">
        <v>0</v>
      </c>
      <c r="J1305" s="26">
        <v>0</v>
      </c>
      <c r="K1305" s="26">
        <v>0</v>
      </c>
      <c r="L1305" s="26">
        <v>0</v>
      </c>
      <c r="M1305" s="26">
        <v>0</v>
      </c>
    </row>
    <row r="1306" spans="1:13">
      <c r="A1306" s="24" t="s">
        <v>69</v>
      </c>
      <c r="B1306" s="24" t="s">
        <v>318</v>
      </c>
      <c r="C1306" s="25">
        <v>45870</v>
      </c>
      <c r="D1306" s="24" t="s">
        <v>2664</v>
      </c>
      <c r="E1306" s="26">
        <v>0</v>
      </c>
      <c r="F1306" s="26">
        <v>0</v>
      </c>
      <c r="G1306" s="26">
        <v>0</v>
      </c>
      <c r="H1306" s="26">
        <v>0</v>
      </c>
      <c r="I1306" s="26">
        <v>0</v>
      </c>
      <c r="J1306" s="26">
        <v>0</v>
      </c>
      <c r="K1306" s="26">
        <v>0</v>
      </c>
      <c r="L1306" s="26">
        <v>0</v>
      </c>
      <c r="M1306" s="26">
        <v>0</v>
      </c>
    </row>
    <row r="1307" spans="1:13">
      <c r="A1307" s="24" t="s">
        <v>69</v>
      </c>
      <c r="B1307" s="24" t="s">
        <v>318</v>
      </c>
      <c r="C1307" s="25">
        <v>45901</v>
      </c>
      <c r="D1307" s="24" t="s">
        <v>2665</v>
      </c>
      <c r="E1307" s="26">
        <v>0</v>
      </c>
      <c r="F1307" s="26">
        <v>0</v>
      </c>
      <c r="G1307" s="26">
        <v>0</v>
      </c>
      <c r="H1307" s="26">
        <v>0</v>
      </c>
      <c r="I1307" s="26">
        <v>0</v>
      </c>
      <c r="J1307" s="26">
        <v>0</v>
      </c>
      <c r="K1307" s="26">
        <v>0</v>
      </c>
      <c r="L1307" s="26">
        <v>0</v>
      </c>
      <c r="M1307" s="26">
        <v>0</v>
      </c>
    </row>
    <row r="1308" spans="1:13">
      <c r="A1308" s="24" t="s">
        <v>69</v>
      </c>
      <c r="B1308" s="24" t="s">
        <v>318</v>
      </c>
      <c r="C1308" s="25">
        <v>45931</v>
      </c>
      <c r="D1308" s="24" t="s">
        <v>2666</v>
      </c>
      <c r="E1308" s="26">
        <v>-70404.41</v>
      </c>
      <c r="F1308" s="26">
        <v>0</v>
      </c>
      <c r="G1308" s="26">
        <v>0</v>
      </c>
      <c r="H1308" s="26">
        <v>-70404.41</v>
      </c>
      <c r="I1308" s="26">
        <v>70404.41</v>
      </c>
      <c r="J1308" s="26">
        <v>0</v>
      </c>
      <c r="K1308" s="26">
        <v>70404.41</v>
      </c>
      <c r="L1308" s="26">
        <v>-70404.41</v>
      </c>
      <c r="M1308" s="26">
        <v>-70404.41</v>
      </c>
    </row>
    <row r="1309" spans="1:13">
      <c r="A1309" s="24" t="s">
        <v>69</v>
      </c>
      <c r="B1309" s="24" t="s">
        <v>318</v>
      </c>
      <c r="C1309" s="25">
        <v>45962</v>
      </c>
      <c r="D1309" s="24" t="s">
        <v>2667</v>
      </c>
      <c r="E1309" s="26">
        <v>-205271.4</v>
      </c>
      <c r="F1309" s="26">
        <v>0</v>
      </c>
      <c r="G1309" s="26">
        <v>0</v>
      </c>
      <c r="H1309" s="26">
        <v>-205271.4</v>
      </c>
      <c r="I1309" s="26">
        <v>70404.41</v>
      </c>
      <c r="J1309" s="26">
        <v>0</v>
      </c>
      <c r="K1309" s="26">
        <v>70404.41</v>
      </c>
      <c r="L1309" s="26">
        <v>-205271.4</v>
      </c>
      <c r="M1309" s="26">
        <v>-70404.41</v>
      </c>
    </row>
    <row r="1310" spans="1:13">
      <c r="A1310" s="24" t="s">
        <v>69</v>
      </c>
      <c r="B1310" s="24" t="s">
        <v>318</v>
      </c>
      <c r="C1310" s="25">
        <v>45992</v>
      </c>
      <c r="D1310" s="24" t="s">
        <v>2668</v>
      </c>
      <c r="E1310" s="26">
        <v>-307562.08</v>
      </c>
      <c r="F1310" s="26">
        <v>0</v>
      </c>
      <c r="G1310" s="26">
        <v>0</v>
      </c>
      <c r="H1310" s="26">
        <v>-307562.08</v>
      </c>
      <c r="I1310" s="26">
        <v>144401.39000000001</v>
      </c>
      <c r="J1310" s="26">
        <v>0</v>
      </c>
      <c r="K1310" s="26">
        <v>144401.39000000001</v>
      </c>
      <c r="L1310" s="26">
        <v>-307562.08</v>
      </c>
      <c r="M1310" s="26">
        <v>-144401.39000000001</v>
      </c>
    </row>
    <row r="1311" spans="1:13">
      <c r="A1311" s="24" t="s">
        <v>204</v>
      </c>
      <c r="B1311" s="24" t="s">
        <v>318</v>
      </c>
      <c r="C1311" s="25">
        <v>45658</v>
      </c>
      <c r="D1311" s="24" t="s">
        <v>2657</v>
      </c>
      <c r="E1311" s="26">
        <v>0</v>
      </c>
      <c r="F1311" s="26">
        <v>0</v>
      </c>
      <c r="G1311" s="26">
        <v>0</v>
      </c>
      <c r="H1311" s="26">
        <v>0</v>
      </c>
      <c r="I1311" s="26">
        <v>0</v>
      </c>
      <c r="J1311" s="26">
        <v>0</v>
      </c>
      <c r="K1311" s="26">
        <v>0</v>
      </c>
      <c r="L1311" s="26">
        <v>0</v>
      </c>
      <c r="M1311" s="26">
        <v>0</v>
      </c>
    </row>
    <row r="1312" spans="1:13">
      <c r="A1312" s="24" t="s">
        <v>204</v>
      </c>
      <c r="B1312" s="24" t="s">
        <v>318</v>
      </c>
      <c r="C1312" s="25">
        <v>45689</v>
      </c>
      <c r="D1312" s="24" t="s">
        <v>2658</v>
      </c>
      <c r="E1312" s="26">
        <v>0</v>
      </c>
      <c r="F1312" s="26">
        <v>0</v>
      </c>
      <c r="G1312" s="26">
        <v>0</v>
      </c>
      <c r="H1312" s="26">
        <v>0</v>
      </c>
      <c r="I1312" s="26">
        <v>0</v>
      </c>
      <c r="J1312" s="26">
        <v>0</v>
      </c>
      <c r="K1312" s="26">
        <v>0</v>
      </c>
      <c r="L1312" s="26">
        <v>0</v>
      </c>
      <c r="M1312" s="26">
        <v>0</v>
      </c>
    </row>
    <row r="1313" spans="1:13">
      <c r="A1313" s="24" t="s">
        <v>204</v>
      </c>
      <c r="B1313" s="24" t="s">
        <v>318</v>
      </c>
      <c r="C1313" s="25">
        <v>45717</v>
      </c>
      <c r="D1313" s="24" t="s">
        <v>2659</v>
      </c>
      <c r="E1313" s="26">
        <v>0</v>
      </c>
      <c r="F1313" s="26">
        <v>0</v>
      </c>
      <c r="G1313" s="26">
        <v>0</v>
      </c>
      <c r="H1313" s="26">
        <v>0</v>
      </c>
      <c r="I1313" s="26">
        <v>0</v>
      </c>
      <c r="J1313" s="26">
        <v>0</v>
      </c>
      <c r="K1313" s="26">
        <v>0</v>
      </c>
      <c r="L1313" s="26">
        <v>0</v>
      </c>
      <c r="M1313" s="26">
        <v>0</v>
      </c>
    </row>
    <row r="1314" spans="1:13">
      <c r="A1314" s="24" t="s">
        <v>204</v>
      </c>
      <c r="B1314" s="24" t="s">
        <v>318</v>
      </c>
      <c r="C1314" s="25">
        <v>45748</v>
      </c>
      <c r="D1314" s="24" t="s">
        <v>2660</v>
      </c>
      <c r="E1314" s="26">
        <v>0</v>
      </c>
      <c r="F1314" s="26">
        <v>0</v>
      </c>
      <c r="G1314" s="26">
        <v>0</v>
      </c>
      <c r="H1314" s="26">
        <v>0</v>
      </c>
      <c r="I1314" s="26">
        <v>0</v>
      </c>
      <c r="J1314" s="26">
        <v>0</v>
      </c>
      <c r="K1314" s="26">
        <v>0</v>
      </c>
      <c r="L1314" s="26">
        <v>0</v>
      </c>
      <c r="M1314" s="26">
        <v>0</v>
      </c>
    </row>
    <row r="1315" spans="1:13">
      <c r="A1315" s="24" t="s">
        <v>204</v>
      </c>
      <c r="B1315" s="24" t="s">
        <v>318</v>
      </c>
      <c r="C1315" s="25">
        <v>45778</v>
      </c>
      <c r="D1315" s="24" t="s">
        <v>2661</v>
      </c>
      <c r="E1315" s="26">
        <v>0</v>
      </c>
      <c r="F1315" s="26">
        <v>0</v>
      </c>
      <c r="G1315" s="26">
        <v>0</v>
      </c>
      <c r="H1315" s="26">
        <v>0</v>
      </c>
      <c r="I1315" s="26">
        <v>0</v>
      </c>
      <c r="J1315" s="26">
        <v>0</v>
      </c>
      <c r="K1315" s="26">
        <v>0</v>
      </c>
      <c r="L1315" s="26">
        <v>0</v>
      </c>
      <c r="M1315" s="26">
        <v>0</v>
      </c>
    </row>
    <row r="1316" spans="1:13">
      <c r="A1316" s="24" t="s">
        <v>204</v>
      </c>
      <c r="B1316" s="24" t="s">
        <v>318</v>
      </c>
      <c r="C1316" s="25">
        <v>45809</v>
      </c>
      <c r="D1316" s="24" t="s">
        <v>2662</v>
      </c>
      <c r="E1316" s="26">
        <v>0</v>
      </c>
      <c r="F1316" s="26">
        <v>0</v>
      </c>
      <c r="G1316" s="26">
        <v>0</v>
      </c>
      <c r="H1316" s="26">
        <v>0</v>
      </c>
      <c r="I1316" s="26">
        <v>0</v>
      </c>
      <c r="J1316" s="26">
        <v>0</v>
      </c>
      <c r="K1316" s="26">
        <v>0</v>
      </c>
      <c r="L1316" s="26">
        <v>0</v>
      </c>
      <c r="M1316" s="26">
        <v>0</v>
      </c>
    </row>
    <row r="1317" spans="1:13">
      <c r="A1317" s="24" t="s">
        <v>204</v>
      </c>
      <c r="B1317" s="24" t="s">
        <v>318</v>
      </c>
      <c r="C1317" s="25">
        <v>45839</v>
      </c>
      <c r="D1317" s="24" t="s">
        <v>2663</v>
      </c>
      <c r="E1317" s="26">
        <v>0</v>
      </c>
      <c r="F1317" s="26">
        <v>0</v>
      </c>
      <c r="G1317" s="26">
        <v>48379.199999999997</v>
      </c>
      <c r="H1317" s="26">
        <v>48379.199999999997</v>
      </c>
      <c r="I1317" s="26">
        <v>0</v>
      </c>
      <c r="J1317" s="26">
        <v>0</v>
      </c>
      <c r="K1317" s="26">
        <v>0</v>
      </c>
      <c r="L1317" s="26">
        <v>48379.199999999997</v>
      </c>
      <c r="M1317" s="26">
        <v>0</v>
      </c>
    </row>
    <row r="1318" spans="1:13">
      <c r="A1318" s="24" t="s">
        <v>204</v>
      </c>
      <c r="B1318" s="24" t="s">
        <v>318</v>
      </c>
      <c r="C1318" s="25">
        <v>45870</v>
      </c>
      <c r="D1318" s="24" t="s">
        <v>2664</v>
      </c>
      <c r="E1318" s="26">
        <v>-155447.51999999999</v>
      </c>
      <c r="F1318" s="26">
        <v>0</v>
      </c>
      <c r="G1318" s="26">
        <v>48379.199999999997</v>
      </c>
      <c r="H1318" s="26">
        <v>-107068.32</v>
      </c>
      <c r="I1318" s="26">
        <v>114729.69</v>
      </c>
      <c r="J1318" s="26">
        <v>0</v>
      </c>
      <c r="K1318" s="26">
        <v>114729.69</v>
      </c>
      <c r="L1318" s="26">
        <v>-107068.32</v>
      </c>
      <c r="M1318" s="26">
        <v>-114729.69</v>
      </c>
    </row>
    <row r="1319" spans="1:13">
      <c r="A1319" s="24" t="s">
        <v>204</v>
      </c>
      <c r="B1319" s="24" t="s">
        <v>318</v>
      </c>
      <c r="C1319" s="25">
        <v>45901</v>
      </c>
      <c r="D1319" s="24" t="s">
        <v>2665</v>
      </c>
      <c r="E1319" s="26">
        <v>-155447.51999999999</v>
      </c>
      <c r="F1319" s="26">
        <v>0</v>
      </c>
      <c r="G1319" s="26">
        <v>107516.24</v>
      </c>
      <c r="H1319" s="26">
        <v>-47931.280000000028</v>
      </c>
      <c r="I1319" s="26">
        <v>114729.69</v>
      </c>
      <c r="J1319" s="26">
        <v>0</v>
      </c>
      <c r="K1319" s="26">
        <v>114729.69</v>
      </c>
      <c r="L1319" s="26">
        <v>-47931.280000000021</v>
      </c>
      <c r="M1319" s="26">
        <v>-114729.69</v>
      </c>
    </row>
    <row r="1320" spans="1:13">
      <c r="A1320" s="24" t="s">
        <v>204</v>
      </c>
      <c r="B1320" s="24" t="s">
        <v>318</v>
      </c>
      <c r="C1320" s="25">
        <v>45931</v>
      </c>
      <c r="D1320" s="24" t="s">
        <v>2666</v>
      </c>
      <c r="E1320" s="26">
        <v>-155447.51999999999</v>
      </c>
      <c r="F1320" s="26">
        <v>146394.04</v>
      </c>
      <c r="G1320" s="26">
        <v>37072.099999999977</v>
      </c>
      <c r="H1320" s="26">
        <v>28018.61999999997</v>
      </c>
      <c r="I1320" s="26">
        <v>114729.69</v>
      </c>
      <c r="J1320" s="26">
        <v>0</v>
      </c>
      <c r="K1320" s="26">
        <v>114729.69</v>
      </c>
      <c r="L1320" s="26">
        <v>28018.61999999997</v>
      </c>
      <c r="M1320" s="26">
        <v>-114729.69</v>
      </c>
    </row>
    <row r="1321" spans="1:13">
      <c r="A1321" s="24" t="s">
        <v>204</v>
      </c>
      <c r="B1321" s="24" t="s">
        <v>318</v>
      </c>
      <c r="C1321" s="25">
        <v>45962</v>
      </c>
      <c r="D1321" s="24" t="s">
        <v>2667</v>
      </c>
      <c r="E1321" s="26">
        <v>-169160.83</v>
      </c>
      <c r="F1321" s="26">
        <v>146394.04</v>
      </c>
      <c r="G1321" s="26">
        <v>86452.01999999999</v>
      </c>
      <c r="H1321" s="26">
        <v>63685.229999999981</v>
      </c>
      <c r="I1321" s="26">
        <v>128443</v>
      </c>
      <c r="J1321" s="26">
        <v>0</v>
      </c>
      <c r="K1321" s="26">
        <v>128443</v>
      </c>
      <c r="L1321" s="26">
        <v>63685.229999999967</v>
      </c>
      <c r="M1321" s="26">
        <v>-128443</v>
      </c>
    </row>
    <row r="1322" spans="1:13">
      <c r="A1322" s="24" t="s">
        <v>204</v>
      </c>
      <c r="B1322" s="24" t="s">
        <v>318</v>
      </c>
      <c r="C1322" s="25">
        <v>45992</v>
      </c>
      <c r="D1322" s="24" t="s">
        <v>2668</v>
      </c>
      <c r="E1322" s="26">
        <v>-169160.83</v>
      </c>
      <c r="F1322" s="26">
        <v>146394.04</v>
      </c>
      <c r="G1322" s="26">
        <v>118341.15</v>
      </c>
      <c r="H1322" s="26">
        <v>95574.359999999986</v>
      </c>
      <c r="I1322" s="26">
        <v>128443</v>
      </c>
      <c r="J1322" s="26">
        <v>0</v>
      </c>
      <c r="K1322" s="26">
        <v>128443</v>
      </c>
      <c r="L1322" s="26">
        <v>95574.359999999971</v>
      </c>
      <c r="M1322" s="26">
        <v>-128443</v>
      </c>
    </row>
    <row r="1323" spans="1:13">
      <c r="A1323" s="24" t="s">
        <v>82</v>
      </c>
      <c r="B1323" s="24" t="s">
        <v>337</v>
      </c>
      <c r="C1323" s="25">
        <v>45658</v>
      </c>
      <c r="D1323" s="24" t="s">
        <v>2657</v>
      </c>
      <c r="E1323" s="26">
        <v>0</v>
      </c>
      <c r="F1323" s="26">
        <v>0</v>
      </c>
      <c r="G1323" s="26">
        <v>0</v>
      </c>
      <c r="H1323" s="26">
        <v>0</v>
      </c>
      <c r="I1323" s="26">
        <v>0</v>
      </c>
      <c r="J1323" s="26">
        <v>0</v>
      </c>
      <c r="K1323" s="26">
        <v>0</v>
      </c>
      <c r="L1323" s="26">
        <v>0</v>
      </c>
      <c r="M1323" s="26">
        <v>0</v>
      </c>
    </row>
    <row r="1324" spans="1:13">
      <c r="A1324" s="24" t="s">
        <v>82</v>
      </c>
      <c r="B1324" s="24" t="s">
        <v>337</v>
      </c>
      <c r="C1324" s="25">
        <v>45689</v>
      </c>
      <c r="D1324" s="24" t="s">
        <v>2658</v>
      </c>
      <c r="E1324" s="26">
        <v>0</v>
      </c>
      <c r="F1324" s="26">
        <v>0</v>
      </c>
      <c r="G1324" s="26">
        <v>0</v>
      </c>
      <c r="H1324" s="26">
        <v>0</v>
      </c>
      <c r="I1324" s="26">
        <v>0</v>
      </c>
      <c r="J1324" s="26">
        <v>0</v>
      </c>
      <c r="K1324" s="26">
        <v>0</v>
      </c>
      <c r="L1324" s="26">
        <v>0</v>
      </c>
      <c r="M1324" s="26">
        <v>0</v>
      </c>
    </row>
    <row r="1325" spans="1:13">
      <c r="A1325" s="24" t="s">
        <v>82</v>
      </c>
      <c r="B1325" s="24" t="s">
        <v>337</v>
      </c>
      <c r="C1325" s="25">
        <v>45717</v>
      </c>
      <c r="D1325" s="24" t="s">
        <v>2659</v>
      </c>
      <c r="E1325" s="26">
        <v>0</v>
      </c>
      <c r="F1325" s="26">
        <v>0</v>
      </c>
      <c r="G1325" s="26">
        <v>0</v>
      </c>
      <c r="H1325" s="26">
        <v>0</v>
      </c>
      <c r="I1325" s="26">
        <v>0</v>
      </c>
      <c r="J1325" s="26">
        <v>0</v>
      </c>
      <c r="K1325" s="26">
        <v>0</v>
      </c>
      <c r="L1325" s="26">
        <v>0</v>
      </c>
      <c r="M1325" s="26">
        <v>0</v>
      </c>
    </row>
    <row r="1326" spans="1:13">
      <c r="A1326" s="24" t="s">
        <v>82</v>
      </c>
      <c r="B1326" s="24" t="s">
        <v>337</v>
      </c>
      <c r="C1326" s="25">
        <v>45748</v>
      </c>
      <c r="D1326" s="24" t="s">
        <v>2660</v>
      </c>
      <c r="E1326" s="26">
        <v>0</v>
      </c>
      <c r="F1326" s="26">
        <v>0</v>
      </c>
      <c r="G1326" s="26">
        <v>0</v>
      </c>
      <c r="H1326" s="26">
        <v>0</v>
      </c>
      <c r="I1326" s="26">
        <v>0</v>
      </c>
      <c r="J1326" s="26">
        <v>0</v>
      </c>
      <c r="K1326" s="26">
        <v>0</v>
      </c>
      <c r="L1326" s="26">
        <v>0</v>
      </c>
      <c r="M1326" s="26">
        <v>0</v>
      </c>
    </row>
    <row r="1327" spans="1:13">
      <c r="A1327" s="24" t="s">
        <v>82</v>
      </c>
      <c r="B1327" s="24" t="s">
        <v>337</v>
      </c>
      <c r="C1327" s="25">
        <v>45778</v>
      </c>
      <c r="D1327" s="24" t="s">
        <v>2661</v>
      </c>
      <c r="E1327" s="26">
        <v>0</v>
      </c>
      <c r="F1327" s="26">
        <v>0</v>
      </c>
      <c r="G1327" s="26">
        <v>0</v>
      </c>
      <c r="H1327" s="26">
        <v>0</v>
      </c>
      <c r="I1327" s="26">
        <v>0</v>
      </c>
      <c r="J1327" s="26">
        <v>0</v>
      </c>
      <c r="K1327" s="26">
        <v>0</v>
      </c>
      <c r="L1327" s="26">
        <v>0</v>
      </c>
      <c r="M1327" s="26">
        <v>0</v>
      </c>
    </row>
    <row r="1328" spans="1:13">
      <c r="A1328" s="24" t="s">
        <v>82</v>
      </c>
      <c r="B1328" s="24" t="s">
        <v>337</v>
      </c>
      <c r="C1328" s="25">
        <v>45809</v>
      </c>
      <c r="D1328" s="24" t="s">
        <v>2662</v>
      </c>
      <c r="E1328" s="26">
        <v>0</v>
      </c>
      <c r="F1328" s="26">
        <v>0</v>
      </c>
      <c r="G1328" s="26">
        <v>0</v>
      </c>
      <c r="H1328" s="26">
        <v>0</v>
      </c>
      <c r="I1328" s="26">
        <v>0</v>
      </c>
      <c r="J1328" s="26">
        <v>0</v>
      </c>
      <c r="K1328" s="26">
        <v>0</v>
      </c>
      <c r="L1328" s="26">
        <v>0</v>
      </c>
      <c r="M1328" s="26">
        <v>0</v>
      </c>
    </row>
    <row r="1329" spans="1:13">
      <c r="A1329" s="24" t="s">
        <v>82</v>
      </c>
      <c r="B1329" s="24" t="s">
        <v>337</v>
      </c>
      <c r="C1329" s="25">
        <v>45839</v>
      </c>
      <c r="D1329" s="24" t="s">
        <v>2663</v>
      </c>
      <c r="E1329" s="26">
        <v>-116535.73</v>
      </c>
      <c r="F1329" s="26">
        <v>0</v>
      </c>
      <c r="G1329" s="26">
        <v>0</v>
      </c>
      <c r="H1329" s="26">
        <v>-116535.73</v>
      </c>
      <c r="I1329" s="26">
        <v>116535.73</v>
      </c>
      <c r="J1329" s="26">
        <v>0</v>
      </c>
      <c r="K1329" s="26">
        <v>116535.73</v>
      </c>
      <c r="L1329" s="26">
        <v>-116535.73</v>
      </c>
      <c r="M1329" s="26">
        <v>-116535.73</v>
      </c>
    </row>
    <row r="1330" spans="1:13">
      <c r="A1330" s="24" t="s">
        <v>82</v>
      </c>
      <c r="B1330" s="24" t="s">
        <v>337</v>
      </c>
      <c r="C1330" s="25">
        <v>45870</v>
      </c>
      <c r="D1330" s="24" t="s">
        <v>2664</v>
      </c>
      <c r="E1330" s="26">
        <v>-116535.73</v>
      </c>
      <c r="F1330" s="26">
        <v>0</v>
      </c>
      <c r="G1330" s="26">
        <v>0</v>
      </c>
      <c r="H1330" s="26">
        <v>-116535.73</v>
      </c>
      <c r="I1330" s="26">
        <v>116535.73</v>
      </c>
      <c r="J1330" s="26">
        <v>0</v>
      </c>
      <c r="K1330" s="26">
        <v>116535.73</v>
      </c>
      <c r="L1330" s="26">
        <v>-116535.73</v>
      </c>
      <c r="M1330" s="26">
        <v>-116535.73</v>
      </c>
    </row>
    <row r="1331" spans="1:13">
      <c r="A1331" s="24" t="s">
        <v>82</v>
      </c>
      <c r="B1331" s="24" t="s">
        <v>337</v>
      </c>
      <c r="C1331" s="25">
        <v>45901</v>
      </c>
      <c r="D1331" s="24" t="s">
        <v>2665</v>
      </c>
      <c r="E1331" s="26">
        <v>-116535.73</v>
      </c>
      <c r="F1331" s="26">
        <v>0</v>
      </c>
      <c r="G1331" s="26">
        <v>0</v>
      </c>
      <c r="H1331" s="26">
        <v>-116535.73</v>
      </c>
      <c r="I1331" s="26">
        <v>116535.73</v>
      </c>
      <c r="J1331" s="26">
        <v>0</v>
      </c>
      <c r="K1331" s="26">
        <v>116535.73</v>
      </c>
      <c r="L1331" s="26">
        <v>-116535.73</v>
      </c>
      <c r="M1331" s="26">
        <v>-116535.73</v>
      </c>
    </row>
    <row r="1332" spans="1:13">
      <c r="A1332" s="24" t="s">
        <v>82</v>
      </c>
      <c r="B1332" s="24" t="s">
        <v>337</v>
      </c>
      <c r="C1332" s="25">
        <v>45931</v>
      </c>
      <c r="D1332" s="24" t="s">
        <v>2666</v>
      </c>
      <c r="E1332" s="26">
        <v>-116535.73</v>
      </c>
      <c r="F1332" s="26">
        <v>0</v>
      </c>
      <c r="G1332" s="26">
        <v>0</v>
      </c>
      <c r="H1332" s="26">
        <v>-116535.73</v>
      </c>
      <c r="I1332" s="26">
        <v>116535.73</v>
      </c>
      <c r="J1332" s="26">
        <v>0</v>
      </c>
      <c r="K1332" s="26">
        <v>116535.73</v>
      </c>
      <c r="L1332" s="26">
        <v>-116535.73</v>
      </c>
      <c r="M1332" s="26">
        <v>-116535.73</v>
      </c>
    </row>
    <row r="1333" spans="1:13">
      <c r="A1333" s="24" t="s">
        <v>82</v>
      </c>
      <c r="B1333" s="24" t="s">
        <v>337</v>
      </c>
      <c r="C1333" s="25">
        <v>45962</v>
      </c>
      <c r="D1333" s="24" t="s">
        <v>2667</v>
      </c>
      <c r="E1333" s="26">
        <v>-116535.73</v>
      </c>
      <c r="F1333" s="26">
        <v>0</v>
      </c>
      <c r="G1333" s="26">
        <v>0</v>
      </c>
      <c r="H1333" s="26">
        <v>-116535.73</v>
      </c>
      <c r="I1333" s="26">
        <v>116535.73</v>
      </c>
      <c r="J1333" s="26">
        <v>0</v>
      </c>
      <c r="K1333" s="26">
        <v>116535.73</v>
      </c>
      <c r="L1333" s="26">
        <v>-116535.73</v>
      </c>
      <c r="M1333" s="26">
        <v>-116535.73</v>
      </c>
    </row>
    <row r="1334" spans="1:13">
      <c r="A1334" s="24" t="s">
        <v>82</v>
      </c>
      <c r="B1334" s="24" t="s">
        <v>337</v>
      </c>
      <c r="C1334" s="25">
        <v>45992</v>
      </c>
      <c r="D1334" s="24" t="s">
        <v>2668</v>
      </c>
      <c r="E1334" s="26">
        <v>-161768.51</v>
      </c>
      <c r="F1334" s="26">
        <v>0</v>
      </c>
      <c r="G1334" s="26">
        <v>0</v>
      </c>
      <c r="H1334" s="26">
        <v>-161768.51</v>
      </c>
      <c r="I1334" s="26">
        <v>116535.73</v>
      </c>
      <c r="J1334" s="26">
        <v>0</v>
      </c>
      <c r="K1334" s="26">
        <v>116535.73</v>
      </c>
      <c r="L1334" s="26">
        <v>-161768.51</v>
      </c>
      <c r="M1334" s="26">
        <v>-116535.73</v>
      </c>
    </row>
    <row r="1335" spans="1:13">
      <c r="A1335" s="24" t="s">
        <v>227</v>
      </c>
      <c r="B1335" s="24" t="s">
        <v>329</v>
      </c>
      <c r="C1335" s="25">
        <v>45658</v>
      </c>
      <c r="D1335" s="24" t="s">
        <v>2657</v>
      </c>
      <c r="E1335" s="26">
        <v>0</v>
      </c>
      <c r="F1335" s="26">
        <v>0</v>
      </c>
      <c r="G1335" s="26">
        <v>0</v>
      </c>
      <c r="H1335" s="26">
        <v>0</v>
      </c>
      <c r="I1335" s="26">
        <v>0</v>
      </c>
      <c r="J1335" s="26">
        <v>0</v>
      </c>
      <c r="K1335" s="26">
        <v>0</v>
      </c>
      <c r="L1335" s="26">
        <v>0</v>
      </c>
      <c r="M1335" s="26">
        <v>0</v>
      </c>
    </row>
    <row r="1336" spans="1:13">
      <c r="A1336" s="24" t="s">
        <v>227</v>
      </c>
      <c r="B1336" s="24" t="s">
        <v>329</v>
      </c>
      <c r="C1336" s="25">
        <v>45689</v>
      </c>
      <c r="D1336" s="24" t="s">
        <v>2658</v>
      </c>
      <c r="E1336" s="26">
        <v>0</v>
      </c>
      <c r="F1336" s="26">
        <v>0</v>
      </c>
      <c r="G1336" s="26">
        <v>0</v>
      </c>
      <c r="H1336" s="26">
        <v>0</v>
      </c>
      <c r="I1336" s="26">
        <v>0</v>
      </c>
      <c r="J1336" s="26">
        <v>0</v>
      </c>
      <c r="K1336" s="26">
        <v>0</v>
      </c>
      <c r="L1336" s="26">
        <v>0</v>
      </c>
      <c r="M1336" s="26">
        <v>0</v>
      </c>
    </row>
    <row r="1337" spans="1:13">
      <c r="A1337" s="24" t="s">
        <v>227</v>
      </c>
      <c r="B1337" s="24" t="s">
        <v>329</v>
      </c>
      <c r="C1337" s="25">
        <v>45717</v>
      </c>
      <c r="D1337" s="24" t="s">
        <v>2659</v>
      </c>
      <c r="E1337" s="26">
        <v>0</v>
      </c>
      <c r="F1337" s="26">
        <v>0</v>
      </c>
      <c r="G1337" s="26">
        <v>0</v>
      </c>
      <c r="H1337" s="26">
        <v>0</v>
      </c>
      <c r="I1337" s="26">
        <v>0</v>
      </c>
      <c r="J1337" s="26">
        <v>0</v>
      </c>
      <c r="K1337" s="26">
        <v>0</v>
      </c>
      <c r="L1337" s="26">
        <v>0</v>
      </c>
      <c r="M1337" s="26">
        <v>0</v>
      </c>
    </row>
    <row r="1338" spans="1:13">
      <c r="A1338" s="24" t="s">
        <v>227</v>
      </c>
      <c r="B1338" s="24" t="s">
        <v>329</v>
      </c>
      <c r="C1338" s="25">
        <v>45748</v>
      </c>
      <c r="D1338" s="24" t="s">
        <v>2660</v>
      </c>
      <c r="E1338" s="26">
        <v>0</v>
      </c>
      <c r="F1338" s="26">
        <v>0</v>
      </c>
      <c r="G1338" s="26">
        <v>0</v>
      </c>
      <c r="H1338" s="26">
        <v>0</v>
      </c>
      <c r="I1338" s="26">
        <v>0</v>
      </c>
      <c r="J1338" s="26">
        <v>0</v>
      </c>
      <c r="K1338" s="26">
        <v>0</v>
      </c>
      <c r="L1338" s="26">
        <v>0</v>
      </c>
      <c r="M1338" s="26">
        <v>0</v>
      </c>
    </row>
    <row r="1339" spans="1:13">
      <c r="A1339" s="24" t="s">
        <v>227</v>
      </c>
      <c r="B1339" s="24" t="s">
        <v>329</v>
      </c>
      <c r="C1339" s="25">
        <v>45778</v>
      </c>
      <c r="D1339" s="24" t="s">
        <v>2661</v>
      </c>
      <c r="E1339" s="26">
        <v>0</v>
      </c>
      <c r="F1339" s="26">
        <v>0</v>
      </c>
      <c r="G1339" s="26">
        <v>0</v>
      </c>
      <c r="H1339" s="26">
        <v>0</v>
      </c>
      <c r="I1339" s="26">
        <v>0</v>
      </c>
      <c r="J1339" s="26">
        <v>0</v>
      </c>
      <c r="K1339" s="26">
        <v>0</v>
      </c>
      <c r="L1339" s="26">
        <v>0</v>
      </c>
      <c r="M1339" s="26">
        <v>0</v>
      </c>
    </row>
    <row r="1340" spans="1:13">
      <c r="A1340" s="24" t="s">
        <v>227</v>
      </c>
      <c r="B1340" s="24" t="s">
        <v>329</v>
      </c>
      <c r="C1340" s="25">
        <v>45809</v>
      </c>
      <c r="D1340" s="24" t="s">
        <v>2662</v>
      </c>
      <c r="E1340" s="26">
        <v>0</v>
      </c>
      <c r="F1340" s="26">
        <v>0</v>
      </c>
      <c r="G1340" s="26">
        <v>0</v>
      </c>
      <c r="H1340" s="26">
        <v>0</v>
      </c>
      <c r="I1340" s="26">
        <v>0</v>
      </c>
      <c r="J1340" s="26">
        <v>0</v>
      </c>
      <c r="K1340" s="26">
        <v>0</v>
      </c>
      <c r="L1340" s="26">
        <v>0</v>
      </c>
      <c r="M1340" s="26">
        <v>0</v>
      </c>
    </row>
    <row r="1341" spans="1:13">
      <c r="A1341" s="24" t="s">
        <v>227</v>
      </c>
      <c r="B1341" s="24" t="s">
        <v>329</v>
      </c>
      <c r="C1341" s="25">
        <v>45839</v>
      </c>
      <c r="D1341" s="24" t="s">
        <v>2663</v>
      </c>
      <c r="E1341" s="26">
        <v>0</v>
      </c>
      <c r="F1341" s="26">
        <v>0</v>
      </c>
      <c r="G1341" s="26">
        <v>76664.63</v>
      </c>
      <c r="H1341" s="26">
        <v>76664.63</v>
      </c>
      <c r="I1341" s="26">
        <v>0</v>
      </c>
      <c r="J1341" s="26">
        <v>0</v>
      </c>
      <c r="K1341" s="26">
        <v>0</v>
      </c>
      <c r="L1341" s="26">
        <v>76664.63</v>
      </c>
      <c r="M1341" s="26">
        <v>0</v>
      </c>
    </row>
    <row r="1342" spans="1:13">
      <c r="A1342" s="24" t="s">
        <v>227</v>
      </c>
      <c r="B1342" s="24" t="s">
        <v>329</v>
      </c>
      <c r="C1342" s="25">
        <v>45870</v>
      </c>
      <c r="D1342" s="24" t="s">
        <v>2664</v>
      </c>
      <c r="E1342" s="26">
        <v>0</v>
      </c>
      <c r="F1342" s="26">
        <v>0</v>
      </c>
      <c r="G1342" s="26">
        <v>0</v>
      </c>
      <c r="H1342" s="26">
        <v>0</v>
      </c>
      <c r="I1342" s="26">
        <v>0</v>
      </c>
      <c r="J1342" s="26">
        <v>0</v>
      </c>
      <c r="K1342" s="26">
        <v>0</v>
      </c>
      <c r="L1342" s="26">
        <v>76664.63</v>
      </c>
      <c r="M1342" s="26">
        <v>-76664.63</v>
      </c>
    </row>
    <row r="1343" spans="1:13">
      <c r="A1343" s="24" t="s">
        <v>227</v>
      </c>
      <c r="B1343" s="24" t="s">
        <v>329</v>
      </c>
      <c r="C1343" s="25">
        <v>45901</v>
      </c>
      <c r="D1343" s="24" t="s">
        <v>2665</v>
      </c>
      <c r="E1343" s="26">
        <v>-8589.44</v>
      </c>
      <c r="F1343" s="26">
        <v>0</v>
      </c>
      <c r="G1343" s="26">
        <v>0</v>
      </c>
      <c r="H1343" s="26">
        <v>-8589.44</v>
      </c>
      <c r="I1343" s="26">
        <v>8589.44</v>
      </c>
      <c r="J1343" s="26">
        <v>0</v>
      </c>
      <c r="K1343" s="26">
        <v>8589.44</v>
      </c>
      <c r="L1343" s="26">
        <v>68075.19</v>
      </c>
      <c r="M1343" s="26">
        <v>-85254.07</v>
      </c>
    </row>
    <row r="1344" spans="1:13">
      <c r="A1344" s="24" t="s">
        <v>227</v>
      </c>
      <c r="B1344" s="24" t="s">
        <v>329</v>
      </c>
      <c r="C1344" s="25">
        <v>45931</v>
      </c>
      <c r="D1344" s="24" t="s">
        <v>2666</v>
      </c>
      <c r="E1344" s="26">
        <v>-8589.44</v>
      </c>
      <c r="F1344" s="26">
        <v>37387.760000000002</v>
      </c>
      <c r="G1344" s="26">
        <v>0</v>
      </c>
      <c r="H1344" s="26">
        <v>28798.32</v>
      </c>
      <c r="I1344" s="26">
        <v>8589.44</v>
      </c>
      <c r="J1344" s="26">
        <v>0</v>
      </c>
      <c r="K1344" s="26">
        <v>8589.44</v>
      </c>
      <c r="L1344" s="26">
        <v>68075.19</v>
      </c>
      <c r="M1344" s="26">
        <v>-47866.31</v>
      </c>
    </row>
    <row r="1345" spans="1:13">
      <c r="A1345" s="24" t="s">
        <v>227</v>
      </c>
      <c r="B1345" s="24" t="s">
        <v>329</v>
      </c>
      <c r="C1345" s="25">
        <v>45962</v>
      </c>
      <c r="D1345" s="24" t="s">
        <v>2667</v>
      </c>
      <c r="E1345" s="26">
        <v>-8589.44</v>
      </c>
      <c r="F1345" s="26">
        <v>37387.760000000002</v>
      </c>
      <c r="G1345" s="26">
        <v>0</v>
      </c>
      <c r="H1345" s="26">
        <v>28798.32</v>
      </c>
      <c r="I1345" s="26">
        <v>8589.44</v>
      </c>
      <c r="J1345" s="26">
        <v>0</v>
      </c>
      <c r="K1345" s="26">
        <v>8589.44</v>
      </c>
      <c r="L1345" s="26">
        <v>111956.15</v>
      </c>
      <c r="M1345" s="26">
        <v>-91747.26999999999</v>
      </c>
    </row>
    <row r="1346" spans="1:13">
      <c r="A1346" s="24" t="s">
        <v>227</v>
      </c>
      <c r="B1346" s="24" t="s">
        <v>329</v>
      </c>
      <c r="C1346" s="25">
        <v>45992</v>
      </c>
      <c r="D1346" s="24" t="s">
        <v>2668</v>
      </c>
      <c r="E1346" s="26">
        <v>-8589.44</v>
      </c>
      <c r="F1346" s="26">
        <v>37387.760000000002</v>
      </c>
      <c r="G1346" s="26">
        <v>0</v>
      </c>
      <c r="H1346" s="26">
        <v>28798.32</v>
      </c>
      <c r="I1346" s="26">
        <v>8589.44</v>
      </c>
      <c r="J1346" s="26">
        <v>0</v>
      </c>
      <c r="K1346" s="26">
        <v>8589.44</v>
      </c>
      <c r="L1346" s="26">
        <v>111956.15</v>
      </c>
      <c r="M1346" s="26">
        <v>-91747.26999999999</v>
      </c>
    </row>
    <row r="1347" spans="1:13">
      <c r="A1347" s="24" t="s">
        <v>164</v>
      </c>
      <c r="B1347" s="24" t="s">
        <v>329</v>
      </c>
      <c r="C1347" s="25">
        <v>45658</v>
      </c>
      <c r="D1347" s="24" t="s">
        <v>2657</v>
      </c>
      <c r="E1347" s="26">
        <v>0</v>
      </c>
      <c r="F1347" s="26">
        <v>0</v>
      </c>
      <c r="G1347" s="26">
        <v>0</v>
      </c>
      <c r="H1347" s="26">
        <v>0</v>
      </c>
      <c r="I1347" s="26">
        <v>0</v>
      </c>
      <c r="J1347" s="26">
        <v>0</v>
      </c>
      <c r="K1347" s="26">
        <v>0</v>
      </c>
      <c r="L1347" s="26">
        <v>0</v>
      </c>
      <c r="M1347" s="26">
        <v>0</v>
      </c>
    </row>
    <row r="1348" spans="1:13">
      <c r="A1348" s="24" t="s">
        <v>164</v>
      </c>
      <c r="B1348" s="24" t="s">
        <v>329</v>
      </c>
      <c r="C1348" s="25">
        <v>45689</v>
      </c>
      <c r="D1348" s="24" t="s">
        <v>2658</v>
      </c>
      <c r="E1348" s="26">
        <v>0</v>
      </c>
      <c r="F1348" s="26">
        <v>0</v>
      </c>
      <c r="G1348" s="26">
        <v>0</v>
      </c>
      <c r="H1348" s="26">
        <v>0</v>
      </c>
      <c r="I1348" s="26">
        <v>0</v>
      </c>
      <c r="J1348" s="26">
        <v>0</v>
      </c>
      <c r="K1348" s="26">
        <v>0</v>
      </c>
      <c r="L1348" s="26">
        <v>0</v>
      </c>
      <c r="M1348" s="26">
        <v>0</v>
      </c>
    </row>
    <row r="1349" spans="1:13">
      <c r="A1349" s="24" t="s">
        <v>164</v>
      </c>
      <c r="B1349" s="24" t="s">
        <v>329</v>
      </c>
      <c r="C1349" s="25">
        <v>45717</v>
      </c>
      <c r="D1349" s="24" t="s">
        <v>2659</v>
      </c>
      <c r="E1349" s="26">
        <v>0</v>
      </c>
      <c r="F1349" s="26">
        <v>0</v>
      </c>
      <c r="G1349" s="26">
        <v>0</v>
      </c>
      <c r="H1349" s="26">
        <v>0</v>
      </c>
      <c r="I1349" s="26">
        <v>0</v>
      </c>
      <c r="J1349" s="26">
        <v>0</v>
      </c>
      <c r="K1349" s="26">
        <v>0</v>
      </c>
      <c r="L1349" s="26">
        <v>0</v>
      </c>
      <c r="M1349" s="26">
        <v>0</v>
      </c>
    </row>
    <row r="1350" spans="1:13">
      <c r="A1350" s="24" t="s">
        <v>164</v>
      </c>
      <c r="B1350" s="24" t="s">
        <v>329</v>
      </c>
      <c r="C1350" s="25">
        <v>45748</v>
      </c>
      <c r="D1350" s="24" t="s">
        <v>2660</v>
      </c>
      <c r="E1350" s="26">
        <v>0</v>
      </c>
      <c r="F1350" s="26">
        <v>0</v>
      </c>
      <c r="G1350" s="26">
        <v>0</v>
      </c>
      <c r="H1350" s="26">
        <v>0</v>
      </c>
      <c r="I1350" s="26">
        <v>0</v>
      </c>
      <c r="J1350" s="26">
        <v>0</v>
      </c>
      <c r="K1350" s="26">
        <v>0</v>
      </c>
      <c r="L1350" s="26">
        <v>0</v>
      </c>
      <c r="M1350" s="26">
        <v>0</v>
      </c>
    </row>
    <row r="1351" spans="1:13">
      <c r="A1351" s="24" t="s">
        <v>164</v>
      </c>
      <c r="B1351" s="24" t="s">
        <v>329</v>
      </c>
      <c r="C1351" s="25">
        <v>45778</v>
      </c>
      <c r="D1351" s="24" t="s">
        <v>2661</v>
      </c>
      <c r="E1351" s="26">
        <v>0</v>
      </c>
      <c r="F1351" s="26">
        <v>0</v>
      </c>
      <c r="G1351" s="26">
        <v>0</v>
      </c>
      <c r="H1351" s="26">
        <v>0</v>
      </c>
      <c r="I1351" s="26">
        <v>0</v>
      </c>
      <c r="J1351" s="26">
        <v>0</v>
      </c>
      <c r="K1351" s="26">
        <v>0</v>
      </c>
      <c r="L1351" s="26">
        <v>0</v>
      </c>
      <c r="M1351" s="26">
        <v>0</v>
      </c>
    </row>
    <row r="1352" spans="1:13">
      <c r="A1352" s="24" t="s">
        <v>164</v>
      </c>
      <c r="B1352" s="24" t="s">
        <v>329</v>
      </c>
      <c r="C1352" s="25">
        <v>45809</v>
      </c>
      <c r="D1352" s="24" t="s">
        <v>2662</v>
      </c>
      <c r="E1352" s="26">
        <v>0</v>
      </c>
      <c r="F1352" s="26">
        <v>0</v>
      </c>
      <c r="G1352" s="26">
        <v>0</v>
      </c>
      <c r="H1352" s="26">
        <v>0</v>
      </c>
      <c r="I1352" s="26">
        <v>0</v>
      </c>
      <c r="J1352" s="26">
        <v>0</v>
      </c>
      <c r="K1352" s="26">
        <v>0</v>
      </c>
      <c r="L1352" s="26">
        <v>0</v>
      </c>
      <c r="M1352" s="26">
        <v>0</v>
      </c>
    </row>
    <row r="1353" spans="1:13">
      <c r="A1353" s="24" t="s">
        <v>164</v>
      </c>
      <c r="B1353" s="24" t="s">
        <v>329</v>
      </c>
      <c r="C1353" s="25">
        <v>45839</v>
      </c>
      <c r="D1353" s="24" t="s">
        <v>2663</v>
      </c>
      <c r="E1353" s="26">
        <v>0</v>
      </c>
      <c r="F1353" s="26">
        <v>0</v>
      </c>
      <c r="G1353" s="26">
        <v>0</v>
      </c>
      <c r="H1353" s="26">
        <v>0</v>
      </c>
      <c r="I1353" s="26">
        <v>0</v>
      </c>
      <c r="J1353" s="26">
        <v>0</v>
      </c>
      <c r="K1353" s="26">
        <v>0</v>
      </c>
      <c r="L1353" s="26">
        <v>0</v>
      </c>
      <c r="M1353" s="26">
        <v>0</v>
      </c>
    </row>
    <row r="1354" spans="1:13">
      <c r="A1354" s="24" t="s">
        <v>164</v>
      </c>
      <c r="B1354" s="24" t="s">
        <v>329</v>
      </c>
      <c r="C1354" s="25">
        <v>45870</v>
      </c>
      <c r="D1354" s="24" t="s">
        <v>2664</v>
      </c>
      <c r="E1354" s="26">
        <v>0</v>
      </c>
      <c r="F1354" s="26">
        <v>0</v>
      </c>
      <c r="G1354" s="26">
        <v>59904.28</v>
      </c>
      <c r="H1354" s="26">
        <v>59904.28</v>
      </c>
      <c r="I1354" s="26">
        <v>0</v>
      </c>
      <c r="J1354" s="26">
        <v>0</v>
      </c>
      <c r="K1354" s="26">
        <v>0</v>
      </c>
      <c r="L1354" s="26">
        <v>59904.28</v>
      </c>
      <c r="M1354" s="26">
        <v>0</v>
      </c>
    </row>
    <row r="1355" spans="1:13">
      <c r="A1355" s="24" t="s">
        <v>164</v>
      </c>
      <c r="B1355" s="24" t="s">
        <v>329</v>
      </c>
      <c r="C1355" s="25">
        <v>45901</v>
      </c>
      <c r="D1355" s="24" t="s">
        <v>2665</v>
      </c>
      <c r="E1355" s="26">
        <v>0</v>
      </c>
      <c r="F1355" s="26">
        <v>0</v>
      </c>
      <c r="G1355" s="26">
        <v>97767.61</v>
      </c>
      <c r="H1355" s="26">
        <v>97767.61</v>
      </c>
      <c r="I1355" s="26">
        <v>0</v>
      </c>
      <c r="J1355" s="26">
        <v>0</v>
      </c>
      <c r="K1355" s="26">
        <v>0</v>
      </c>
      <c r="L1355" s="26">
        <v>97767.61</v>
      </c>
      <c r="M1355" s="26">
        <v>0</v>
      </c>
    </row>
    <row r="1356" spans="1:13">
      <c r="A1356" s="24" t="s">
        <v>164</v>
      </c>
      <c r="B1356" s="24" t="s">
        <v>329</v>
      </c>
      <c r="C1356" s="25">
        <v>45931</v>
      </c>
      <c r="D1356" s="24" t="s">
        <v>2666</v>
      </c>
      <c r="E1356" s="26">
        <v>0</v>
      </c>
      <c r="F1356" s="26">
        <v>0</v>
      </c>
      <c r="G1356" s="26">
        <v>149109.35</v>
      </c>
      <c r="H1356" s="26">
        <v>149109.35</v>
      </c>
      <c r="I1356" s="26">
        <v>0</v>
      </c>
      <c r="J1356" s="26">
        <v>0</v>
      </c>
      <c r="K1356" s="26">
        <v>0</v>
      </c>
      <c r="L1356" s="26">
        <v>149109.35</v>
      </c>
      <c r="M1356" s="26">
        <v>0</v>
      </c>
    </row>
    <row r="1357" spans="1:13">
      <c r="A1357" s="24" t="s">
        <v>164</v>
      </c>
      <c r="B1357" s="24" t="s">
        <v>329</v>
      </c>
      <c r="C1357" s="25">
        <v>45962</v>
      </c>
      <c r="D1357" s="24" t="s">
        <v>2667</v>
      </c>
      <c r="E1357" s="26">
        <v>-113989.06</v>
      </c>
      <c r="F1357" s="26">
        <v>0</v>
      </c>
      <c r="G1357" s="26">
        <v>202924.79</v>
      </c>
      <c r="H1357" s="26">
        <v>88935.73000000001</v>
      </c>
      <c r="I1357" s="26">
        <v>113989.06</v>
      </c>
      <c r="J1357" s="26">
        <v>0</v>
      </c>
      <c r="K1357" s="26">
        <v>113989.06</v>
      </c>
      <c r="L1357" s="26">
        <v>88935.73000000001</v>
      </c>
      <c r="M1357" s="26">
        <v>-113989.06</v>
      </c>
    </row>
    <row r="1358" spans="1:13">
      <c r="A1358" s="24" t="s">
        <v>164</v>
      </c>
      <c r="B1358" s="24" t="s">
        <v>329</v>
      </c>
      <c r="C1358" s="25">
        <v>45992</v>
      </c>
      <c r="D1358" s="24" t="s">
        <v>2668</v>
      </c>
      <c r="E1358" s="26">
        <v>-113989.06</v>
      </c>
      <c r="F1358" s="26">
        <v>0</v>
      </c>
      <c r="G1358" s="26">
        <v>208870.42</v>
      </c>
      <c r="H1358" s="26">
        <v>94881.360000000015</v>
      </c>
      <c r="I1358" s="26">
        <v>113989.06</v>
      </c>
      <c r="J1358" s="26">
        <v>0</v>
      </c>
      <c r="K1358" s="26">
        <v>113989.06</v>
      </c>
      <c r="L1358" s="26">
        <v>154689.15</v>
      </c>
      <c r="M1358" s="26">
        <v>-173796.85</v>
      </c>
    </row>
    <row r="1359" spans="1:13">
      <c r="A1359" s="24" t="s">
        <v>112</v>
      </c>
      <c r="B1359" s="24" t="s">
        <v>345</v>
      </c>
      <c r="C1359" s="25">
        <v>45658</v>
      </c>
      <c r="D1359" s="24" t="s">
        <v>2657</v>
      </c>
      <c r="E1359" s="26">
        <v>0</v>
      </c>
      <c r="F1359" s="26">
        <v>0</v>
      </c>
      <c r="G1359" s="26">
        <v>0</v>
      </c>
      <c r="H1359" s="26">
        <v>0</v>
      </c>
      <c r="I1359" s="26">
        <v>0</v>
      </c>
      <c r="J1359" s="26">
        <v>0</v>
      </c>
      <c r="K1359" s="26">
        <v>0</v>
      </c>
      <c r="L1359" s="26">
        <v>0</v>
      </c>
      <c r="M1359" s="26">
        <v>0</v>
      </c>
    </row>
    <row r="1360" spans="1:13">
      <c r="A1360" s="24" t="s">
        <v>112</v>
      </c>
      <c r="B1360" s="24" t="s">
        <v>345</v>
      </c>
      <c r="C1360" s="25">
        <v>45689</v>
      </c>
      <c r="D1360" s="24" t="s">
        <v>2658</v>
      </c>
      <c r="E1360" s="26">
        <v>0</v>
      </c>
      <c r="F1360" s="26">
        <v>0</v>
      </c>
      <c r="G1360" s="26">
        <v>0</v>
      </c>
      <c r="H1360" s="26">
        <v>0</v>
      </c>
      <c r="I1360" s="26">
        <v>0</v>
      </c>
      <c r="J1360" s="26">
        <v>0</v>
      </c>
      <c r="K1360" s="26">
        <v>0</v>
      </c>
      <c r="L1360" s="26">
        <v>0</v>
      </c>
      <c r="M1360" s="26">
        <v>0</v>
      </c>
    </row>
    <row r="1361" spans="1:13">
      <c r="A1361" s="24" t="s">
        <v>112</v>
      </c>
      <c r="B1361" s="24" t="s">
        <v>345</v>
      </c>
      <c r="C1361" s="25">
        <v>45717</v>
      </c>
      <c r="D1361" s="24" t="s">
        <v>2659</v>
      </c>
      <c r="E1361" s="26">
        <v>0</v>
      </c>
      <c r="F1361" s="26">
        <v>0</v>
      </c>
      <c r="G1361" s="26">
        <v>0</v>
      </c>
      <c r="H1361" s="26">
        <v>0</v>
      </c>
      <c r="I1361" s="26">
        <v>0</v>
      </c>
      <c r="J1361" s="26">
        <v>0</v>
      </c>
      <c r="K1361" s="26">
        <v>0</v>
      </c>
      <c r="L1361" s="26">
        <v>0</v>
      </c>
      <c r="M1361" s="26">
        <v>0</v>
      </c>
    </row>
    <row r="1362" spans="1:13">
      <c r="A1362" s="24" t="s">
        <v>112</v>
      </c>
      <c r="B1362" s="24" t="s">
        <v>345</v>
      </c>
      <c r="C1362" s="25">
        <v>45748</v>
      </c>
      <c r="D1362" s="24" t="s">
        <v>2660</v>
      </c>
      <c r="E1362" s="26">
        <v>0</v>
      </c>
      <c r="F1362" s="26">
        <v>0</v>
      </c>
      <c r="G1362" s="26">
        <v>0</v>
      </c>
      <c r="H1362" s="26">
        <v>0</v>
      </c>
      <c r="I1362" s="26">
        <v>0</v>
      </c>
      <c r="J1362" s="26">
        <v>0</v>
      </c>
      <c r="K1362" s="26">
        <v>0</v>
      </c>
      <c r="L1362" s="26">
        <v>0</v>
      </c>
      <c r="M1362" s="26">
        <v>0</v>
      </c>
    </row>
    <row r="1363" spans="1:13">
      <c r="A1363" s="24" t="s">
        <v>112</v>
      </c>
      <c r="B1363" s="24" t="s">
        <v>345</v>
      </c>
      <c r="C1363" s="25">
        <v>45778</v>
      </c>
      <c r="D1363" s="24" t="s">
        <v>2661</v>
      </c>
      <c r="E1363" s="26">
        <v>0</v>
      </c>
      <c r="F1363" s="26">
        <v>0</v>
      </c>
      <c r="G1363" s="26">
        <v>0</v>
      </c>
      <c r="H1363" s="26">
        <v>0</v>
      </c>
      <c r="I1363" s="26">
        <v>0</v>
      </c>
      <c r="J1363" s="26">
        <v>0</v>
      </c>
      <c r="K1363" s="26">
        <v>0</v>
      </c>
      <c r="L1363" s="26">
        <v>0</v>
      </c>
      <c r="M1363" s="26">
        <v>0</v>
      </c>
    </row>
    <row r="1364" spans="1:13">
      <c r="A1364" s="24" t="s">
        <v>112</v>
      </c>
      <c r="B1364" s="24" t="s">
        <v>345</v>
      </c>
      <c r="C1364" s="25">
        <v>45809</v>
      </c>
      <c r="D1364" s="24" t="s">
        <v>2662</v>
      </c>
      <c r="E1364" s="26">
        <v>0</v>
      </c>
      <c r="F1364" s="26">
        <v>0</v>
      </c>
      <c r="G1364" s="26">
        <v>0</v>
      </c>
      <c r="H1364" s="26">
        <v>0</v>
      </c>
      <c r="I1364" s="26">
        <v>0</v>
      </c>
      <c r="J1364" s="26">
        <v>0</v>
      </c>
      <c r="K1364" s="26">
        <v>0</v>
      </c>
      <c r="L1364" s="26">
        <v>0</v>
      </c>
      <c r="M1364" s="26">
        <v>0</v>
      </c>
    </row>
    <row r="1365" spans="1:13">
      <c r="A1365" s="24" t="s">
        <v>112</v>
      </c>
      <c r="B1365" s="24" t="s">
        <v>345</v>
      </c>
      <c r="C1365" s="25">
        <v>45839</v>
      </c>
      <c r="D1365" s="24" t="s">
        <v>2663</v>
      </c>
      <c r="E1365" s="26">
        <v>0</v>
      </c>
      <c r="F1365" s="26">
        <v>0</v>
      </c>
      <c r="G1365" s="26">
        <v>5532.41</v>
      </c>
      <c r="H1365" s="26">
        <v>5532.41</v>
      </c>
      <c r="I1365" s="26">
        <v>0</v>
      </c>
      <c r="J1365" s="26">
        <v>0</v>
      </c>
      <c r="K1365" s="26">
        <v>0</v>
      </c>
      <c r="L1365" s="26">
        <v>5532.41</v>
      </c>
      <c r="M1365" s="26">
        <v>0</v>
      </c>
    </row>
    <row r="1366" spans="1:13">
      <c r="A1366" s="24" t="s">
        <v>112</v>
      </c>
      <c r="B1366" s="24" t="s">
        <v>345</v>
      </c>
      <c r="C1366" s="25">
        <v>45870</v>
      </c>
      <c r="D1366" s="24" t="s">
        <v>2664</v>
      </c>
      <c r="E1366" s="26">
        <v>6495.46</v>
      </c>
      <c r="F1366" s="26">
        <v>0</v>
      </c>
      <c r="G1366" s="26">
        <v>0</v>
      </c>
      <c r="H1366" s="26">
        <v>6495.46</v>
      </c>
      <c r="I1366" s="26">
        <v>0</v>
      </c>
      <c r="J1366" s="26">
        <v>0</v>
      </c>
      <c r="K1366" s="26">
        <v>0</v>
      </c>
      <c r="L1366" s="26">
        <v>5532.41</v>
      </c>
      <c r="M1366" s="26">
        <v>963.05000000000018</v>
      </c>
    </row>
    <row r="1367" spans="1:13">
      <c r="A1367" s="24" t="s">
        <v>112</v>
      </c>
      <c r="B1367" s="24" t="s">
        <v>345</v>
      </c>
      <c r="C1367" s="25">
        <v>45901</v>
      </c>
      <c r="D1367" s="24" t="s">
        <v>2665</v>
      </c>
      <c r="E1367" s="26">
        <v>6495.46</v>
      </c>
      <c r="F1367" s="26">
        <v>0</v>
      </c>
      <c r="G1367" s="26">
        <v>6666.96</v>
      </c>
      <c r="H1367" s="26">
        <v>13162.42</v>
      </c>
      <c r="I1367" s="26">
        <v>0</v>
      </c>
      <c r="J1367" s="26">
        <v>0</v>
      </c>
      <c r="K1367" s="26">
        <v>0</v>
      </c>
      <c r="L1367" s="26">
        <v>13162.42</v>
      </c>
      <c r="M1367" s="26">
        <v>0</v>
      </c>
    </row>
    <row r="1368" spans="1:13">
      <c r="A1368" s="24" t="s">
        <v>112</v>
      </c>
      <c r="B1368" s="24" t="s">
        <v>345</v>
      </c>
      <c r="C1368" s="25">
        <v>45931</v>
      </c>
      <c r="D1368" s="24" t="s">
        <v>2666</v>
      </c>
      <c r="E1368" s="26">
        <v>6495.46</v>
      </c>
      <c r="F1368" s="26">
        <v>0</v>
      </c>
      <c r="G1368" s="26">
        <v>6666.96</v>
      </c>
      <c r="H1368" s="26">
        <v>13162.42</v>
      </c>
      <c r="I1368" s="26">
        <v>0</v>
      </c>
      <c r="J1368" s="26">
        <v>0</v>
      </c>
      <c r="K1368" s="26">
        <v>0</v>
      </c>
      <c r="L1368" s="26">
        <v>13162.42</v>
      </c>
      <c r="M1368" s="26">
        <v>0</v>
      </c>
    </row>
    <row r="1369" spans="1:13">
      <c r="A1369" s="24" t="s">
        <v>112</v>
      </c>
      <c r="B1369" s="24" t="s">
        <v>345</v>
      </c>
      <c r="C1369" s="25">
        <v>45962</v>
      </c>
      <c r="D1369" s="24" t="s">
        <v>2667</v>
      </c>
      <c r="E1369" s="26">
        <v>6495.46</v>
      </c>
      <c r="F1369" s="26">
        <v>0</v>
      </c>
      <c r="G1369" s="26">
        <v>14944.55</v>
      </c>
      <c r="H1369" s="26">
        <v>21440.01</v>
      </c>
      <c r="I1369" s="26">
        <v>0</v>
      </c>
      <c r="J1369" s="26">
        <v>72863.839999999997</v>
      </c>
      <c r="K1369" s="26">
        <v>72863.839999999997</v>
      </c>
      <c r="L1369" s="26">
        <v>21440.01</v>
      </c>
      <c r="M1369" s="26">
        <v>-72863.839999999997</v>
      </c>
    </row>
    <row r="1370" spans="1:13">
      <c r="A1370" s="24" t="s">
        <v>112</v>
      </c>
      <c r="B1370" s="24" t="s">
        <v>345</v>
      </c>
      <c r="C1370" s="25">
        <v>45992</v>
      </c>
      <c r="D1370" s="24" t="s">
        <v>2668</v>
      </c>
      <c r="E1370" s="26">
        <v>6495.46</v>
      </c>
      <c r="F1370" s="26">
        <v>0</v>
      </c>
      <c r="G1370" s="26">
        <v>19241.32</v>
      </c>
      <c r="H1370" s="26">
        <v>25736.78</v>
      </c>
      <c r="I1370" s="26">
        <v>0</v>
      </c>
      <c r="J1370" s="26">
        <v>68567.070000000007</v>
      </c>
      <c r="K1370" s="26">
        <v>68567.070000000007</v>
      </c>
      <c r="L1370" s="26">
        <v>25736.78</v>
      </c>
      <c r="M1370" s="26">
        <v>-68567.070000000007</v>
      </c>
    </row>
    <row r="1371" spans="1:13">
      <c r="A1371" s="24" t="s">
        <v>155</v>
      </c>
      <c r="B1371" s="24" t="s">
        <v>318</v>
      </c>
      <c r="C1371" s="25">
        <v>45658</v>
      </c>
      <c r="D1371" s="24" t="s">
        <v>2657</v>
      </c>
      <c r="E1371" s="26">
        <v>0</v>
      </c>
      <c r="F1371" s="26">
        <v>0</v>
      </c>
      <c r="G1371" s="26">
        <v>0</v>
      </c>
      <c r="H1371" s="26">
        <v>0</v>
      </c>
      <c r="I1371" s="26">
        <v>0</v>
      </c>
      <c r="J1371" s="26">
        <v>0</v>
      </c>
      <c r="K1371" s="26">
        <v>0</v>
      </c>
      <c r="L1371" s="26">
        <v>0</v>
      </c>
      <c r="M1371" s="26">
        <v>0</v>
      </c>
    </row>
    <row r="1372" spans="1:13">
      <c r="A1372" s="24" t="s">
        <v>155</v>
      </c>
      <c r="B1372" s="24" t="s">
        <v>318</v>
      </c>
      <c r="C1372" s="25">
        <v>45689</v>
      </c>
      <c r="D1372" s="24" t="s">
        <v>2658</v>
      </c>
      <c r="E1372" s="26">
        <v>0</v>
      </c>
      <c r="F1372" s="26">
        <v>0</v>
      </c>
      <c r="G1372" s="26">
        <v>0</v>
      </c>
      <c r="H1372" s="26">
        <v>0</v>
      </c>
      <c r="I1372" s="26">
        <v>0</v>
      </c>
      <c r="J1372" s="26">
        <v>0</v>
      </c>
      <c r="K1372" s="26">
        <v>0</v>
      </c>
      <c r="L1372" s="26">
        <v>0</v>
      </c>
      <c r="M1372" s="26">
        <v>0</v>
      </c>
    </row>
    <row r="1373" spans="1:13">
      <c r="A1373" s="24" t="s">
        <v>155</v>
      </c>
      <c r="B1373" s="24" t="s">
        <v>318</v>
      </c>
      <c r="C1373" s="25">
        <v>45717</v>
      </c>
      <c r="D1373" s="24" t="s">
        <v>2659</v>
      </c>
      <c r="E1373" s="26">
        <v>0</v>
      </c>
      <c r="F1373" s="26">
        <v>0</v>
      </c>
      <c r="G1373" s="26">
        <v>0</v>
      </c>
      <c r="H1373" s="26">
        <v>0</v>
      </c>
      <c r="I1373" s="26">
        <v>0</v>
      </c>
      <c r="J1373" s="26">
        <v>0</v>
      </c>
      <c r="K1373" s="26">
        <v>0</v>
      </c>
      <c r="L1373" s="26">
        <v>0</v>
      </c>
      <c r="M1373" s="26">
        <v>0</v>
      </c>
    </row>
    <row r="1374" spans="1:13">
      <c r="A1374" s="24" t="s">
        <v>155</v>
      </c>
      <c r="B1374" s="24" t="s">
        <v>318</v>
      </c>
      <c r="C1374" s="25">
        <v>45748</v>
      </c>
      <c r="D1374" s="24" t="s">
        <v>2660</v>
      </c>
      <c r="E1374" s="26">
        <v>0</v>
      </c>
      <c r="F1374" s="26">
        <v>0</v>
      </c>
      <c r="G1374" s="26">
        <v>0</v>
      </c>
      <c r="H1374" s="26">
        <v>0</v>
      </c>
      <c r="I1374" s="26">
        <v>0</v>
      </c>
      <c r="J1374" s="26">
        <v>0</v>
      </c>
      <c r="K1374" s="26">
        <v>0</v>
      </c>
      <c r="L1374" s="26">
        <v>0</v>
      </c>
      <c r="M1374" s="26">
        <v>0</v>
      </c>
    </row>
    <row r="1375" spans="1:13">
      <c r="A1375" s="24" t="s">
        <v>155</v>
      </c>
      <c r="B1375" s="24" t="s">
        <v>318</v>
      </c>
      <c r="C1375" s="25">
        <v>45778</v>
      </c>
      <c r="D1375" s="24" t="s">
        <v>2661</v>
      </c>
      <c r="E1375" s="26">
        <v>0</v>
      </c>
      <c r="F1375" s="26">
        <v>0</v>
      </c>
      <c r="G1375" s="26">
        <v>0</v>
      </c>
      <c r="H1375" s="26">
        <v>0</v>
      </c>
      <c r="I1375" s="26">
        <v>0</v>
      </c>
      <c r="J1375" s="26">
        <v>0</v>
      </c>
      <c r="K1375" s="26">
        <v>0</v>
      </c>
      <c r="L1375" s="26">
        <v>0</v>
      </c>
      <c r="M1375" s="26">
        <v>0</v>
      </c>
    </row>
    <row r="1376" spans="1:13">
      <c r="A1376" s="24" t="s">
        <v>155</v>
      </c>
      <c r="B1376" s="24" t="s">
        <v>318</v>
      </c>
      <c r="C1376" s="25">
        <v>45809</v>
      </c>
      <c r="D1376" s="24" t="s">
        <v>2662</v>
      </c>
      <c r="E1376" s="26">
        <v>0</v>
      </c>
      <c r="F1376" s="26">
        <v>0</v>
      </c>
      <c r="G1376" s="26">
        <v>0</v>
      </c>
      <c r="H1376" s="26">
        <v>0</v>
      </c>
      <c r="I1376" s="26">
        <v>0</v>
      </c>
      <c r="J1376" s="26">
        <v>0</v>
      </c>
      <c r="K1376" s="26">
        <v>0</v>
      </c>
      <c r="L1376" s="26">
        <v>0</v>
      </c>
      <c r="M1376" s="26">
        <v>0</v>
      </c>
    </row>
    <row r="1377" spans="1:13">
      <c r="A1377" s="24" t="s">
        <v>155</v>
      </c>
      <c r="B1377" s="24" t="s">
        <v>318</v>
      </c>
      <c r="C1377" s="25">
        <v>45839</v>
      </c>
      <c r="D1377" s="24" t="s">
        <v>2663</v>
      </c>
      <c r="E1377" s="26">
        <v>-85919.85</v>
      </c>
      <c r="F1377" s="26">
        <v>0</v>
      </c>
      <c r="G1377" s="26">
        <v>0</v>
      </c>
      <c r="H1377" s="26">
        <v>-85919.85</v>
      </c>
      <c r="I1377" s="26">
        <v>0</v>
      </c>
      <c r="J1377" s="26">
        <v>0</v>
      </c>
      <c r="K1377" s="26">
        <v>0</v>
      </c>
      <c r="L1377" s="26">
        <v>-85919.85</v>
      </c>
      <c r="M1377" s="26">
        <v>0</v>
      </c>
    </row>
    <row r="1378" spans="1:13">
      <c r="A1378" s="24" t="s">
        <v>155</v>
      </c>
      <c r="B1378" s="24" t="s">
        <v>318</v>
      </c>
      <c r="C1378" s="25">
        <v>45870</v>
      </c>
      <c r="D1378" s="24" t="s">
        <v>2664</v>
      </c>
      <c r="E1378" s="26">
        <v>-103219.87</v>
      </c>
      <c r="F1378" s="26">
        <v>0</v>
      </c>
      <c r="G1378" s="26">
        <v>42191.34</v>
      </c>
      <c r="H1378" s="26">
        <v>-61028.530000000013</v>
      </c>
      <c r="I1378" s="26">
        <v>0</v>
      </c>
      <c r="J1378" s="26">
        <v>0</v>
      </c>
      <c r="K1378" s="26">
        <v>0</v>
      </c>
      <c r="L1378" s="26">
        <v>-61028.530000000013</v>
      </c>
      <c r="M1378" s="26">
        <v>0</v>
      </c>
    </row>
    <row r="1379" spans="1:13">
      <c r="A1379" s="24" t="s">
        <v>155</v>
      </c>
      <c r="B1379" s="24" t="s">
        <v>318</v>
      </c>
      <c r="C1379" s="25">
        <v>45901</v>
      </c>
      <c r="D1379" s="24" t="s">
        <v>2665</v>
      </c>
      <c r="E1379" s="26">
        <v>-103219.87</v>
      </c>
      <c r="F1379" s="26">
        <v>0</v>
      </c>
      <c r="G1379" s="26">
        <v>115095.32</v>
      </c>
      <c r="H1379" s="26">
        <v>11875.449999999981</v>
      </c>
      <c r="I1379" s="26">
        <v>0</v>
      </c>
      <c r="J1379" s="26">
        <v>0</v>
      </c>
      <c r="K1379" s="26">
        <v>0</v>
      </c>
      <c r="L1379" s="26">
        <v>11875.449999999981</v>
      </c>
      <c r="M1379" s="26">
        <v>0</v>
      </c>
    </row>
    <row r="1380" spans="1:13">
      <c r="A1380" s="24" t="s">
        <v>155</v>
      </c>
      <c r="B1380" s="24" t="s">
        <v>318</v>
      </c>
      <c r="C1380" s="25">
        <v>45931</v>
      </c>
      <c r="D1380" s="24" t="s">
        <v>2666</v>
      </c>
      <c r="E1380" s="26">
        <v>-103219.87</v>
      </c>
      <c r="F1380" s="26">
        <v>0</v>
      </c>
      <c r="G1380" s="26">
        <v>115095.32</v>
      </c>
      <c r="H1380" s="26">
        <v>11875.449999999981</v>
      </c>
      <c r="I1380" s="26">
        <v>0</v>
      </c>
      <c r="J1380" s="26">
        <v>0</v>
      </c>
      <c r="K1380" s="26">
        <v>0</v>
      </c>
      <c r="L1380" s="26">
        <v>11875.449999999981</v>
      </c>
      <c r="M1380" s="26">
        <v>0</v>
      </c>
    </row>
    <row r="1381" spans="1:13">
      <c r="A1381" s="24" t="s">
        <v>155</v>
      </c>
      <c r="B1381" s="24" t="s">
        <v>318</v>
      </c>
      <c r="C1381" s="25">
        <v>45962</v>
      </c>
      <c r="D1381" s="24" t="s">
        <v>2667</v>
      </c>
      <c r="E1381" s="26">
        <v>-145320.84</v>
      </c>
      <c r="F1381" s="26">
        <v>0</v>
      </c>
      <c r="G1381" s="26">
        <v>155922.57999999999</v>
      </c>
      <c r="H1381" s="26">
        <v>10601.73999999996</v>
      </c>
      <c r="I1381" s="26">
        <v>0</v>
      </c>
      <c r="J1381" s="26">
        <v>0</v>
      </c>
      <c r="K1381" s="26">
        <v>0</v>
      </c>
      <c r="L1381" s="26">
        <v>10601.73999999998</v>
      </c>
      <c r="M1381" s="26">
        <v>-2.1827872842550281E-11</v>
      </c>
    </row>
    <row r="1382" spans="1:13">
      <c r="A1382" s="24" t="s">
        <v>155</v>
      </c>
      <c r="B1382" s="24" t="s">
        <v>318</v>
      </c>
      <c r="C1382" s="25">
        <v>45992</v>
      </c>
      <c r="D1382" s="24" t="s">
        <v>2668</v>
      </c>
      <c r="E1382" s="26">
        <v>-145320.84</v>
      </c>
      <c r="F1382" s="26">
        <v>0</v>
      </c>
      <c r="G1382" s="26">
        <v>155922.57999999999</v>
      </c>
      <c r="H1382" s="26">
        <v>10601.73999999996</v>
      </c>
      <c r="I1382" s="26">
        <v>0</v>
      </c>
      <c r="J1382" s="26">
        <v>0</v>
      </c>
      <c r="K1382" s="26">
        <v>0</v>
      </c>
      <c r="L1382" s="26">
        <v>10601.73999999998</v>
      </c>
      <c r="M1382" s="26">
        <v>-2.1827872842550281E-11</v>
      </c>
    </row>
    <row r="1383" spans="1:13">
      <c r="A1383" s="24" t="s">
        <v>38</v>
      </c>
      <c r="B1383" s="24" t="s">
        <v>345</v>
      </c>
      <c r="C1383" s="25">
        <v>45658</v>
      </c>
      <c r="D1383" s="24" t="s">
        <v>2657</v>
      </c>
      <c r="E1383" s="26">
        <v>0</v>
      </c>
      <c r="F1383" s="26">
        <v>0</v>
      </c>
      <c r="G1383" s="26">
        <v>0</v>
      </c>
      <c r="H1383" s="26">
        <v>0</v>
      </c>
      <c r="I1383" s="26">
        <v>0</v>
      </c>
      <c r="J1383" s="26">
        <v>0</v>
      </c>
      <c r="K1383" s="26">
        <v>0</v>
      </c>
      <c r="L1383" s="26">
        <v>0</v>
      </c>
      <c r="M1383" s="26">
        <v>0</v>
      </c>
    </row>
    <row r="1384" spans="1:13">
      <c r="A1384" s="24" t="s">
        <v>38</v>
      </c>
      <c r="B1384" s="24" t="s">
        <v>345</v>
      </c>
      <c r="C1384" s="25">
        <v>45689</v>
      </c>
      <c r="D1384" s="24" t="s">
        <v>2658</v>
      </c>
      <c r="E1384" s="26">
        <v>0</v>
      </c>
      <c r="F1384" s="26">
        <v>0</v>
      </c>
      <c r="G1384" s="26">
        <v>0</v>
      </c>
      <c r="H1384" s="26">
        <v>0</v>
      </c>
      <c r="I1384" s="26">
        <v>0</v>
      </c>
      <c r="J1384" s="26">
        <v>0</v>
      </c>
      <c r="K1384" s="26">
        <v>0</v>
      </c>
      <c r="L1384" s="26">
        <v>0</v>
      </c>
      <c r="M1384" s="26">
        <v>0</v>
      </c>
    </row>
    <row r="1385" spans="1:13">
      <c r="A1385" s="24" t="s">
        <v>38</v>
      </c>
      <c r="B1385" s="24" t="s">
        <v>345</v>
      </c>
      <c r="C1385" s="25">
        <v>45717</v>
      </c>
      <c r="D1385" s="24" t="s">
        <v>2659</v>
      </c>
      <c r="E1385" s="26">
        <v>0</v>
      </c>
      <c r="F1385" s="26">
        <v>0</v>
      </c>
      <c r="G1385" s="26">
        <v>0</v>
      </c>
      <c r="H1385" s="26">
        <v>0</v>
      </c>
      <c r="I1385" s="26">
        <v>0</v>
      </c>
      <c r="J1385" s="26">
        <v>0</v>
      </c>
      <c r="K1385" s="26">
        <v>0</v>
      </c>
      <c r="L1385" s="26">
        <v>0</v>
      </c>
      <c r="M1385" s="26">
        <v>0</v>
      </c>
    </row>
    <row r="1386" spans="1:13">
      <c r="A1386" s="24" t="s">
        <v>38</v>
      </c>
      <c r="B1386" s="24" t="s">
        <v>345</v>
      </c>
      <c r="C1386" s="25">
        <v>45748</v>
      </c>
      <c r="D1386" s="24" t="s">
        <v>2660</v>
      </c>
      <c r="E1386" s="26">
        <v>0</v>
      </c>
      <c r="F1386" s="26">
        <v>0</v>
      </c>
      <c r="G1386" s="26">
        <v>0</v>
      </c>
      <c r="H1386" s="26">
        <v>0</v>
      </c>
      <c r="I1386" s="26">
        <v>0</v>
      </c>
      <c r="J1386" s="26">
        <v>0</v>
      </c>
      <c r="K1386" s="26">
        <v>0</v>
      </c>
      <c r="L1386" s="26">
        <v>0</v>
      </c>
      <c r="M1386" s="26">
        <v>0</v>
      </c>
    </row>
    <row r="1387" spans="1:13">
      <c r="A1387" s="24" t="s">
        <v>38</v>
      </c>
      <c r="B1387" s="24" t="s">
        <v>345</v>
      </c>
      <c r="C1387" s="25">
        <v>45778</v>
      </c>
      <c r="D1387" s="24" t="s">
        <v>2661</v>
      </c>
      <c r="E1387" s="26">
        <v>0</v>
      </c>
      <c r="F1387" s="26">
        <v>0</v>
      </c>
      <c r="G1387" s="26">
        <v>0</v>
      </c>
      <c r="H1387" s="26">
        <v>0</v>
      </c>
      <c r="I1387" s="26">
        <v>0</v>
      </c>
      <c r="J1387" s="26">
        <v>0</v>
      </c>
      <c r="K1387" s="26">
        <v>0</v>
      </c>
      <c r="L1387" s="26">
        <v>0</v>
      </c>
      <c r="M1387" s="26">
        <v>0</v>
      </c>
    </row>
    <row r="1388" spans="1:13">
      <c r="A1388" s="24" t="s">
        <v>38</v>
      </c>
      <c r="B1388" s="24" t="s">
        <v>345</v>
      </c>
      <c r="C1388" s="25">
        <v>45809</v>
      </c>
      <c r="D1388" s="24" t="s">
        <v>2662</v>
      </c>
      <c r="E1388" s="26">
        <v>0</v>
      </c>
      <c r="F1388" s="26">
        <v>0</v>
      </c>
      <c r="G1388" s="26">
        <v>0</v>
      </c>
      <c r="H1388" s="26">
        <v>0</v>
      </c>
      <c r="I1388" s="26">
        <v>0</v>
      </c>
      <c r="J1388" s="26">
        <v>0</v>
      </c>
      <c r="K1388" s="26">
        <v>0</v>
      </c>
      <c r="L1388" s="26">
        <v>0</v>
      </c>
      <c r="M1388" s="26">
        <v>0</v>
      </c>
    </row>
    <row r="1389" spans="1:13">
      <c r="A1389" s="24" t="s">
        <v>38</v>
      </c>
      <c r="B1389" s="24" t="s">
        <v>345</v>
      </c>
      <c r="C1389" s="25">
        <v>45839</v>
      </c>
      <c r="D1389" s="24" t="s">
        <v>2663</v>
      </c>
      <c r="E1389" s="26">
        <v>0</v>
      </c>
      <c r="F1389" s="26">
        <v>0</v>
      </c>
      <c r="G1389" s="26">
        <v>6779.38</v>
      </c>
      <c r="H1389" s="26">
        <v>6779.38</v>
      </c>
      <c r="I1389" s="26">
        <v>0</v>
      </c>
      <c r="J1389" s="26">
        <v>0</v>
      </c>
      <c r="K1389" s="26">
        <v>0</v>
      </c>
      <c r="L1389" s="26">
        <v>6779.38</v>
      </c>
      <c r="M1389" s="26">
        <v>0</v>
      </c>
    </row>
    <row r="1390" spans="1:13">
      <c r="A1390" s="24" t="s">
        <v>38</v>
      </c>
      <c r="B1390" s="24" t="s">
        <v>345</v>
      </c>
      <c r="C1390" s="25">
        <v>45870</v>
      </c>
      <c r="D1390" s="24" t="s">
        <v>2664</v>
      </c>
      <c r="E1390" s="26">
        <v>-60220.47</v>
      </c>
      <c r="F1390" s="26">
        <v>0</v>
      </c>
      <c r="G1390" s="26">
        <v>6779.38</v>
      </c>
      <c r="H1390" s="26">
        <v>-53441.09</v>
      </c>
      <c r="I1390" s="26">
        <v>0</v>
      </c>
      <c r="J1390" s="26">
        <v>0</v>
      </c>
      <c r="K1390" s="26">
        <v>0</v>
      </c>
      <c r="L1390" s="26">
        <v>-53441.09</v>
      </c>
      <c r="M1390" s="26">
        <v>0</v>
      </c>
    </row>
    <row r="1391" spans="1:13">
      <c r="A1391" s="24" t="s">
        <v>38</v>
      </c>
      <c r="B1391" s="24" t="s">
        <v>345</v>
      </c>
      <c r="C1391" s="25">
        <v>45901</v>
      </c>
      <c r="D1391" s="24" t="s">
        <v>2665</v>
      </c>
      <c r="E1391" s="26">
        <v>-60220.47</v>
      </c>
      <c r="F1391" s="26">
        <v>0</v>
      </c>
      <c r="G1391" s="26">
        <v>17558.57</v>
      </c>
      <c r="H1391" s="26">
        <v>-42661.9</v>
      </c>
      <c r="I1391" s="26">
        <v>0</v>
      </c>
      <c r="J1391" s="26">
        <v>0</v>
      </c>
      <c r="K1391" s="26">
        <v>0</v>
      </c>
      <c r="L1391" s="26">
        <v>-42661.9</v>
      </c>
      <c r="M1391" s="26">
        <v>0</v>
      </c>
    </row>
    <row r="1392" spans="1:13">
      <c r="A1392" s="24" t="s">
        <v>38</v>
      </c>
      <c r="B1392" s="24" t="s">
        <v>345</v>
      </c>
      <c r="C1392" s="25">
        <v>45931</v>
      </c>
      <c r="D1392" s="24" t="s">
        <v>2666</v>
      </c>
      <c r="E1392" s="26">
        <v>-60220.47</v>
      </c>
      <c r="F1392" s="26">
        <v>34778.9</v>
      </c>
      <c r="G1392" s="26">
        <v>0</v>
      </c>
      <c r="H1392" s="26">
        <v>-25441.57</v>
      </c>
      <c r="I1392" s="26">
        <v>0</v>
      </c>
      <c r="J1392" s="26">
        <v>0</v>
      </c>
      <c r="K1392" s="26">
        <v>0</v>
      </c>
      <c r="L1392" s="26">
        <v>-42661.9</v>
      </c>
      <c r="M1392" s="26">
        <v>17220.330000000002</v>
      </c>
    </row>
    <row r="1393" spans="1:13">
      <c r="A1393" s="24" t="s">
        <v>38</v>
      </c>
      <c r="B1393" s="24" t="s">
        <v>345</v>
      </c>
      <c r="C1393" s="25">
        <v>45962</v>
      </c>
      <c r="D1393" s="24" t="s">
        <v>2667</v>
      </c>
      <c r="E1393" s="26">
        <v>-60220.47</v>
      </c>
      <c r="F1393" s="26">
        <v>63085.65</v>
      </c>
      <c r="G1393" s="26">
        <v>0</v>
      </c>
      <c r="H1393" s="26">
        <v>2865.18</v>
      </c>
      <c r="I1393" s="26">
        <v>0</v>
      </c>
      <c r="J1393" s="26">
        <v>0</v>
      </c>
      <c r="K1393" s="26">
        <v>0</v>
      </c>
      <c r="L1393" s="26">
        <v>-42661.9</v>
      </c>
      <c r="M1393" s="26">
        <v>45527.08</v>
      </c>
    </row>
    <row r="1394" spans="1:13">
      <c r="A1394" s="24" t="s">
        <v>38</v>
      </c>
      <c r="B1394" s="24" t="s">
        <v>345</v>
      </c>
      <c r="C1394" s="25">
        <v>45992</v>
      </c>
      <c r="D1394" s="24" t="s">
        <v>2668</v>
      </c>
      <c r="E1394" s="26">
        <v>-60220.47</v>
      </c>
      <c r="F1394" s="26">
        <v>63085.65</v>
      </c>
      <c r="G1394" s="26">
        <v>0</v>
      </c>
      <c r="H1394" s="26">
        <v>2865.18</v>
      </c>
      <c r="I1394" s="26">
        <v>0</v>
      </c>
      <c r="J1394" s="26">
        <v>0</v>
      </c>
      <c r="K1394" s="26">
        <v>0</v>
      </c>
      <c r="L1394" s="26">
        <v>-42661.9</v>
      </c>
      <c r="M1394" s="26">
        <v>45527.08</v>
      </c>
    </row>
    <row r="1395" spans="1:13">
      <c r="A1395" s="24" t="s">
        <v>14</v>
      </c>
      <c r="B1395" s="24" t="s">
        <v>337</v>
      </c>
      <c r="C1395" s="25">
        <v>45658</v>
      </c>
      <c r="D1395" s="24" t="s">
        <v>2657</v>
      </c>
      <c r="E1395" s="26">
        <v>0</v>
      </c>
      <c r="F1395" s="26">
        <v>0</v>
      </c>
      <c r="G1395" s="26">
        <v>0</v>
      </c>
      <c r="H1395" s="26">
        <v>0</v>
      </c>
      <c r="I1395" s="26">
        <v>0</v>
      </c>
      <c r="J1395" s="26">
        <v>0</v>
      </c>
      <c r="K1395" s="26">
        <v>0</v>
      </c>
      <c r="L1395" s="26">
        <v>0</v>
      </c>
      <c r="M1395" s="26">
        <v>0</v>
      </c>
    </row>
    <row r="1396" spans="1:13">
      <c r="A1396" s="24" t="s">
        <v>14</v>
      </c>
      <c r="B1396" s="24" t="s">
        <v>337</v>
      </c>
      <c r="C1396" s="25">
        <v>45689</v>
      </c>
      <c r="D1396" s="24" t="s">
        <v>2658</v>
      </c>
      <c r="E1396" s="26">
        <v>0</v>
      </c>
      <c r="F1396" s="26">
        <v>0</v>
      </c>
      <c r="G1396" s="26">
        <v>0</v>
      </c>
      <c r="H1396" s="26">
        <v>0</v>
      </c>
      <c r="I1396" s="26">
        <v>0</v>
      </c>
      <c r="J1396" s="26">
        <v>0</v>
      </c>
      <c r="K1396" s="26">
        <v>0</v>
      </c>
      <c r="L1396" s="26">
        <v>0</v>
      </c>
      <c r="M1396" s="26">
        <v>0</v>
      </c>
    </row>
    <row r="1397" spans="1:13">
      <c r="A1397" s="24" t="s">
        <v>14</v>
      </c>
      <c r="B1397" s="24" t="s">
        <v>337</v>
      </c>
      <c r="C1397" s="25">
        <v>45717</v>
      </c>
      <c r="D1397" s="24" t="s">
        <v>2659</v>
      </c>
      <c r="E1397" s="26">
        <v>0</v>
      </c>
      <c r="F1397" s="26">
        <v>0</v>
      </c>
      <c r="G1397" s="26">
        <v>0</v>
      </c>
      <c r="H1397" s="26">
        <v>0</v>
      </c>
      <c r="I1397" s="26">
        <v>0</v>
      </c>
      <c r="J1397" s="26">
        <v>0</v>
      </c>
      <c r="K1397" s="26">
        <v>0</v>
      </c>
      <c r="L1397" s="26">
        <v>0</v>
      </c>
      <c r="M1397" s="26">
        <v>0</v>
      </c>
    </row>
    <row r="1398" spans="1:13">
      <c r="A1398" s="24" t="s">
        <v>14</v>
      </c>
      <c r="B1398" s="24" t="s">
        <v>337</v>
      </c>
      <c r="C1398" s="25">
        <v>45748</v>
      </c>
      <c r="D1398" s="24" t="s">
        <v>2660</v>
      </c>
      <c r="E1398" s="26">
        <v>0</v>
      </c>
      <c r="F1398" s="26">
        <v>0</v>
      </c>
      <c r="G1398" s="26">
        <v>0</v>
      </c>
      <c r="H1398" s="26">
        <v>0</v>
      </c>
      <c r="I1398" s="26">
        <v>0</v>
      </c>
      <c r="J1398" s="26">
        <v>0</v>
      </c>
      <c r="K1398" s="26">
        <v>0</v>
      </c>
      <c r="L1398" s="26">
        <v>0</v>
      </c>
      <c r="M1398" s="26">
        <v>0</v>
      </c>
    </row>
    <row r="1399" spans="1:13">
      <c r="A1399" s="24" t="s">
        <v>14</v>
      </c>
      <c r="B1399" s="24" t="s">
        <v>337</v>
      </c>
      <c r="C1399" s="25">
        <v>45778</v>
      </c>
      <c r="D1399" s="24" t="s">
        <v>2661</v>
      </c>
      <c r="E1399" s="26">
        <v>0</v>
      </c>
      <c r="F1399" s="26">
        <v>0</v>
      </c>
      <c r="G1399" s="26">
        <v>0</v>
      </c>
      <c r="H1399" s="26">
        <v>0</v>
      </c>
      <c r="I1399" s="26">
        <v>0</v>
      </c>
      <c r="J1399" s="26">
        <v>0</v>
      </c>
      <c r="K1399" s="26">
        <v>0</v>
      </c>
      <c r="L1399" s="26">
        <v>0</v>
      </c>
      <c r="M1399" s="26">
        <v>0</v>
      </c>
    </row>
    <row r="1400" spans="1:13">
      <c r="A1400" s="24" t="s">
        <v>14</v>
      </c>
      <c r="B1400" s="24" t="s">
        <v>337</v>
      </c>
      <c r="C1400" s="25">
        <v>45809</v>
      </c>
      <c r="D1400" s="24" t="s">
        <v>2662</v>
      </c>
      <c r="E1400" s="26">
        <v>0</v>
      </c>
      <c r="F1400" s="26">
        <v>0</v>
      </c>
      <c r="G1400" s="26">
        <v>0</v>
      </c>
      <c r="H1400" s="26">
        <v>0</v>
      </c>
      <c r="I1400" s="26">
        <v>0</v>
      </c>
      <c r="J1400" s="26">
        <v>0</v>
      </c>
      <c r="K1400" s="26">
        <v>0</v>
      </c>
      <c r="L1400" s="26">
        <v>0</v>
      </c>
      <c r="M1400" s="26">
        <v>0</v>
      </c>
    </row>
    <row r="1401" spans="1:13">
      <c r="A1401" s="24" t="s">
        <v>14</v>
      </c>
      <c r="B1401" s="24" t="s">
        <v>337</v>
      </c>
      <c r="C1401" s="25">
        <v>45839</v>
      </c>
      <c r="D1401" s="24" t="s">
        <v>2663</v>
      </c>
      <c r="E1401" s="26">
        <v>0</v>
      </c>
      <c r="F1401" s="26">
        <v>0</v>
      </c>
      <c r="G1401" s="26">
        <v>44570.76</v>
      </c>
      <c r="H1401" s="26">
        <v>44570.76</v>
      </c>
      <c r="I1401" s="26">
        <v>0</v>
      </c>
      <c r="J1401" s="26">
        <v>0</v>
      </c>
      <c r="K1401" s="26">
        <v>0</v>
      </c>
      <c r="L1401" s="26">
        <v>44570.76</v>
      </c>
      <c r="M1401" s="26">
        <v>0</v>
      </c>
    </row>
    <row r="1402" spans="1:13">
      <c r="A1402" s="24" t="s">
        <v>14</v>
      </c>
      <c r="B1402" s="24" t="s">
        <v>337</v>
      </c>
      <c r="C1402" s="25">
        <v>45870</v>
      </c>
      <c r="D1402" s="24" t="s">
        <v>2664</v>
      </c>
      <c r="E1402" s="26">
        <v>0</v>
      </c>
      <c r="F1402" s="26">
        <v>0</v>
      </c>
      <c r="G1402" s="26">
        <v>89106.65</v>
      </c>
      <c r="H1402" s="26">
        <v>89106.65</v>
      </c>
      <c r="I1402" s="26">
        <v>0</v>
      </c>
      <c r="J1402" s="26">
        <v>0</v>
      </c>
      <c r="K1402" s="26">
        <v>0</v>
      </c>
      <c r="L1402" s="26">
        <v>89106.65</v>
      </c>
      <c r="M1402" s="26">
        <v>0</v>
      </c>
    </row>
    <row r="1403" spans="1:13">
      <c r="A1403" s="24" t="s">
        <v>14</v>
      </c>
      <c r="B1403" s="24" t="s">
        <v>337</v>
      </c>
      <c r="C1403" s="25">
        <v>45901</v>
      </c>
      <c r="D1403" s="24" t="s">
        <v>2665</v>
      </c>
      <c r="E1403" s="26">
        <v>0</v>
      </c>
      <c r="F1403" s="26">
        <v>0</v>
      </c>
      <c r="G1403" s="26">
        <v>125973.02</v>
      </c>
      <c r="H1403" s="26">
        <v>125973.02</v>
      </c>
      <c r="I1403" s="26">
        <v>0</v>
      </c>
      <c r="J1403" s="26">
        <v>0</v>
      </c>
      <c r="K1403" s="26">
        <v>0</v>
      </c>
      <c r="L1403" s="26">
        <v>125973.02</v>
      </c>
      <c r="M1403" s="26">
        <v>0</v>
      </c>
    </row>
    <row r="1404" spans="1:13">
      <c r="A1404" s="24" t="s">
        <v>14</v>
      </c>
      <c r="B1404" s="24" t="s">
        <v>337</v>
      </c>
      <c r="C1404" s="25">
        <v>45931</v>
      </c>
      <c r="D1404" s="24" t="s">
        <v>2666</v>
      </c>
      <c r="E1404" s="26">
        <v>0</v>
      </c>
      <c r="F1404" s="26">
        <v>0</v>
      </c>
      <c r="G1404" s="26">
        <v>179667.95</v>
      </c>
      <c r="H1404" s="26">
        <v>179667.95</v>
      </c>
      <c r="I1404" s="26">
        <v>0</v>
      </c>
      <c r="J1404" s="26">
        <v>0</v>
      </c>
      <c r="K1404" s="26">
        <v>0</v>
      </c>
      <c r="L1404" s="26">
        <v>179667.95</v>
      </c>
      <c r="M1404" s="26">
        <v>0</v>
      </c>
    </row>
    <row r="1405" spans="1:13">
      <c r="A1405" s="24" t="s">
        <v>14</v>
      </c>
      <c r="B1405" s="24" t="s">
        <v>337</v>
      </c>
      <c r="C1405" s="25">
        <v>45962</v>
      </c>
      <c r="D1405" s="24" t="s">
        <v>2667</v>
      </c>
      <c r="E1405" s="26">
        <v>-75007.710000000006</v>
      </c>
      <c r="F1405" s="26">
        <v>0</v>
      </c>
      <c r="G1405" s="26">
        <v>237626.92</v>
      </c>
      <c r="H1405" s="26">
        <v>162619.21</v>
      </c>
      <c r="I1405" s="26">
        <v>75007.710000000006</v>
      </c>
      <c r="J1405" s="26">
        <v>0</v>
      </c>
      <c r="K1405" s="26">
        <v>75007.710000000006</v>
      </c>
      <c r="L1405" s="26">
        <v>162619.21</v>
      </c>
      <c r="M1405" s="26">
        <v>-75007.710000000006</v>
      </c>
    </row>
    <row r="1406" spans="1:13">
      <c r="A1406" s="24" t="s">
        <v>14</v>
      </c>
      <c r="B1406" s="24" t="s">
        <v>337</v>
      </c>
      <c r="C1406" s="25">
        <v>45992</v>
      </c>
      <c r="D1406" s="24" t="s">
        <v>2668</v>
      </c>
      <c r="E1406" s="26">
        <v>-75007.710000000006</v>
      </c>
      <c r="F1406" s="26">
        <v>0</v>
      </c>
      <c r="G1406" s="26">
        <v>285128.8</v>
      </c>
      <c r="H1406" s="26">
        <v>210121.09</v>
      </c>
      <c r="I1406" s="26">
        <v>75007.710000000006</v>
      </c>
      <c r="J1406" s="26">
        <v>0</v>
      </c>
      <c r="K1406" s="26">
        <v>75007.710000000006</v>
      </c>
      <c r="L1406" s="26">
        <v>210121.09</v>
      </c>
      <c r="M1406" s="26">
        <v>-75007.710000000021</v>
      </c>
    </row>
    <row r="1407" spans="1:13">
      <c r="A1407" s="24" t="s">
        <v>215</v>
      </c>
      <c r="B1407" s="24" t="s">
        <v>345</v>
      </c>
      <c r="C1407" s="25">
        <v>45658</v>
      </c>
      <c r="D1407" s="24" t="s">
        <v>2657</v>
      </c>
      <c r="E1407" s="26">
        <v>0</v>
      </c>
      <c r="F1407" s="26">
        <v>0</v>
      </c>
      <c r="G1407" s="26">
        <v>0</v>
      </c>
      <c r="H1407" s="26">
        <v>0</v>
      </c>
      <c r="I1407" s="26">
        <v>0</v>
      </c>
      <c r="J1407" s="26">
        <v>0</v>
      </c>
      <c r="K1407" s="26">
        <v>0</v>
      </c>
      <c r="L1407" s="26">
        <v>0</v>
      </c>
      <c r="M1407" s="26">
        <v>0</v>
      </c>
    </row>
    <row r="1408" spans="1:13">
      <c r="A1408" s="24" t="s">
        <v>215</v>
      </c>
      <c r="B1408" s="24" t="s">
        <v>345</v>
      </c>
      <c r="C1408" s="25">
        <v>45689</v>
      </c>
      <c r="D1408" s="24" t="s">
        <v>2658</v>
      </c>
      <c r="E1408" s="26">
        <v>0</v>
      </c>
      <c r="F1408" s="26">
        <v>0</v>
      </c>
      <c r="G1408" s="26">
        <v>0</v>
      </c>
      <c r="H1408" s="26">
        <v>0</v>
      </c>
      <c r="I1408" s="26">
        <v>0</v>
      </c>
      <c r="J1408" s="26">
        <v>0</v>
      </c>
      <c r="K1408" s="26">
        <v>0</v>
      </c>
      <c r="L1408" s="26">
        <v>0</v>
      </c>
      <c r="M1408" s="26">
        <v>0</v>
      </c>
    </row>
    <row r="1409" spans="1:13">
      <c r="A1409" s="24" t="s">
        <v>215</v>
      </c>
      <c r="B1409" s="24" t="s">
        <v>345</v>
      </c>
      <c r="C1409" s="25">
        <v>45717</v>
      </c>
      <c r="D1409" s="24" t="s">
        <v>2659</v>
      </c>
      <c r="E1409" s="26">
        <v>0</v>
      </c>
      <c r="F1409" s="26">
        <v>0</v>
      </c>
      <c r="G1409" s="26">
        <v>0</v>
      </c>
      <c r="H1409" s="26">
        <v>0</v>
      </c>
      <c r="I1409" s="26">
        <v>0</v>
      </c>
      <c r="J1409" s="26">
        <v>0</v>
      </c>
      <c r="K1409" s="26">
        <v>0</v>
      </c>
      <c r="L1409" s="26">
        <v>0</v>
      </c>
      <c r="M1409" s="26">
        <v>0</v>
      </c>
    </row>
    <row r="1410" spans="1:13">
      <c r="A1410" s="24" t="s">
        <v>215</v>
      </c>
      <c r="B1410" s="24" t="s">
        <v>345</v>
      </c>
      <c r="C1410" s="25">
        <v>45748</v>
      </c>
      <c r="D1410" s="24" t="s">
        <v>2660</v>
      </c>
      <c r="E1410" s="26">
        <v>0</v>
      </c>
      <c r="F1410" s="26">
        <v>0</v>
      </c>
      <c r="G1410" s="26">
        <v>0</v>
      </c>
      <c r="H1410" s="26">
        <v>0</v>
      </c>
      <c r="I1410" s="26">
        <v>0</v>
      </c>
      <c r="J1410" s="26">
        <v>0</v>
      </c>
      <c r="K1410" s="26">
        <v>0</v>
      </c>
      <c r="L1410" s="26">
        <v>0</v>
      </c>
      <c r="M1410" s="26">
        <v>0</v>
      </c>
    </row>
    <row r="1411" spans="1:13">
      <c r="A1411" s="24" t="s">
        <v>215</v>
      </c>
      <c r="B1411" s="24" t="s">
        <v>345</v>
      </c>
      <c r="C1411" s="25">
        <v>45778</v>
      </c>
      <c r="D1411" s="24" t="s">
        <v>2661</v>
      </c>
      <c r="E1411" s="26">
        <v>0</v>
      </c>
      <c r="F1411" s="26">
        <v>0</v>
      </c>
      <c r="G1411" s="26">
        <v>0</v>
      </c>
      <c r="H1411" s="26">
        <v>0</v>
      </c>
      <c r="I1411" s="26">
        <v>0</v>
      </c>
      <c r="J1411" s="26">
        <v>0</v>
      </c>
      <c r="K1411" s="26">
        <v>0</v>
      </c>
      <c r="L1411" s="26">
        <v>0</v>
      </c>
      <c r="M1411" s="26">
        <v>0</v>
      </c>
    </row>
    <row r="1412" spans="1:13">
      <c r="A1412" s="24" t="s">
        <v>215</v>
      </c>
      <c r="B1412" s="24" t="s">
        <v>345</v>
      </c>
      <c r="C1412" s="25">
        <v>45809</v>
      </c>
      <c r="D1412" s="24" t="s">
        <v>2662</v>
      </c>
      <c r="E1412" s="26">
        <v>0</v>
      </c>
      <c r="F1412" s="26">
        <v>0</v>
      </c>
      <c r="G1412" s="26">
        <v>0</v>
      </c>
      <c r="H1412" s="26">
        <v>0</v>
      </c>
      <c r="I1412" s="26">
        <v>0</v>
      </c>
      <c r="J1412" s="26">
        <v>0</v>
      </c>
      <c r="K1412" s="26">
        <v>0</v>
      </c>
      <c r="L1412" s="26">
        <v>0</v>
      </c>
      <c r="M1412" s="26">
        <v>0</v>
      </c>
    </row>
    <row r="1413" spans="1:13">
      <c r="A1413" s="24" t="s">
        <v>215</v>
      </c>
      <c r="B1413" s="24" t="s">
        <v>345</v>
      </c>
      <c r="C1413" s="25">
        <v>45839</v>
      </c>
      <c r="D1413" s="24" t="s">
        <v>2663</v>
      </c>
      <c r="E1413" s="26">
        <v>0</v>
      </c>
      <c r="F1413" s="26">
        <v>0</v>
      </c>
      <c r="G1413" s="26">
        <v>0</v>
      </c>
      <c r="H1413" s="26">
        <v>0</v>
      </c>
      <c r="I1413" s="26">
        <v>0</v>
      </c>
      <c r="J1413" s="26">
        <v>0</v>
      </c>
      <c r="K1413" s="26">
        <v>0</v>
      </c>
      <c r="L1413" s="26">
        <v>0</v>
      </c>
      <c r="M1413" s="26">
        <v>0</v>
      </c>
    </row>
    <row r="1414" spans="1:13">
      <c r="A1414" s="24" t="s">
        <v>215</v>
      </c>
      <c r="B1414" s="24" t="s">
        <v>345</v>
      </c>
      <c r="C1414" s="25">
        <v>45870</v>
      </c>
      <c r="D1414" s="24" t="s">
        <v>2664</v>
      </c>
      <c r="E1414" s="26">
        <v>0</v>
      </c>
      <c r="F1414" s="26">
        <v>0</v>
      </c>
      <c r="G1414" s="26">
        <v>46577.63</v>
      </c>
      <c r="H1414" s="26">
        <v>46577.63</v>
      </c>
      <c r="I1414" s="26">
        <v>0</v>
      </c>
      <c r="J1414" s="26">
        <v>0</v>
      </c>
      <c r="K1414" s="26">
        <v>0</v>
      </c>
      <c r="L1414" s="26">
        <v>46577.63</v>
      </c>
      <c r="M1414" s="26">
        <v>0</v>
      </c>
    </row>
    <row r="1415" spans="1:13">
      <c r="A1415" s="24" t="s">
        <v>215</v>
      </c>
      <c r="B1415" s="24" t="s">
        <v>345</v>
      </c>
      <c r="C1415" s="25">
        <v>45901</v>
      </c>
      <c r="D1415" s="24" t="s">
        <v>2665</v>
      </c>
      <c r="E1415" s="26">
        <v>0</v>
      </c>
      <c r="F1415" s="26">
        <v>0</v>
      </c>
      <c r="G1415" s="26">
        <v>93522.709999999992</v>
      </c>
      <c r="H1415" s="26">
        <v>93522.709999999992</v>
      </c>
      <c r="I1415" s="26">
        <v>0</v>
      </c>
      <c r="J1415" s="26">
        <v>0</v>
      </c>
      <c r="K1415" s="26">
        <v>0</v>
      </c>
      <c r="L1415" s="26">
        <v>93522.709999999992</v>
      </c>
      <c r="M1415" s="26">
        <v>0</v>
      </c>
    </row>
    <row r="1416" spans="1:13">
      <c r="A1416" s="24" t="s">
        <v>215</v>
      </c>
      <c r="B1416" s="24" t="s">
        <v>345</v>
      </c>
      <c r="C1416" s="25">
        <v>45931</v>
      </c>
      <c r="D1416" s="24" t="s">
        <v>2666</v>
      </c>
      <c r="E1416" s="26">
        <v>0</v>
      </c>
      <c r="F1416" s="26">
        <v>0</v>
      </c>
      <c r="G1416" s="26">
        <v>93522.709999999992</v>
      </c>
      <c r="H1416" s="26">
        <v>93522.709999999992</v>
      </c>
      <c r="I1416" s="26">
        <v>0</v>
      </c>
      <c r="J1416" s="26">
        <v>0</v>
      </c>
      <c r="K1416" s="26">
        <v>0</v>
      </c>
      <c r="L1416" s="26">
        <v>93522.709999999992</v>
      </c>
      <c r="M1416" s="26">
        <v>0</v>
      </c>
    </row>
    <row r="1417" spans="1:13">
      <c r="A1417" s="24" t="s">
        <v>215</v>
      </c>
      <c r="B1417" s="24" t="s">
        <v>345</v>
      </c>
      <c r="C1417" s="25">
        <v>45962</v>
      </c>
      <c r="D1417" s="24" t="s">
        <v>2667</v>
      </c>
      <c r="E1417" s="26">
        <v>-60832.41</v>
      </c>
      <c r="F1417" s="26">
        <v>0</v>
      </c>
      <c r="G1417" s="26">
        <v>126624.98</v>
      </c>
      <c r="H1417" s="26">
        <v>65792.569999999978</v>
      </c>
      <c r="I1417" s="26">
        <v>60832.41</v>
      </c>
      <c r="J1417" s="26">
        <v>0</v>
      </c>
      <c r="K1417" s="26">
        <v>60832.41</v>
      </c>
      <c r="L1417" s="26">
        <v>65792.569999999978</v>
      </c>
      <c r="M1417" s="26">
        <v>-60832.41</v>
      </c>
    </row>
    <row r="1418" spans="1:13">
      <c r="A1418" s="24" t="s">
        <v>215</v>
      </c>
      <c r="B1418" s="24" t="s">
        <v>345</v>
      </c>
      <c r="C1418" s="25">
        <v>45992</v>
      </c>
      <c r="D1418" s="24" t="s">
        <v>2668</v>
      </c>
      <c r="E1418" s="26">
        <v>-60832.41</v>
      </c>
      <c r="F1418" s="26">
        <v>0</v>
      </c>
      <c r="G1418" s="26">
        <v>155075.39000000001</v>
      </c>
      <c r="H1418" s="26">
        <v>94242.979999999981</v>
      </c>
      <c r="I1418" s="26">
        <v>60832.41</v>
      </c>
      <c r="J1418" s="26">
        <v>0</v>
      </c>
      <c r="K1418" s="26">
        <v>60832.41</v>
      </c>
      <c r="L1418" s="26">
        <v>94242.979999999981</v>
      </c>
      <c r="M1418" s="26">
        <v>-60832.41</v>
      </c>
    </row>
    <row r="1419" spans="1:13">
      <c r="A1419" s="24" t="s">
        <v>129</v>
      </c>
      <c r="B1419" s="24" t="s">
        <v>345</v>
      </c>
      <c r="C1419" s="25">
        <v>45658</v>
      </c>
      <c r="D1419" s="24" t="s">
        <v>2657</v>
      </c>
      <c r="E1419" s="26">
        <v>0</v>
      </c>
      <c r="F1419" s="26">
        <v>0</v>
      </c>
      <c r="G1419" s="26">
        <v>0</v>
      </c>
      <c r="H1419" s="26">
        <v>0</v>
      </c>
      <c r="I1419" s="26">
        <v>0</v>
      </c>
      <c r="J1419" s="26">
        <v>0</v>
      </c>
      <c r="K1419" s="26">
        <v>0</v>
      </c>
      <c r="L1419" s="26">
        <v>0</v>
      </c>
      <c r="M1419" s="26">
        <v>0</v>
      </c>
    </row>
    <row r="1420" spans="1:13">
      <c r="A1420" s="24" t="s">
        <v>129</v>
      </c>
      <c r="B1420" s="24" t="s">
        <v>345</v>
      </c>
      <c r="C1420" s="25">
        <v>45689</v>
      </c>
      <c r="D1420" s="24" t="s">
        <v>2658</v>
      </c>
      <c r="E1420" s="26">
        <v>0</v>
      </c>
      <c r="F1420" s="26">
        <v>0</v>
      </c>
      <c r="G1420" s="26">
        <v>0</v>
      </c>
      <c r="H1420" s="26">
        <v>0</v>
      </c>
      <c r="I1420" s="26">
        <v>0</v>
      </c>
      <c r="J1420" s="26">
        <v>0</v>
      </c>
      <c r="K1420" s="26">
        <v>0</v>
      </c>
      <c r="L1420" s="26">
        <v>0</v>
      </c>
      <c r="M1420" s="26">
        <v>0</v>
      </c>
    </row>
    <row r="1421" spans="1:13">
      <c r="A1421" s="24" t="s">
        <v>129</v>
      </c>
      <c r="B1421" s="24" t="s">
        <v>345</v>
      </c>
      <c r="C1421" s="25">
        <v>45717</v>
      </c>
      <c r="D1421" s="24" t="s">
        <v>2659</v>
      </c>
      <c r="E1421" s="26">
        <v>0</v>
      </c>
      <c r="F1421" s="26">
        <v>0</v>
      </c>
      <c r="G1421" s="26">
        <v>0</v>
      </c>
      <c r="H1421" s="26">
        <v>0</v>
      </c>
      <c r="I1421" s="26">
        <v>0</v>
      </c>
      <c r="J1421" s="26">
        <v>0</v>
      </c>
      <c r="K1421" s="26">
        <v>0</v>
      </c>
      <c r="L1421" s="26">
        <v>0</v>
      </c>
      <c r="M1421" s="26">
        <v>0</v>
      </c>
    </row>
    <row r="1422" spans="1:13">
      <c r="A1422" s="24" t="s">
        <v>129</v>
      </c>
      <c r="B1422" s="24" t="s">
        <v>345</v>
      </c>
      <c r="C1422" s="25">
        <v>45748</v>
      </c>
      <c r="D1422" s="24" t="s">
        <v>2660</v>
      </c>
      <c r="E1422" s="26">
        <v>0</v>
      </c>
      <c r="F1422" s="26">
        <v>0</v>
      </c>
      <c r="G1422" s="26">
        <v>0</v>
      </c>
      <c r="H1422" s="26">
        <v>0</v>
      </c>
      <c r="I1422" s="26">
        <v>0</v>
      </c>
      <c r="J1422" s="26">
        <v>0</v>
      </c>
      <c r="K1422" s="26">
        <v>0</v>
      </c>
      <c r="L1422" s="26">
        <v>0</v>
      </c>
      <c r="M1422" s="26">
        <v>0</v>
      </c>
    </row>
    <row r="1423" spans="1:13">
      <c r="A1423" s="24" t="s">
        <v>129</v>
      </c>
      <c r="B1423" s="24" t="s">
        <v>345</v>
      </c>
      <c r="C1423" s="25">
        <v>45778</v>
      </c>
      <c r="D1423" s="24" t="s">
        <v>2661</v>
      </c>
      <c r="E1423" s="26">
        <v>0</v>
      </c>
      <c r="F1423" s="26">
        <v>0</v>
      </c>
      <c r="G1423" s="26">
        <v>0</v>
      </c>
      <c r="H1423" s="26">
        <v>0</v>
      </c>
      <c r="I1423" s="26">
        <v>0</v>
      </c>
      <c r="J1423" s="26">
        <v>0</v>
      </c>
      <c r="K1423" s="26">
        <v>0</v>
      </c>
      <c r="L1423" s="26">
        <v>0</v>
      </c>
      <c r="M1423" s="26">
        <v>0</v>
      </c>
    </row>
    <row r="1424" spans="1:13">
      <c r="A1424" s="24" t="s">
        <v>129</v>
      </c>
      <c r="B1424" s="24" t="s">
        <v>345</v>
      </c>
      <c r="C1424" s="25">
        <v>45809</v>
      </c>
      <c r="D1424" s="24" t="s">
        <v>2662</v>
      </c>
      <c r="E1424" s="26">
        <v>0</v>
      </c>
      <c r="F1424" s="26">
        <v>0</v>
      </c>
      <c r="G1424" s="26">
        <v>0</v>
      </c>
      <c r="H1424" s="26">
        <v>0</v>
      </c>
      <c r="I1424" s="26">
        <v>0</v>
      </c>
      <c r="J1424" s="26">
        <v>0</v>
      </c>
      <c r="K1424" s="26">
        <v>0</v>
      </c>
      <c r="L1424" s="26">
        <v>0</v>
      </c>
      <c r="M1424" s="26">
        <v>0</v>
      </c>
    </row>
    <row r="1425" spans="1:13">
      <c r="A1425" s="24" t="s">
        <v>129</v>
      </c>
      <c r="B1425" s="24" t="s">
        <v>345</v>
      </c>
      <c r="C1425" s="25">
        <v>45839</v>
      </c>
      <c r="D1425" s="24" t="s">
        <v>2663</v>
      </c>
      <c r="E1425" s="26">
        <v>0</v>
      </c>
      <c r="F1425" s="26">
        <v>0</v>
      </c>
      <c r="G1425" s="26">
        <v>9939.17</v>
      </c>
      <c r="H1425" s="26">
        <v>9939.17</v>
      </c>
      <c r="I1425" s="26">
        <v>0</v>
      </c>
      <c r="J1425" s="26">
        <v>0</v>
      </c>
      <c r="K1425" s="26">
        <v>0</v>
      </c>
      <c r="L1425" s="26">
        <v>9939.17</v>
      </c>
      <c r="M1425" s="26">
        <v>0</v>
      </c>
    </row>
    <row r="1426" spans="1:13">
      <c r="A1426" s="24" t="s">
        <v>129</v>
      </c>
      <c r="B1426" s="24" t="s">
        <v>345</v>
      </c>
      <c r="C1426" s="25">
        <v>45870</v>
      </c>
      <c r="D1426" s="24" t="s">
        <v>2664</v>
      </c>
      <c r="E1426" s="26">
        <v>0</v>
      </c>
      <c r="F1426" s="26">
        <v>0</v>
      </c>
      <c r="G1426" s="26">
        <v>16743.759999999998</v>
      </c>
      <c r="H1426" s="26">
        <v>16743.759999999998</v>
      </c>
      <c r="I1426" s="26">
        <v>0</v>
      </c>
      <c r="J1426" s="26">
        <v>0</v>
      </c>
      <c r="K1426" s="26">
        <v>0</v>
      </c>
      <c r="L1426" s="26">
        <v>16743.759999999998</v>
      </c>
      <c r="M1426" s="26">
        <v>0</v>
      </c>
    </row>
    <row r="1427" spans="1:13">
      <c r="A1427" s="24" t="s">
        <v>129</v>
      </c>
      <c r="B1427" s="24" t="s">
        <v>345</v>
      </c>
      <c r="C1427" s="25">
        <v>45901</v>
      </c>
      <c r="D1427" s="24" t="s">
        <v>2665</v>
      </c>
      <c r="E1427" s="26">
        <v>-18056.669999999998</v>
      </c>
      <c r="F1427" s="26">
        <v>0</v>
      </c>
      <c r="G1427" s="26">
        <v>16743.759999999998</v>
      </c>
      <c r="H1427" s="26">
        <v>-1312.909999999996</v>
      </c>
      <c r="I1427" s="26">
        <v>0</v>
      </c>
      <c r="J1427" s="26">
        <v>0</v>
      </c>
      <c r="K1427" s="26">
        <v>0</v>
      </c>
      <c r="L1427" s="26">
        <v>-1312.909999999996</v>
      </c>
      <c r="M1427" s="26">
        <v>0</v>
      </c>
    </row>
    <row r="1428" spans="1:13">
      <c r="A1428" s="24" t="s">
        <v>129</v>
      </c>
      <c r="B1428" s="24" t="s">
        <v>345</v>
      </c>
      <c r="C1428" s="25">
        <v>45931</v>
      </c>
      <c r="D1428" s="24" t="s">
        <v>2666</v>
      </c>
      <c r="E1428" s="26">
        <v>-108.0999999999985</v>
      </c>
      <c r="F1428" s="26">
        <v>0</v>
      </c>
      <c r="G1428" s="26">
        <v>0</v>
      </c>
      <c r="H1428" s="26">
        <v>-108.0999999999985</v>
      </c>
      <c r="I1428" s="26">
        <v>0</v>
      </c>
      <c r="J1428" s="26">
        <v>0</v>
      </c>
      <c r="K1428" s="26">
        <v>0</v>
      </c>
      <c r="L1428" s="26">
        <v>-1312.909999999996</v>
      </c>
      <c r="M1428" s="26">
        <v>1204.8099999999979</v>
      </c>
    </row>
    <row r="1429" spans="1:13">
      <c r="A1429" s="24" t="s">
        <v>129</v>
      </c>
      <c r="B1429" s="24" t="s">
        <v>345</v>
      </c>
      <c r="C1429" s="25">
        <v>45962</v>
      </c>
      <c r="D1429" s="24" t="s">
        <v>2667</v>
      </c>
      <c r="E1429" s="26">
        <v>-91925.69</v>
      </c>
      <c r="F1429" s="26">
        <v>0</v>
      </c>
      <c r="G1429" s="26">
        <v>7992.93</v>
      </c>
      <c r="H1429" s="26">
        <v>-83932.760000000009</v>
      </c>
      <c r="I1429" s="26">
        <v>91817.59</v>
      </c>
      <c r="J1429" s="26">
        <v>37598</v>
      </c>
      <c r="K1429" s="26">
        <v>129415.59</v>
      </c>
      <c r="L1429" s="26">
        <v>-83932.75999999998</v>
      </c>
      <c r="M1429" s="26">
        <v>-129415.59</v>
      </c>
    </row>
    <row r="1430" spans="1:13">
      <c r="A1430" s="24" t="s">
        <v>129</v>
      </c>
      <c r="B1430" s="24" t="s">
        <v>345</v>
      </c>
      <c r="C1430" s="25">
        <v>45992</v>
      </c>
      <c r="D1430" s="24" t="s">
        <v>2668</v>
      </c>
      <c r="E1430" s="26">
        <v>-54346.39</v>
      </c>
      <c r="F1430" s="26">
        <v>0</v>
      </c>
      <c r="G1430" s="26">
        <v>0</v>
      </c>
      <c r="H1430" s="26">
        <v>-54346.39</v>
      </c>
      <c r="I1430" s="26">
        <v>91817.59</v>
      </c>
      <c r="J1430" s="26">
        <v>37598</v>
      </c>
      <c r="K1430" s="26">
        <v>129415.59</v>
      </c>
      <c r="L1430" s="26">
        <v>-83932.75999999998</v>
      </c>
      <c r="M1430" s="26">
        <v>-99829.22</v>
      </c>
    </row>
    <row r="1431" spans="1:13">
      <c r="A1431" s="24" t="s">
        <v>56</v>
      </c>
      <c r="B1431" s="24" t="s">
        <v>324</v>
      </c>
      <c r="C1431" s="25">
        <v>45658</v>
      </c>
      <c r="D1431" s="24" t="s">
        <v>2657</v>
      </c>
      <c r="E1431" s="26">
        <v>0</v>
      </c>
      <c r="F1431" s="26">
        <v>0</v>
      </c>
      <c r="G1431" s="26">
        <v>0</v>
      </c>
      <c r="H1431" s="26">
        <v>0</v>
      </c>
      <c r="I1431" s="26">
        <v>0</v>
      </c>
      <c r="J1431" s="26">
        <v>0</v>
      </c>
      <c r="K1431" s="26">
        <v>0</v>
      </c>
      <c r="L1431" s="26">
        <v>0</v>
      </c>
      <c r="M1431" s="26">
        <v>0</v>
      </c>
    </row>
    <row r="1432" spans="1:13">
      <c r="A1432" s="24" t="s">
        <v>56</v>
      </c>
      <c r="B1432" s="24" t="s">
        <v>324</v>
      </c>
      <c r="C1432" s="25">
        <v>45689</v>
      </c>
      <c r="D1432" s="24" t="s">
        <v>2658</v>
      </c>
      <c r="E1432" s="26">
        <v>0</v>
      </c>
      <c r="F1432" s="26">
        <v>0</v>
      </c>
      <c r="G1432" s="26">
        <v>0</v>
      </c>
      <c r="H1432" s="26">
        <v>0</v>
      </c>
      <c r="I1432" s="26">
        <v>0</v>
      </c>
      <c r="J1432" s="26">
        <v>0</v>
      </c>
      <c r="K1432" s="26">
        <v>0</v>
      </c>
      <c r="L1432" s="26">
        <v>0</v>
      </c>
      <c r="M1432" s="26">
        <v>0</v>
      </c>
    </row>
    <row r="1433" spans="1:13">
      <c r="A1433" s="24" t="s">
        <v>56</v>
      </c>
      <c r="B1433" s="24" t="s">
        <v>324</v>
      </c>
      <c r="C1433" s="25">
        <v>45717</v>
      </c>
      <c r="D1433" s="24" t="s">
        <v>2659</v>
      </c>
      <c r="E1433" s="26">
        <v>0</v>
      </c>
      <c r="F1433" s="26">
        <v>0</v>
      </c>
      <c r="G1433" s="26">
        <v>0</v>
      </c>
      <c r="H1433" s="26">
        <v>0</v>
      </c>
      <c r="I1433" s="26">
        <v>0</v>
      </c>
      <c r="J1433" s="26">
        <v>0</v>
      </c>
      <c r="K1433" s="26">
        <v>0</v>
      </c>
      <c r="L1433" s="26">
        <v>0</v>
      </c>
      <c r="M1433" s="26">
        <v>0</v>
      </c>
    </row>
    <row r="1434" spans="1:13">
      <c r="A1434" s="24" t="s">
        <v>56</v>
      </c>
      <c r="B1434" s="24" t="s">
        <v>324</v>
      </c>
      <c r="C1434" s="25">
        <v>45748</v>
      </c>
      <c r="D1434" s="24" t="s">
        <v>2660</v>
      </c>
      <c r="E1434" s="26">
        <v>0</v>
      </c>
      <c r="F1434" s="26">
        <v>0</v>
      </c>
      <c r="G1434" s="26">
        <v>0</v>
      </c>
      <c r="H1434" s="26">
        <v>0</v>
      </c>
      <c r="I1434" s="26">
        <v>0</v>
      </c>
      <c r="J1434" s="26">
        <v>0</v>
      </c>
      <c r="K1434" s="26">
        <v>0</v>
      </c>
      <c r="L1434" s="26">
        <v>0</v>
      </c>
      <c r="M1434" s="26">
        <v>0</v>
      </c>
    </row>
    <row r="1435" spans="1:13">
      <c r="A1435" s="24" t="s">
        <v>56</v>
      </c>
      <c r="B1435" s="24" t="s">
        <v>324</v>
      </c>
      <c r="C1435" s="25">
        <v>45778</v>
      </c>
      <c r="D1435" s="24" t="s">
        <v>2661</v>
      </c>
      <c r="E1435" s="26">
        <v>0</v>
      </c>
      <c r="F1435" s="26">
        <v>0</v>
      </c>
      <c r="G1435" s="26">
        <v>0</v>
      </c>
      <c r="H1435" s="26">
        <v>0</v>
      </c>
      <c r="I1435" s="26">
        <v>0</v>
      </c>
      <c r="J1435" s="26">
        <v>0</v>
      </c>
      <c r="K1435" s="26">
        <v>0</v>
      </c>
      <c r="L1435" s="26">
        <v>0</v>
      </c>
      <c r="M1435" s="26">
        <v>0</v>
      </c>
    </row>
    <row r="1436" spans="1:13">
      <c r="A1436" s="24" t="s">
        <v>56</v>
      </c>
      <c r="B1436" s="24" t="s">
        <v>324</v>
      </c>
      <c r="C1436" s="25">
        <v>45809</v>
      </c>
      <c r="D1436" s="24" t="s">
        <v>2662</v>
      </c>
      <c r="E1436" s="26">
        <v>0</v>
      </c>
      <c r="F1436" s="26">
        <v>0</v>
      </c>
      <c r="G1436" s="26">
        <v>0</v>
      </c>
      <c r="H1436" s="26">
        <v>0</v>
      </c>
      <c r="I1436" s="26">
        <v>0</v>
      </c>
      <c r="J1436" s="26">
        <v>0</v>
      </c>
      <c r="K1436" s="26">
        <v>0</v>
      </c>
      <c r="L1436" s="26">
        <v>0</v>
      </c>
      <c r="M1436" s="26">
        <v>0</v>
      </c>
    </row>
    <row r="1437" spans="1:13">
      <c r="A1437" s="24" t="s">
        <v>56</v>
      </c>
      <c r="B1437" s="24" t="s">
        <v>324</v>
      </c>
      <c r="C1437" s="25">
        <v>45839</v>
      </c>
      <c r="D1437" s="24" t="s">
        <v>2663</v>
      </c>
      <c r="E1437" s="26">
        <v>0</v>
      </c>
      <c r="F1437" s="26">
        <v>0</v>
      </c>
      <c r="G1437" s="26">
        <v>31809.07</v>
      </c>
      <c r="H1437" s="26">
        <v>31809.07</v>
      </c>
      <c r="I1437" s="26">
        <v>0</v>
      </c>
      <c r="J1437" s="26">
        <v>0</v>
      </c>
      <c r="K1437" s="26">
        <v>0</v>
      </c>
      <c r="L1437" s="26">
        <v>31809.07</v>
      </c>
      <c r="M1437" s="26">
        <v>0</v>
      </c>
    </row>
    <row r="1438" spans="1:13">
      <c r="A1438" s="24" t="s">
        <v>56</v>
      </c>
      <c r="B1438" s="24" t="s">
        <v>324</v>
      </c>
      <c r="C1438" s="25">
        <v>45870</v>
      </c>
      <c r="D1438" s="24" t="s">
        <v>2664</v>
      </c>
      <c r="E1438" s="26">
        <v>0</v>
      </c>
      <c r="F1438" s="26">
        <v>0</v>
      </c>
      <c r="G1438" s="26">
        <v>0</v>
      </c>
      <c r="H1438" s="26">
        <v>0</v>
      </c>
      <c r="I1438" s="26">
        <v>0</v>
      </c>
      <c r="J1438" s="26">
        <v>0</v>
      </c>
      <c r="K1438" s="26">
        <v>0</v>
      </c>
      <c r="L1438" s="26">
        <v>47210.44</v>
      </c>
      <c r="M1438" s="26">
        <v>-47210.44</v>
      </c>
    </row>
    <row r="1439" spans="1:13">
      <c r="A1439" s="24" t="s">
        <v>56</v>
      </c>
      <c r="B1439" s="24" t="s">
        <v>324</v>
      </c>
      <c r="C1439" s="25">
        <v>45901</v>
      </c>
      <c r="D1439" s="24" t="s">
        <v>2665</v>
      </c>
      <c r="E1439" s="26">
        <v>0</v>
      </c>
      <c r="F1439" s="26">
        <v>0</v>
      </c>
      <c r="G1439" s="26">
        <v>0</v>
      </c>
      <c r="H1439" s="26">
        <v>0</v>
      </c>
      <c r="I1439" s="26">
        <v>0</v>
      </c>
      <c r="J1439" s="26">
        <v>0</v>
      </c>
      <c r="K1439" s="26">
        <v>0</v>
      </c>
      <c r="L1439" s="26">
        <v>47210.44</v>
      </c>
      <c r="M1439" s="26">
        <v>-47210.44</v>
      </c>
    </row>
    <row r="1440" spans="1:13">
      <c r="A1440" s="24" t="s">
        <v>56</v>
      </c>
      <c r="B1440" s="24" t="s">
        <v>324</v>
      </c>
      <c r="C1440" s="25">
        <v>45931</v>
      </c>
      <c r="D1440" s="24" t="s">
        <v>2666</v>
      </c>
      <c r="E1440" s="26">
        <v>-92909.1</v>
      </c>
      <c r="F1440" s="26">
        <v>0</v>
      </c>
      <c r="G1440" s="26">
        <v>0</v>
      </c>
      <c r="H1440" s="26">
        <v>-92909.1</v>
      </c>
      <c r="I1440" s="26">
        <v>92909.1</v>
      </c>
      <c r="J1440" s="26">
        <v>0</v>
      </c>
      <c r="K1440" s="26">
        <v>92909.1</v>
      </c>
      <c r="L1440" s="26">
        <v>-45698.66</v>
      </c>
      <c r="M1440" s="26">
        <v>-140119.54</v>
      </c>
    </row>
    <row r="1441" spans="1:13">
      <c r="A1441" s="24" t="s">
        <v>56</v>
      </c>
      <c r="B1441" s="24" t="s">
        <v>324</v>
      </c>
      <c r="C1441" s="25">
        <v>45962</v>
      </c>
      <c r="D1441" s="24" t="s">
        <v>2667</v>
      </c>
      <c r="E1441" s="26">
        <v>-150074.92000000001</v>
      </c>
      <c r="F1441" s="26">
        <v>0</v>
      </c>
      <c r="G1441" s="26">
        <v>0</v>
      </c>
      <c r="H1441" s="26">
        <v>-150074.92000000001</v>
      </c>
      <c r="I1441" s="26">
        <v>92909.1</v>
      </c>
      <c r="J1441" s="26">
        <v>0</v>
      </c>
      <c r="K1441" s="26">
        <v>92909.1</v>
      </c>
      <c r="L1441" s="26">
        <v>-102864.48</v>
      </c>
      <c r="M1441" s="26">
        <v>-140119.54</v>
      </c>
    </row>
    <row r="1442" spans="1:13">
      <c r="A1442" s="24" t="s">
        <v>56</v>
      </c>
      <c r="B1442" s="24" t="s">
        <v>324</v>
      </c>
      <c r="C1442" s="25">
        <v>45992</v>
      </c>
      <c r="D1442" s="24" t="s">
        <v>2668</v>
      </c>
      <c r="E1442" s="26">
        <v>-275222.61</v>
      </c>
      <c r="F1442" s="26">
        <v>0</v>
      </c>
      <c r="G1442" s="26">
        <v>0</v>
      </c>
      <c r="H1442" s="26">
        <v>-275222.61</v>
      </c>
      <c r="I1442" s="26">
        <v>92909.1</v>
      </c>
      <c r="J1442" s="26">
        <v>0</v>
      </c>
      <c r="K1442" s="26">
        <v>92909.1</v>
      </c>
      <c r="L1442" s="26">
        <v>-203322.3</v>
      </c>
      <c r="M1442" s="26">
        <v>-164809.40999999989</v>
      </c>
    </row>
  </sheetData>
  <mergeCells count="1">
    <mergeCell ref="A1:M1"/>
  </mergeCells>
  <conditionalFormatting sqref="M3:M1442">
    <cfRule type="cellIs" dxfId="0" priority="1" operator="notEqual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4"/>
  <sheetViews>
    <sheetView showGridLines="0" workbookViewId="0">
      <pane ySplit="2" topLeftCell="A3" activePane="bottomLeft" state="frozen"/>
      <selection pane="bottomLeft" activeCell="L34" sqref="L34"/>
    </sheetView>
  </sheetViews>
  <sheetFormatPr baseColWidth="10" defaultColWidth="8.83203125" defaultRowHeight="15"/>
  <cols>
    <col min="1" max="2" width="13" customWidth="1"/>
    <col min="3" max="3" width="19" customWidth="1"/>
    <col min="4" max="4" width="20" customWidth="1"/>
    <col min="5" max="5" width="15" customWidth="1"/>
    <col min="6" max="6" width="21" customWidth="1"/>
    <col min="7" max="7" width="15" customWidth="1"/>
    <col min="8" max="8" width="17" customWidth="1"/>
    <col min="9" max="11" width="13" customWidth="1"/>
    <col min="12" max="12" width="18" customWidth="1"/>
    <col min="13" max="13" width="14" customWidth="1"/>
    <col min="14" max="14" width="19" customWidth="1"/>
    <col min="15" max="15" width="16" customWidth="1"/>
    <col min="16" max="16" width="15" customWidth="1"/>
  </cols>
  <sheetData>
    <row r="1" spans="1:16" ht="28" customHeight="1">
      <c r="A1" s="30" t="s">
        <v>2848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6">
      <c r="A2" s="23" t="s">
        <v>2825</v>
      </c>
      <c r="B2" s="23" t="s">
        <v>2686</v>
      </c>
      <c r="C2" s="23" t="s">
        <v>2849</v>
      </c>
      <c r="D2" s="23" t="s">
        <v>2850</v>
      </c>
      <c r="E2" s="23" t="s">
        <v>2828</v>
      </c>
      <c r="F2" s="23" t="s">
        <v>2851</v>
      </c>
      <c r="G2" s="23" t="s">
        <v>2852</v>
      </c>
      <c r="H2" s="23" t="s">
        <v>2853</v>
      </c>
      <c r="I2" s="23" t="s">
        <v>2833</v>
      </c>
      <c r="J2" s="23" t="s">
        <v>2671</v>
      </c>
      <c r="K2" s="23" t="s">
        <v>2854</v>
      </c>
      <c r="L2" s="23" t="s">
        <v>2836</v>
      </c>
      <c r="M2" s="23" t="s">
        <v>2678</v>
      </c>
      <c r="N2" s="23" t="s">
        <v>2845</v>
      </c>
      <c r="O2" s="23" t="s">
        <v>2855</v>
      </c>
      <c r="P2" s="23" t="s">
        <v>2847</v>
      </c>
    </row>
    <row r="3" spans="1:16">
      <c r="A3" s="25">
        <v>45658</v>
      </c>
      <c r="B3" s="24" t="s">
        <v>2657</v>
      </c>
      <c r="C3" s="26">
        <v>0</v>
      </c>
      <c r="D3" s="26">
        <v>121399</v>
      </c>
      <c r="E3" s="26">
        <v>-121399</v>
      </c>
      <c r="F3" s="26">
        <v>-121399</v>
      </c>
      <c r="G3" s="26">
        <v>0</v>
      </c>
      <c r="H3" s="26">
        <v>0</v>
      </c>
      <c r="I3" s="26">
        <v>0</v>
      </c>
      <c r="J3" s="26">
        <v>0</v>
      </c>
      <c r="K3" s="26">
        <v>121399</v>
      </c>
      <c r="L3" s="26">
        <v>-121399</v>
      </c>
      <c r="M3" s="26">
        <v>-121399</v>
      </c>
      <c r="N3" s="26">
        <v>0</v>
      </c>
      <c r="O3" s="26">
        <v>-121399</v>
      </c>
      <c r="P3" s="26">
        <v>0</v>
      </c>
    </row>
    <row r="4" spans="1:16">
      <c r="A4" s="25">
        <v>45689</v>
      </c>
      <c r="B4" s="24" t="s">
        <v>2658</v>
      </c>
      <c r="C4" s="26">
        <v>0</v>
      </c>
      <c r="D4" s="26">
        <v>139875</v>
      </c>
      <c r="E4" s="26">
        <v>-139875</v>
      </c>
      <c r="F4" s="26">
        <v>-261274</v>
      </c>
      <c r="G4" s="26">
        <v>0</v>
      </c>
      <c r="H4" s="26">
        <v>0</v>
      </c>
      <c r="I4" s="26">
        <v>0</v>
      </c>
      <c r="J4" s="26">
        <v>0</v>
      </c>
      <c r="K4" s="26">
        <v>139875</v>
      </c>
      <c r="L4" s="26">
        <v>-139875</v>
      </c>
      <c r="M4" s="26">
        <v>-261274</v>
      </c>
      <c r="N4" s="26">
        <v>0</v>
      </c>
      <c r="O4" s="26">
        <v>-261274</v>
      </c>
      <c r="P4" s="26">
        <v>0</v>
      </c>
    </row>
    <row r="5" spans="1:16">
      <c r="A5" s="25">
        <v>45717</v>
      </c>
      <c r="B5" s="24" t="s">
        <v>2659</v>
      </c>
      <c r="C5" s="26">
        <v>0</v>
      </c>
      <c r="D5" s="26">
        <v>133887</v>
      </c>
      <c r="E5" s="26">
        <v>-133887</v>
      </c>
      <c r="F5" s="26">
        <v>-395161</v>
      </c>
      <c r="G5" s="26">
        <v>0</v>
      </c>
      <c r="H5" s="26">
        <v>0</v>
      </c>
      <c r="I5" s="26">
        <v>0</v>
      </c>
      <c r="J5" s="26">
        <v>0</v>
      </c>
      <c r="K5" s="26">
        <v>133887</v>
      </c>
      <c r="L5" s="26">
        <v>-133887</v>
      </c>
      <c r="M5" s="26">
        <v>-395161</v>
      </c>
      <c r="N5" s="26">
        <v>0</v>
      </c>
      <c r="O5" s="26">
        <v>-395161</v>
      </c>
      <c r="P5" s="26">
        <v>0</v>
      </c>
    </row>
    <row r="6" spans="1:16">
      <c r="A6" s="25">
        <v>45748</v>
      </c>
      <c r="B6" s="24" t="s">
        <v>2660</v>
      </c>
      <c r="C6" s="26">
        <v>0</v>
      </c>
      <c r="D6" s="26">
        <v>139572</v>
      </c>
      <c r="E6" s="26">
        <v>-139572</v>
      </c>
      <c r="F6" s="26">
        <v>-534733</v>
      </c>
      <c r="G6" s="26">
        <v>0</v>
      </c>
      <c r="H6" s="26">
        <v>0</v>
      </c>
      <c r="I6" s="26">
        <v>0</v>
      </c>
      <c r="J6" s="26">
        <v>0</v>
      </c>
      <c r="K6" s="26">
        <v>139572</v>
      </c>
      <c r="L6" s="26">
        <v>-139572</v>
      </c>
      <c r="M6" s="26">
        <v>-534733</v>
      </c>
      <c r="N6" s="26">
        <v>0</v>
      </c>
      <c r="O6" s="26">
        <v>-534733</v>
      </c>
      <c r="P6" s="26">
        <v>0</v>
      </c>
    </row>
    <row r="7" spans="1:16">
      <c r="A7" s="25">
        <v>45778</v>
      </c>
      <c r="B7" s="24" t="s">
        <v>2661</v>
      </c>
      <c r="C7" s="26">
        <v>0</v>
      </c>
      <c r="D7" s="26">
        <v>149397</v>
      </c>
      <c r="E7" s="26">
        <v>-149397</v>
      </c>
      <c r="F7" s="26">
        <v>-684130</v>
      </c>
      <c r="G7" s="26">
        <v>0</v>
      </c>
      <c r="H7" s="26">
        <v>0</v>
      </c>
      <c r="I7" s="26">
        <v>0</v>
      </c>
      <c r="J7" s="26">
        <v>0</v>
      </c>
      <c r="K7" s="26">
        <v>149397</v>
      </c>
      <c r="L7" s="26">
        <v>-149397</v>
      </c>
      <c r="M7" s="26">
        <v>-684130</v>
      </c>
      <c r="N7" s="26">
        <v>0</v>
      </c>
      <c r="O7" s="26">
        <v>-684130</v>
      </c>
      <c r="P7" s="26">
        <v>0</v>
      </c>
    </row>
    <row r="8" spans="1:16">
      <c r="A8" s="25">
        <v>45809</v>
      </c>
      <c r="B8" s="24" t="s">
        <v>2662</v>
      </c>
      <c r="C8" s="26">
        <v>0</v>
      </c>
      <c r="D8" s="26">
        <v>170107</v>
      </c>
      <c r="E8" s="26">
        <v>-170107</v>
      </c>
      <c r="F8" s="26">
        <v>-854237</v>
      </c>
      <c r="G8" s="26">
        <v>0</v>
      </c>
      <c r="H8" s="26">
        <v>0</v>
      </c>
      <c r="I8" s="26">
        <v>0</v>
      </c>
      <c r="J8" s="26">
        <v>0</v>
      </c>
      <c r="K8" s="26">
        <v>170107</v>
      </c>
      <c r="L8" s="26">
        <v>-170107</v>
      </c>
      <c r="M8" s="26">
        <v>-854237</v>
      </c>
      <c r="N8" s="26">
        <v>0</v>
      </c>
      <c r="O8" s="26">
        <v>-854237</v>
      </c>
      <c r="P8" s="26">
        <v>0</v>
      </c>
    </row>
    <row r="9" spans="1:16">
      <c r="A9" s="25">
        <v>45839</v>
      </c>
      <c r="B9" s="24" t="s">
        <v>2663</v>
      </c>
      <c r="C9" s="26">
        <v>0</v>
      </c>
      <c r="D9" s="26">
        <v>1416554.22</v>
      </c>
      <c r="E9" s="26">
        <v>-1416554.22</v>
      </c>
      <c r="F9" s="26">
        <v>-2270791.2200000002</v>
      </c>
      <c r="G9" s="26">
        <v>1921224.919999999</v>
      </c>
      <c r="H9" s="26">
        <v>0</v>
      </c>
      <c r="I9" s="26">
        <v>1921224.919999999</v>
      </c>
      <c r="J9" s="26">
        <v>1244489.22</v>
      </c>
      <c r="K9" s="26">
        <v>172065</v>
      </c>
      <c r="L9" s="26">
        <v>504670.70000000013</v>
      </c>
      <c r="M9" s="26">
        <v>-349566.2999999997</v>
      </c>
      <c r="N9" s="26">
        <v>2833342.919999999</v>
      </c>
      <c r="O9" s="26">
        <v>-349566.2999999997</v>
      </c>
      <c r="P9" s="26">
        <v>-2833342.919999999</v>
      </c>
    </row>
    <row r="10" spans="1:16">
      <c r="A10" s="25">
        <v>45870</v>
      </c>
      <c r="B10" s="24" t="s">
        <v>2664</v>
      </c>
      <c r="C10" s="26">
        <v>613916.05000000005</v>
      </c>
      <c r="D10" s="26">
        <v>2240960.19</v>
      </c>
      <c r="E10" s="26">
        <v>-1627044.14</v>
      </c>
      <c r="F10" s="26">
        <v>-3897835.3599999989</v>
      </c>
      <c r="G10" s="26">
        <v>2099609.62</v>
      </c>
      <c r="H10" s="26">
        <v>73438.59</v>
      </c>
      <c r="I10" s="26">
        <v>2026171.03</v>
      </c>
      <c r="J10" s="26">
        <v>2011320.6</v>
      </c>
      <c r="K10" s="26">
        <v>156201</v>
      </c>
      <c r="L10" s="26">
        <v>-141350.56999999989</v>
      </c>
      <c r="M10" s="26">
        <v>351151.39999999967</v>
      </c>
      <c r="N10" s="26">
        <v>6222693.75</v>
      </c>
      <c r="O10" s="26">
        <v>-490916.86999999982</v>
      </c>
      <c r="P10" s="26">
        <v>-5380625.4800000014</v>
      </c>
    </row>
    <row r="11" spans="1:16">
      <c r="A11" s="25">
        <v>45901</v>
      </c>
      <c r="B11" s="24" t="s">
        <v>2665</v>
      </c>
      <c r="C11" s="26">
        <v>1060288.21</v>
      </c>
      <c r="D11" s="26">
        <v>2180800</v>
      </c>
      <c r="E11" s="26">
        <v>-1120511.79</v>
      </c>
      <c r="F11" s="26">
        <v>-5018347.1499999994</v>
      </c>
      <c r="G11" s="26">
        <v>2309134.44</v>
      </c>
      <c r="H11" s="26">
        <v>298735.78999999998</v>
      </c>
      <c r="I11" s="26">
        <v>2010398.65</v>
      </c>
      <c r="J11" s="26">
        <v>1720945.209999999</v>
      </c>
      <c r="K11" s="26">
        <v>161119</v>
      </c>
      <c r="L11" s="26">
        <v>128334.4400000001</v>
      </c>
      <c r="M11" s="26">
        <v>897222.51000000059</v>
      </c>
      <c r="N11" s="26">
        <v>12651064.949999999</v>
      </c>
      <c r="O11" s="26">
        <v>-362582.42999999959</v>
      </c>
      <c r="P11" s="26">
        <v>-11391260.01</v>
      </c>
    </row>
    <row r="12" spans="1:16">
      <c r="A12" s="25">
        <v>45931</v>
      </c>
      <c r="B12" s="24" t="s">
        <v>2666</v>
      </c>
      <c r="C12" s="26">
        <v>187838.97</v>
      </c>
      <c r="D12" s="26">
        <v>3581199.2100000009</v>
      </c>
      <c r="E12" s="26">
        <v>-3393360.2400000012</v>
      </c>
      <c r="F12" s="26">
        <v>-8411707.3900000006</v>
      </c>
      <c r="G12" s="26">
        <v>2134799.7400000002</v>
      </c>
      <c r="H12" s="26">
        <v>700206.15999999992</v>
      </c>
      <c r="I12" s="26">
        <v>1434593.5799999989</v>
      </c>
      <c r="J12" s="26">
        <v>2719733.0500000012</v>
      </c>
      <c r="K12" s="26">
        <v>161260</v>
      </c>
      <c r="L12" s="26">
        <v>-1446399.4700000009</v>
      </c>
      <c r="M12" s="26">
        <v>-755405.37</v>
      </c>
      <c r="N12" s="26">
        <v>18044677.960000008</v>
      </c>
      <c r="O12" s="26">
        <v>-1808981.9</v>
      </c>
      <c r="P12" s="26">
        <v>-16991101.43</v>
      </c>
    </row>
    <row r="13" spans="1:16">
      <c r="A13" s="25">
        <v>45962</v>
      </c>
      <c r="B13" s="24" t="s">
        <v>2667</v>
      </c>
      <c r="C13" s="26">
        <v>616701.77</v>
      </c>
      <c r="D13" s="26">
        <v>2935863.7</v>
      </c>
      <c r="E13" s="26">
        <v>-2319161.9300000002</v>
      </c>
      <c r="F13" s="26">
        <v>-10730869.32</v>
      </c>
      <c r="G13" s="26">
        <v>2274104.19</v>
      </c>
      <c r="H13" s="26">
        <v>698625.59000000008</v>
      </c>
      <c r="I13" s="26">
        <v>1575478.6</v>
      </c>
      <c r="J13" s="26">
        <v>2115297.11</v>
      </c>
      <c r="K13" s="26">
        <v>121941</v>
      </c>
      <c r="L13" s="26">
        <v>-661759.51</v>
      </c>
      <c r="M13" s="26">
        <v>-1980172.2300000009</v>
      </c>
      <c r="N13" s="26">
        <v>22807471.820000019</v>
      </c>
      <c r="O13" s="26">
        <v>-2470741.41</v>
      </c>
      <c r="P13" s="26">
        <v>-22316902.639999989</v>
      </c>
    </row>
    <row r="14" spans="1:16">
      <c r="A14" s="25">
        <v>45992</v>
      </c>
      <c r="B14" s="24" t="s">
        <v>2668</v>
      </c>
      <c r="C14" s="26">
        <v>1131690.1599999999</v>
      </c>
      <c r="D14" s="26">
        <v>3122425.23</v>
      </c>
      <c r="E14" s="26">
        <v>-1990735.07</v>
      </c>
      <c r="F14" s="26">
        <v>-12721604.390000001</v>
      </c>
      <c r="G14" s="26">
        <v>1894731.75</v>
      </c>
      <c r="H14" s="26">
        <v>1035585.28</v>
      </c>
      <c r="I14" s="26">
        <v>859146.47000000009</v>
      </c>
      <c r="J14" s="26">
        <v>1936264.95</v>
      </c>
      <c r="K14" s="26">
        <v>150575</v>
      </c>
      <c r="L14" s="26">
        <v>-1227693.48</v>
      </c>
      <c r="M14" s="26">
        <v>-2736799.9200000009</v>
      </c>
      <c r="N14" s="26">
        <v>26107061.91</v>
      </c>
      <c r="O14" s="26">
        <v>-3698434.890000002</v>
      </c>
      <c r="P14" s="26">
        <v>-25145426.940000009</v>
      </c>
    </row>
  </sheetData>
  <mergeCells count="1">
    <mergeCell ref="A1:P1"/>
  </mergeCells>
  <pageMargins left="0.75" right="0.75" top="1" bottom="1" header="0.5" footer="0.5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10" defaultColWidth="8.83203125" defaultRowHeight="15"/>
  <cols>
    <col min="1" max="1" width="24" customWidth="1"/>
    <col min="2" max="3" width="34" customWidth="1"/>
    <col min="4" max="4" width="30" customWidth="1"/>
    <col min="5" max="5" width="34" customWidth="1"/>
    <col min="6" max="6" width="16" customWidth="1"/>
  </cols>
  <sheetData>
    <row r="1" spans="1:6" ht="28" customHeight="1">
      <c r="A1" s="30" t="s">
        <v>2856</v>
      </c>
      <c r="B1" s="31"/>
      <c r="C1" s="31"/>
      <c r="D1" s="31"/>
      <c r="E1" s="31"/>
      <c r="F1" s="31"/>
    </row>
    <row r="2" spans="1:6" ht="62" customHeight="1">
      <c r="A2" s="28" t="s">
        <v>2857</v>
      </c>
      <c r="B2" s="28" t="s">
        <v>2858</v>
      </c>
      <c r="C2" s="28" t="s">
        <v>2859</v>
      </c>
      <c r="D2" s="28" t="s">
        <v>2860</v>
      </c>
      <c r="E2" s="28" t="s">
        <v>2861</v>
      </c>
      <c r="F2" s="28" t="s">
        <v>2815</v>
      </c>
    </row>
    <row r="3" spans="1:6" ht="48">
      <c r="A3" s="29" t="s">
        <v>2862</v>
      </c>
      <c r="B3" s="29" t="s">
        <v>2863</v>
      </c>
      <c r="C3" s="29" t="s">
        <v>2864</v>
      </c>
      <c r="D3" s="29" t="s">
        <v>2865</v>
      </c>
      <c r="E3" s="29" t="s">
        <v>2866</v>
      </c>
      <c r="F3" s="29" t="s">
        <v>2867</v>
      </c>
    </row>
    <row r="4" spans="1:6" ht="80">
      <c r="A4" s="29" t="s">
        <v>2868</v>
      </c>
      <c r="B4" s="29" t="s">
        <v>2869</v>
      </c>
      <c r="C4" s="29" t="s">
        <v>2870</v>
      </c>
      <c r="D4" s="29" t="s">
        <v>2871</v>
      </c>
      <c r="E4" s="29" t="s">
        <v>2872</v>
      </c>
      <c r="F4" s="29" t="s">
        <v>2867</v>
      </c>
    </row>
    <row r="5" spans="1:6" ht="48">
      <c r="A5" s="29" t="s">
        <v>2873</v>
      </c>
      <c r="B5" s="29" t="s">
        <v>2874</v>
      </c>
      <c r="C5" s="29" t="s">
        <v>2875</v>
      </c>
      <c r="D5" s="29" t="s">
        <v>2876</v>
      </c>
      <c r="E5" s="29" t="s">
        <v>2877</v>
      </c>
      <c r="F5" s="29" t="s">
        <v>2867</v>
      </c>
    </row>
    <row r="6" spans="1:6" ht="32">
      <c r="A6" s="29" t="s">
        <v>2878</v>
      </c>
      <c r="B6" s="29" t="s">
        <v>2879</v>
      </c>
      <c r="C6" s="29" t="s">
        <v>2880</v>
      </c>
      <c r="D6" s="29" t="s">
        <v>2881</v>
      </c>
      <c r="E6" s="29" t="s">
        <v>2882</v>
      </c>
      <c r="F6" s="29" t="s">
        <v>2867</v>
      </c>
    </row>
    <row r="7" spans="1:6" ht="64">
      <c r="A7" s="29" t="s">
        <v>2781</v>
      </c>
      <c r="B7" s="29" t="s">
        <v>2883</v>
      </c>
      <c r="C7" s="29" t="s">
        <v>2884</v>
      </c>
      <c r="D7" s="29" t="s">
        <v>2885</v>
      </c>
      <c r="E7" s="29" t="s">
        <v>2886</v>
      </c>
      <c r="F7" s="29" t="s">
        <v>2815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Projects</vt:lpstr>
      <vt:lpstr>AdminOpsTable</vt:lpstr>
      <vt:lpstr>Requests</vt:lpstr>
      <vt:lpstr>AdminOps</vt:lpstr>
      <vt:lpstr>Billing</vt:lpstr>
      <vt:lpstr>Purchases</vt:lpstr>
      <vt:lpstr>Forecasts</vt:lpstr>
      <vt:lpstr>Timesheets</vt:lpstr>
      <vt:lpstr>Bookings</vt:lpstr>
      <vt:lpstr>DeBookings</vt:lpstr>
      <vt:lpstr>Cash_Flow</vt:lpstr>
      <vt:lpstr>Financial_Statement_Aligned</vt:lpstr>
      <vt:lpstr>Project_Performance</vt:lpstr>
      <vt:lpstr>Admin_SLA</vt:lpstr>
      <vt:lpstr>Data_Dictionary</vt:lpstr>
      <vt:lpstr>Assumptions_Ethics</vt:lpstr>
      <vt:lpstr>Data_Quality_Profile</vt:lpstr>
      <vt:lpstr>README</vt:lpstr>
      <vt:lpstr>Schema_Consistency_Notes</vt:lpstr>
      <vt:lpstr>Project_Cash_Flow</vt:lpstr>
      <vt:lpstr>Project_P&amp;L</vt:lpstr>
      <vt:lpstr>Project_Balance_Sheet</vt:lpstr>
      <vt:lpstr>Consolidated_Statements</vt:lpstr>
      <vt:lpstr>Statement_Methodology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Chimguun Erdenekhuyag</cp:lastModifiedBy>
  <dcterms:created xsi:type="dcterms:W3CDTF">2026-05-07T12:40:52Z</dcterms:created>
  <dcterms:modified xsi:type="dcterms:W3CDTF">2026-05-08T03:51:48Z</dcterms:modified>
</cp:coreProperties>
</file>